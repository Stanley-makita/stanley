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\\fontinhas-server\DADOS\Publico\DAYCOVAL\"/>
    </mc:Choice>
  </mc:AlternateContent>
  <xr:revisionPtr revIDLastSave="0" documentId="13_ncr:1_{1BF7DB06-073C-4D5C-ACAB-F2B1A7697D94}" xr6:coauthVersionLast="47" xr6:coauthVersionMax="47" xr10:uidLastSave="{00000000-0000-0000-0000-000000000000}"/>
  <bookViews>
    <workbookView showHorizontalScroll="0" showVerticalScroll="0" showSheetTabs="0" xWindow="-110" yWindow="-110" windowWidth="19420" windowHeight="10300" firstSheet="1" activeTab="1" autoFilterDateGrouping="0" xr2:uid="{A74359C2-3E39-4719-944B-C78CA74563EC}"/>
  </bookViews>
  <sheets>
    <sheet name="Cálculos_CGI - SAC FIXA" sheetId="4" state="hidden" r:id="rId1"/>
    <sheet name="Cálculos_CGI e Fin" sheetId="2" r:id="rId2"/>
    <sheet name="Planilha2" sheetId="6" state="hidden" r:id="rId3"/>
    <sheet name="Planilha1" sheetId="5" state="hidden" r:id="rId4"/>
    <sheet name="CAPA" sheetId="3" state="hidden" r:id="rId5"/>
    <sheet name="Cálculos_Aquisição_SAC_Fixa" sheetId="1" state="hidden" r:id="rId6"/>
  </sheets>
  <externalReferences>
    <externalReference r:id="rId7"/>
  </externalReferences>
  <definedNames>
    <definedName name="CGI">'Cálculos_CGI e Fin'!$P$21</definedName>
    <definedName name="Data_de_Nasc">[1]Capa!$P$6</definedName>
    <definedName name="DFI">'Cálculos_CGI e Fin'!$J$33</definedName>
    <definedName name="FIN">'Cálculos_CGI e Fin'!$P$22</definedName>
    <definedName name="FIN_TCC">'Cálculos_CGI e Fin'!$P$25</definedName>
    <definedName name="LTV">'Cálculos_CGI e Fin'!$I$6</definedName>
    <definedName name="mensagem" localSheetId="0">[1]Capa!#REF!</definedName>
    <definedName name="mensagem" localSheetId="1">[1]Capa!#REF!</definedName>
    <definedName name="mensagem">[1]Capa!#REF!</definedName>
    <definedName name="MIP">'Cálculos_CGI e Fin'!$J$32</definedName>
    <definedName name="obs">'Cálculos_CGI e Fin'!$K$30</definedName>
    <definedName name="PRAZO">'Cálculos_CGI e Fin'!$J$6</definedName>
    <definedName name="PRICE_POS">'Cálculos_CGI e Fin'!$P$19</definedName>
    <definedName name="PRICE_PRE">'Cálculos_CGI e Fin'!$P$17</definedName>
    <definedName name="PRODUTO">'Cálculos_CGI e Fin'!$D$3</definedName>
    <definedName name="SAC_POS">'Cálculos_CGI e Fin'!$P$20</definedName>
    <definedName name="SAC_PRE">'Cálculos_CGI e Fin'!$P$18</definedName>
    <definedName name="SISTEMA_AMORTIZAÇÃO">'Cálculos_CGI e Fin'!$K$6</definedName>
    <definedName name="TAXA">'Cálculos_CGI e Fin'!$J$22</definedName>
    <definedName name="TCC">'Cálculos_CGI e Fin'!$P$23</definedName>
    <definedName name="TIPO_IMÓVEL">'Cálculos_CGI e Fin'!$I$3</definedName>
    <definedName name="_xlnm.Print_Titles" localSheetId="1">'Cálculos_CGI e Fin'!$1:$58</definedName>
    <definedName name="VALOR_CREDITO_BRUTO">'Cálculos_CGI e Fin'!$D$6</definedName>
    <definedName name="VALOR_ESTIMADO_IMÓVEL">'Cálculos_CGI e Fin'!$G$6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2" l="1"/>
  <c r="K30" i="2" s="1"/>
  <c r="J25" i="2"/>
  <c r="J16" i="2"/>
  <c r="J18" i="2" s="1"/>
  <c r="K33" i="2"/>
  <c r="K32" i="2"/>
  <c r="D31" i="2" l="1"/>
  <c r="D29" i="2"/>
  <c r="D30" i="2"/>
  <c r="N58" i="2"/>
  <c r="C59" i="2"/>
  <c r="D32" i="2"/>
  <c r="I6" i="6" l="1"/>
  <c r="I248" i="6"/>
  <c r="I249" i="6" s="1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7" i="6"/>
  <c r="F248" i="6"/>
  <c r="F249" i="6" s="1"/>
  <c r="J26" i="2"/>
  <c r="I251" i="6" l="1"/>
  <c r="H248" i="6"/>
  <c r="H249" i="6" s="1"/>
  <c r="H251" i="6" l="1"/>
  <c r="I6" i="2"/>
  <c r="D14" i="2" l="1"/>
  <c r="AD59" i="2"/>
  <c r="H410" i="4"/>
  <c r="AN278" i="4"/>
  <c r="T39" i="4"/>
  <c r="U39" i="4" s="1"/>
  <c r="V39" i="4" s="1"/>
  <c r="AC38" i="4"/>
  <c r="AB38" i="4"/>
  <c r="AC36" i="4"/>
  <c r="AB36" i="4"/>
  <c r="I24" i="4"/>
  <c r="B43" i="4" s="1"/>
  <c r="I23" i="4"/>
  <c r="I18" i="4"/>
  <c r="A44" i="4" s="1"/>
  <c r="I16" i="4"/>
  <c r="I14" i="4"/>
  <c r="I13" i="4"/>
  <c r="H6" i="4"/>
  <c r="I20" i="4" s="1"/>
  <c r="I22" i="4" s="1"/>
  <c r="I21" i="4" s="1"/>
  <c r="F401" i="4" l="1"/>
  <c r="O401" i="4" s="1"/>
  <c r="F399" i="4"/>
  <c r="O399" i="4" s="1"/>
  <c r="F283" i="4"/>
  <c r="O283" i="4" s="1"/>
  <c r="F284" i="4"/>
  <c r="O284" i="4" s="1"/>
  <c r="F288" i="4"/>
  <c r="O288" i="4" s="1"/>
  <c r="F292" i="4"/>
  <c r="O292" i="4" s="1"/>
  <c r="F296" i="4"/>
  <c r="O296" i="4" s="1"/>
  <c r="F300" i="4"/>
  <c r="O300" i="4" s="1"/>
  <c r="F304" i="4"/>
  <c r="O304" i="4" s="1"/>
  <c r="F308" i="4"/>
  <c r="O308" i="4" s="1"/>
  <c r="F312" i="4"/>
  <c r="O312" i="4" s="1"/>
  <c r="F316" i="4"/>
  <c r="O316" i="4" s="1"/>
  <c r="F320" i="4"/>
  <c r="O320" i="4" s="1"/>
  <c r="F324" i="4"/>
  <c r="O324" i="4" s="1"/>
  <c r="F328" i="4"/>
  <c r="O328" i="4" s="1"/>
  <c r="F332" i="4"/>
  <c r="O332" i="4" s="1"/>
  <c r="F336" i="4"/>
  <c r="O336" i="4" s="1"/>
  <c r="F340" i="4"/>
  <c r="O340" i="4" s="1"/>
  <c r="F344" i="4"/>
  <c r="O344" i="4" s="1"/>
  <c r="F348" i="4"/>
  <c r="O348" i="4" s="1"/>
  <c r="F352" i="4"/>
  <c r="O352" i="4" s="1"/>
  <c r="F356" i="4"/>
  <c r="O356" i="4" s="1"/>
  <c r="F360" i="4"/>
  <c r="O360" i="4" s="1"/>
  <c r="F364" i="4"/>
  <c r="O364" i="4" s="1"/>
  <c r="F368" i="4"/>
  <c r="O368" i="4" s="1"/>
  <c r="F372" i="4"/>
  <c r="O372" i="4" s="1"/>
  <c r="F376" i="4"/>
  <c r="O376" i="4" s="1"/>
  <c r="F380" i="4"/>
  <c r="O380" i="4" s="1"/>
  <c r="F384" i="4"/>
  <c r="O384" i="4" s="1"/>
  <c r="F388" i="4"/>
  <c r="O388" i="4" s="1"/>
  <c r="F392" i="4"/>
  <c r="O392" i="4" s="1"/>
  <c r="F286" i="4"/>
  <c r="O286" i="4" s="1"/>
  <c r="F290" i="4"/>
  <c r="O290" i="4" s="1"/>
  <c r="F298" i="4"/>
  <c r="O298" i="4" s="1"/>
  <c r="F306" i="4"/>
  <c r="O306" i="4" s="1"/>
  <c r="F314" i="4"/>
  <c r="O314" i="4" s="1"/>
  <c r="F322" i="4"/>
  <c r="O322" i="4" s="1"/>
  <c r="F330" i="4"/>
  <c r="O330" i="4" s="1"/>
  <c r="F338" i="4"/>
  <c r="O338" i="4" s="1"/>
  <c r="F346" i="4"/>
  <c r="O346" i="4" s="1"/>
  <c r="F354" i="4"/>
  <c r="O354" i="4" s="1"/>
  <c r="F362" i="4"/>
  <c r="O362" i="4" s="1"/>
  <c r="F370" i="4"/>
  <c r="O370" i="4" s="1"/>
  <c r="F378" i="4"/>
  <c r="O378" i="4" s="1"/>
  <c r="F386" i="4"/>
  <c r="O386" i="4" s="1"/>
  <c r="F394" i="4"/>
  <c r="O394" i="4" s="1"/>
  <c r="F403" i="4"/>
  <c r="O403" i="4" s="1"/>
  <c r="F398" i="4"/>
  <c r="O398" i="4" s="1"/>
  <c r="F395" i="4"/>
  <c r="O395" i="4" s="1"/>
  <c r="F291" i="4"/>
  <c r="O291" i="4" s="1"/>
  <c r="F299" i="4"/>
  <c r="O299" i="4" s="1"/>
  <c r="F307" i="4"/>
  <c r="O307" i="4" s="1"/>
  <c r="F315" i="4"/>
  <c r="O315" i="4" s="1"/>
  <c r="F323" i="4"/>
  <c r="O323" i="4" s="1"/>
  <c r="F331" i="4"/>
  <c r="O331" i="4" s="1"/>
  <c r="F339" i="4"/>
  <c r="O339" i="4" s="1"/>
  <c r="F347" i="4"/>
  <c r="O347" i="4" s="1"/>
  <c r="F355" i="4"/>
  <c r="O355" i="4" s="1"/>
  <c r="F363" i="4"/>
  <c r="O363" i="4" s="1"/>
  <c r="F371" i="4"/>
  <c r="O371" i="4" s="1"/>
  <c r="F379" i="4"/>
  <c r="O379" i="4" s="1"/>
  <c r="F387" i="4"/>
  <c r="O387" i="4" s="1"/>
  <c r="F397" i="4"/>
  <c r="O397" i="4" s="1"/>
  <c r="F400" i="4"/>
  <c r="O400" i="4" s="1"/>
  <c r="F396" i="4"/>
  <c r="O396" i="4" s="1"/>
  <c r="F285" i="4"/>
  <c r="O285" i="4" s="1"/>
  <c r="F289" i="4"/>
  <c r="O289" i="4" s="1"/>
  <c r="F293" i="4"/>
  <c r="O293" i="4" s="1"/>
  <c r="F297" i="4"/>
  <c r="O297" i="4" s="1"/>
  <c r="F301" i="4"/>
  <c r="O301" i="4" s="1"/>
  <c r="F305" i="4"/>
  <c r="O305" i="4" s="1"/>
  <c r="F309" i="4"/>
  <c r="O309" i="4" s="1"/>
  <c r="F313" i="4"/>
  <c r="O313" i="4" s="1"/>
  <c r="F317" i="4"/>
  <c r="O317" i="4" s="1"/>
  <c r="F321" i="4"/>
  <c r="O321" i="4" s="1"/>
  <c r="F325" i="4"/>
  <c r="O325" i="4" s="1"/>
  <c r="F329" i="4"/>
  <c r="O329" i="4" s="1"/>
  <c r="F333" i="4"/>
  <c r="O333" i="4" s="1"/>
  <c r="F337" i="4"/>
  <c r="O337" i="4" s="1"/>
  <c r="F341" i="4"/>
  <c r="O341" i="4" s="1"/>
  <c r="F345" i="4"/>
  <c r="O345" i="4" s="1"/>
  <c r="F349" i="4"/>
  <c r="O349" i="4" s="1"/>
  <c r="F353" i="4"/>
  <c r="O353" i="4" s="1"/>
  <c r="F357" i="4"/>
  <c r="O357" i="4" s="1"/>
  <c r="F361" i="4"/>
  <c r="O361" i="4" s="1"/>
  <c r="F365" i="4"/>
  <c r="O365" i="4" s="1"/>
  <c r="F369" i="4"/>
  <c r="O369" i="4" s="1"/>
  <c r="F373" i="4"/>
  <c r="O373" i="4" s="1"/>
  <c r="F377" i="4"/>
  <c r="O377" i="4" s="1"/>
  <c r="F381" i="4"/>
  <c r="O381" i="4" s="1"/>
  <c r="F385" i="4"/>
  <c r="O385" i="4" s="1"/>
  <c r="F389" i="4"/>
  <c r="O389" i="4" s="1"/>
  <c r="F393" i="4"/>
  <c r="O393" i="4" s="1"/>
  <c r="F402" i="4"/>
  <c r="O402" i="4" s="1"/>
  <c r="F294" i="4"/>
  <c r="O294" i="4" s="1"/>
  <c r="F302" i="4"/>
  <c r="O302" i="4" s="1"/>
  <c r="F310" i="4"/>
  <c r="O310" i="4" s="1"/>
  <c r="F318" i="4"/>
  <c r="O318" i="4" s="1"/>
  <c r="F326" i="4"/>
  <c r="O326" i="4" s="1"/>
  <c r="F334" i="4"/>
  <c r="O334" i="4" s="1"/>
  <c r="F342" i="4"/>
  <c r="O342" i="4" s="1"/>
  <c r="F350" i="4"/>
  <c r="O350" i="4" s="1"/>
  <c r="F358" i="4"/>
  <c r="O358" i="4" s="1"/>
  <c r="F366" i="4"/>
  <c r="O366" i="4" s="1"/>
  <c r="F374" i="4"/>
  <c r="O374" i="4" s="1"/>
  <c r="F382" i="4"/>
  <c r="O382" i="4" s="1"/>
  <c r="F390" i="4"/>
  <c r="O390" i="4" s="1"/>
  <c r="F287" i="4"/>
  <c r="O287" i="4" s="1"/>
  <c r="F295" i="4"/>
  <c r="O295" i="4" s="1"/>
  <c r="F303" i="4"/>
  <c r="O303" i="4" s="1"/>
  <c r="F311" i="4"/>
  <c r="O311" i="4" s="1"/>
  <c r="F319" i="4"/>
  <c r="O319" i="4" s="1"/>
  <c r="F327" i="4"/>
  <c r="O327" i="4" s="1"/>
  <c r="F335" i="4"/>
  <c r="O335" i="4" s="1"/>
  <c r="F343" i="4"/>
  <c r="O343" i="4" s="1"/>
  <c r="F351" i="4"/>
  <c r="O351" i="4" s="1"/>
  <c r="F359" i="4"/>
  <c r="O359" i="4" s="1"/>
  <c r="F367" i="4"/>
  <c r="O367" i="4" s="1"/>
  <c r="F375" i="4"/>
  <c r="O375" i="4" s="1"/>
  <c r="F383" i="4"/>
  <c r="O383" i="4" s="1"/>
  <c r="F391" i="4"/>
  <c r="O391" i="4" s="1"/>
  <c r="H9" i="4"/>
  <c r="F46" i="4"/>
  <c r="F277" i="4"/>
  <c r="F269" i="4"/>
  <c r="F261" i="4"/>
  <c r="F253" i="4"/>
  <c r="F245" i="4"/>
  <c r="F237" i="4"/>
  <c r="F229" i="4"/>
  <c r="F221" i="4"/>
  <c r="F213" i="4"/>
  <c r="F205" i="4"/>
  <c r="F197" i="4"/>
  <c r="F189" i="4"/>
  <c r="F181" i="4"/>
  <c r="F173" i="4"/>
  <c r="F165" i="4"/>
  <c r="F157" i="4"/>
  <c r="F149" i="4"/>
  <c r="F141" i="4"/>
  <c r="F133" i="4"/>
  <c r="F125" i="4"/>
  <c r="F117" i="4"/>
  <c r="F109" i="4"/>
  <c r="F101" i="4"/>
  <c r="F93" i="4"/>
  <c r="F85" i="4"/>
  <c r="F77" i="4"/>
  <c r="F69" i="4"/>
  <c r="F61" i="4"/>
  <c r="F53" i="4"/>
  <c r="F45" i="4"/>
  <c r="I19" i="4"/>
  <c r="F44" i="4"/>
  <c r="F276" i="4"/>
  <c r="F268" i="4"/>
  <c r="F260" i="4"/>
  <c r="F252" i="4"/>
  <c r="F244" i="4"/>
  <c r="F236" i="4"/>
  <c r="F228" i="4"/>
  <c r="F220" i="4"/>
  <c r="F212" i="4"/>
  <c r="F204" i="4"/>
  <c r="F196" i="4"/>
  <c r="F188" i="4"/>
  <c r="F180" i="4"/>
  <c r="F172" i="4"/>
  <c r="F164" i="4"/>
  <c r="F156" i="4"/>
  <c r="F148" i="4"/>
  <c r="F140" i="4"/>
  <c r="F132" i="4"/>
  <c r="F124" i="4"/>
  <c r="F116" i="4"/>
  <c r="F108" i="4"/>
  <c r="F100" i="4"/>
  <c r="F92" i="4"/>
  <c r="F84" i="4"/>
  <c r="F76" i="4"/>
  <c r="F68" i="4"/>
  <c r="F60" i="4"/>
  <c r="F52" i="4"/>
  <c r="F275" i="4"/>
  <c r="F267" i="4"/>
  <c r="F259" i="4"/>
  <c r="F251" i="4"/>
  <c r="F243" i="4"/>
  <c r="F235" i="4"/>
  <c r="F227" i="4"/>
  <c r="F219" i="4"/>
  <c r="F211" i="4"/>
  <c r="F203" i="4"/>
  <c r="F195" i="4"/>
  <c r="F187" i="4"/>
  <c r="F179" i="4"/>
  <c r="F171" i="4"/>
  <c r="F163" i="4"/>
  <c r="F155" i="4"/>
  <c r="F147" i="4"/>
  <c r="F139" i="4"/>
  <c r="F131" i="4"/>
  <c r="F123" i="4"/>
  <c r="F115" i="4"/>
  <c r="F107" i="4"/>
  <c r="F99" i="4"/>
  <c r="F91" i="4"/>
  <c r="F83" i="4"/>
  <c r="F75" i="4"/>
  <c r="F67" i="4"/>
  <c r="F59" i="4"/>
  <c r="F51" i="4"/>
  <c r="F282" i="4"/>
  <c r="F274" i="4"/>
  <c r="F266" i="4"/>
  <c r="F258" i="4"/>
  <c r="F250" i="4"/>
  <c r="F242" i="4"/>
  <c r="F234" i="4"/>
  <c r="F226" i="4"/>
  <c r="F218" i="4"/>
  <c r="F210" i="4"/>
  <c r="F202" i="4"/>
  <c r="F194" i="4"/>
  <c r="F186" i="4"/>
  <c r="F178" i="4"/>
  <c r="F170" i="4"/>
  <c r="F162" i="4"/>
  <c r="F154" i="4"/>
  <c r="F146" i="4"/>
  <c r="F138" i="4"/>
  <c r="F130" i="4"/>
  <c r="F122" i="4"/>
  <c r="F114" i="4"/>
  <c r="F106" i="4"/>
  <c r="F98" i="4"/>
  <c r="F90" i="4"/>
  <c r="F82" i="4"/>
  <c r="F74" i="4"/>
  <c r="F66" i="4"/>
  <c r="F58" i="4"/>
  <c r="F50" i="4"/>
  <c r="F281" i="4"/>
  <c r="F273" i="4"/>
  <c r="F265" i="4"/>
  <c r="F257" i="4"/>
  <c r="F249" i="4"/>
  <c r="F241" i="4"/>
  <c r="F233" i="4"/>
  <c r="F225" i="4"/>
  <c r="F217" i="4"/>
  <c r="F209" i="4"/>
  <c r="F201" i="4"/>
  <c r="F193" i="4"/>
  <c r="F185" i="4"/>
  <c r="F177" i="4"/>
  <c r="F169" i="4"/>
  <c r="F161" i="4"/>
  <c r="F153" i="4"/>
  <c r="F145" i="4"/>
  <c r="F137" i="4"/>
  <c r="F129" i="4"/>
  <c r="F121" i="4"/>
  <c r="F113" i="4"/>
  <c r="F105" i="4"/>
  <c r="F97" i="4"/>
  <c r="F89" i="4"/>
  <c r="F81" i="4"/>
  <c r="F73" i="4"/>
  <c r="F65" i="4"/>
  <c r="F57" i="4"/>
  <c r="F49" i="4"/>
  <c r="F280" i="4"/>
  <c r="F272" i="4"/>
  <c r="F264" i="4"/>
  <c r="F256" i="4"/>
  <c r="F248" i="4"/>
  <c r="F240" i="4"/>
  <c r="F232" i="4"/>
  <c r="F224" i="4"/>
  <c r="F216" i="4"/>
  <c r="F208" i="4"/>
  <c r="F200" i="4"/>
  <c r="F192" i="4"/>
  <c r="F184" i="4"/>
  <c r="F176" i="4"/>
  <c r="F168" i="4"/>
  <c r="F160" i="4"/>
  <c r="F152" i="4"/>
  <c r="F144" i="4"/>
  <c r="F136" i="4"/>
  <c r="F128" i="4"/>
  <c r="F120" i="4"/>
  <c r="F112" i="4"/>
  <c r="F104" i="4"/>
  <c r="F96" i="4"/>
  <c r="F88" i="4"/>
  <c r="F80" i="4"/>
  <c r="F72" i="4"/>
  <c r="F64" i="4"/>
  <c r="F56" i="4"/>
  <c r="F48" i="4"/>
  <c r="F279" i="4"/>
  <c r="F271" i="4"/>
  <c r="F263" i="4"/>
  <c r="F255" i="4"/>
  <c r="F247" i="4"/>
  <c r="F239" i="4"/>
  <c r="F231" i="4"/>
  <c r="F223" i="4"/>
  <c r="F215" i="4"/>
  <c r="F207" i="4"/>
  <c r="F199" i="4"/>
  <c r="F191" i="4"/>
  <c r="F183" i="4"/>
  <c r="F175" i="4"/>
  <c r="F167" i="4"/>
  <c r="F159" i="4"/>
  <c r="F151" i="4"/>
  <c r="F143" i="4"/>
  <c r="F135" i="4"/>
  <c r="F127" i="4"/>
  <c r="F119" i="4"/>
  <c r="F111" i="4"/>
  <c r="F103" i="4"/>
  <c r="F95" i="4"/>
  <c r="F87" i="4"/>
  <c r="F79" i="4"/>
  <c r="F71" i="4"/>
  <c r="F63" i="4"/>
  <c r="F55" i="4"/>
  <c r="F47" i="4"/>
  <c r="F278" i="4"/>
  <c r="F270" i="4"/>
  <c r="F262" i="4"/>
  <c r="F254" i="4"/>
  <c r="F246" i="4"/>
  <c r="F238" i="4"/>
  <c r="F230" i="4"/>
  <c r="F222" i="4"/>
  <c r="F214" i="4"/>
  <c r="F206" i="4"/>
  <c r="F198" i="4"/>
  <c r="F190" i="4"/>
  <c r="F182" i="4"/>
  <c r="F174" i="4"/>
  <c r="F166" i="4"/>
  <c r="F158" i="4"/>
  <c r="F150" i="4"/>
  <c r="F142" i="4"/>
  <c r="F134" i="4"/>
  <c r="F126" i="4"/>
  <c r="F118" i="4"/>
  <c r="F110" i="4"/>
  <c r="F102" i="4"/>
  <c r="F94" i="4"/>
  <c r="F86" i="4"/>
  <c r="F78" i="4"/>
  <c r="F70" i="4"/>
  <c r="F62" i="4"/>
  <c r="F54" i="4"/>
  <c r="C43" i="4"/>
  <c r="I17" i="4"/>
  <c r="J15" i="4"/>
  <c r="J16" i="4"/>
  <c r="AA39" i="4"/>
  <c r="B44" i="4"/>
  <c r="A45" i="4"/>
  <c r="Q44" i="4" l="1"/>
  <c r="A46" i="4"/>
  <c r="B45" i="4"/>
  <c r="Q45" i="4" s="1"/>
  <c r="AA40" i="4"/>
  <c r="AE39" i="4"/>
  <c r="P44" i="4"/>
  <c r="K43" i="4"/>
  <c r="P40" i="4"/>
  <c r="J17" i="4"/>
  <c r="J43" i="4"/>
  <c r="I44" i="4" l="1"/>
  <c r="C44" i="4"/>
  <c r="AH39" i="4"/>
  <c r="AJ39" i="4"/>
  <c r="AF39" i="4"/>
  <c r="AB39" i="4" s="1"/>
  <c r="A47" i="4"/>
  <c r="B46" i="4"/>
  <c r="P46" i="4" s="1"/>
  <c r="AA41" i="4"/>
  <c r="AE40" i="4"/>
  <c r="P45" i="4"/>
  <c r="Q46" i="4" l="1"/>
  <c r="AH40" i="4"/>
  <c r="AJ40" i="4"/>
  <c r="AF40" i="4"/>
  <c r="AB40" i="4" s="1"/>
  <c r="AE41" i="4"/>
  <c r="H44" i="4"/>
  <c r="D44" i="4"/>
  <c r="G45" i="4"/>
  <c r="A48" i="4"/>
  <c r="B47" i="4"/>
  <c r="Q47" i="4" s="1"/>
  <c r="AA42" i="4"/>
  <c r="G47" i="4"/>
  <c r="G46" i="4"/>
  <c r="I28" i="4"/>
  <c r="G44" i="4" l="1"/>
  <c r="J44" i="4" s="1"/>
  <c r="J9" i="4" s="1"/>
  <c r="P47" i="4"/>
  <c r="G48" i="4"/>
  <c r="A49" i="4"/>
  <c r="B48" i="4"/>
  <c r="Q48" i="4" s="1"/>
  <c r="AA43" i="4"/>
  <c r="E44" i="4"/>
  <c r="AH41" i="4"/>
  <c r="AJ41" i="4"/>
  <c r="AF41" i="4"/>
  <c r="AB41" i="4" s="1"/>
  <c r="AE42" i="4"/>
  <c r="I26" i="4"/>
  <c r="I27" i="4"/>
  <c r="AG39" i="4" l="1"/>
  <c r="AC39" i="4" s="1"/>
  <c r="I29" i="4"/>
  <c r="I30" i="4"/>
  <c r="A50" i="4"/>
  <c r="B49" i="4"/>
  <c r="Q49" i="4" s="1"/>
  <c r="AA44" i="4"/>
  <c r="G49" i="4"/>
  <c r="P48" i="4"/>
  <c r="O44" i="4"/>
  <c r="AI39" i="4"/>
  <c r="K44" i="4"/>
  <c r="AJ42" i="4"/>
  <c r="AH42" i="4"/>
  <c r="AF42" i="4"/>
  <c r="AB42" i="4" s="1"/>
  <c r="AE43" i="4"/>
  <c r="P49" i="4" l="1"/>
  <c r="AJ43" i="4"/>
  <c r="AF43" i="4"/>
  <c r="AB43" i="4" s="1"/>
  <c r="AH43" i="4"/>
  <c r="AN38" i="4"/>
  <c r="I45" i="4"/>
  <c r="C45" i="4"/>
  <c r="AK39" i="4"/>
  <c r="G50" i="4"/>
  <c r="A51" i="4"/>
  <c r="B50" i="4"/>
  <c r="Q50" i="4" s="1"/>
  <c r="AA45" i="4"/>
  <c r="AE44" i="4"/>
  <c r="V44" i="2"/>
  <c r="A52" i="4" l="1"/>
  <c r="B51" i="4"/>
  <c r="Q51" i="4" s="1"/>
  <c r="AA46" i="4"/>
  <c r="G51" i="4"/>
  <c r="P50" i="4"/>
  <c r="H45" i="4"/>
  <c r="J45" i="4" s="1"/>
  <c r="D45" i="4"/>
  <c r="AJ44" i="4"/>
  <c r="AH44" i="4"/>
  <c r="AF44" i="4"/>
  <c r="AB44" i="4" s="1"/>
  <c r="AE45" i="4"/>
  <c r="W44" i="2"/>
  <c r="X44" i="2" s="1"/>
  <c r="H284" i="1"/>
  <c r="T39" i="1"/>
  <c r="H9" i="1" s="1"/>
  <c r="AC38" i="1"/>
  <c r="AB38" i="1"/>
  <c r="AC36" i="1"/>
  <c r="AB36" i="1"/>
  <c r="I24" i="1"/>
  <c r="B37" i="1" s="1"/>
  <c r="I23" i="1"/>
  <c r="I22" i="1"/>
  <c r="I21" i="1" s="1"/>
  <c r="I18" i="1"/>
  <c r="A38" i="1" s="1"/>
  <c r="I14" i="1"/>
  <c r="I13" i="1"/>
  <c r="I17" i="1" s="1"/>
  <c r="H6" i="1"/>
  <c r="U39" i="1" l="1"/>
  <c r="V39" i="1" s="1"/>
  <c r="P51" i="4"/>
  <c r="AH45" i="4"/>
  <c r="AJ45" i="4"/>
  <c r="AF45" i="4"/>
  <c r="AB45" i="4" s="1"/>
  <c r="G52" i="4"/>
  <c r="A53" i="4"/>
  <c r="B52" i="4"/>
  <c r="P52" i="4" s="1"/>
  <c r="AA47" i="4"/>
  <c r="AG40" i="4"/>
  <c r="AC40" i="4" s="1"/>
  <c r="E45" i="4"/>
  <c r="AE46" i="4"/>
  <c r="I19" i="1"/>
  <c r="J16" i="1"/>
  <c r="AA39" i="1"/>
  <c r="A39" i="1"/>
  <c r="B38" i="1"/>
  <c r="P43" i="1" s="1"/>
  <c r="J37" i="1"/>
  <c r="J17" i="1"/>
  <c r="C37" i="1"/>
  <c r="J15" i="1"/>
  <c r="J17" i="2" l="1"/>
  <c r="Q52" i="4"/>
  <c r="AJ46" i="4"/>
  <c r="AH46" i="4"/>
  <c r="AF46" i="4"/>
  <c r="AB46" i="4" s="1"/>
  <c r="A54" i="4"/>
  <c r="B53" i="4"/>
  <c r="Q53" i="4" s="1"/>
  <c r="AA48" i="4"/>
  <c r="G53" i="4"/>
  <c r="O45" i="4"/>
  <c r="AI40" i="4"/>
  <c r="K45" i="4"/>
  <c r="AE47" i="4"/>
  <c r="B39" i="1"/>
  <c r="P44" i="1" s="1"/>
  <c r="AA40" i="1"/>
  <c r="A40" i="1"/>
  <c r="Q43" i="1"/>
  <c r="P40" i="1"/>
  <c r="K37" i="1"/>
  <c r="AE39" i="1"/>
  <c r="P53" i="4" l="1"/>
  <c r="AJ47" i="4"/>
  <c r="AF47" i="4"/>
  <c r="AB47" i="4" s="1"/>
  <c r="AH47" i="4"/>
  <c r="AN39" i="4"/>
  <c r="I46" i="4"/>
  <c r="C46" i="4"/>
  <c r="AK40" i="4"/>
  <c r="G54" i="4"/>
  <c r="A55" i="4"/>
  <c r="B54" i="4"/>
  <c r="P54" i="4" s="1"/>
  <c r="AA49" i="4"/>
  <c r="AE48" i="4"/>
  <c r="B40" i="1"/>
  <c r="Q45" i="1" s="1"/>
  <c r="AA41" i="1"/>
  <c r="A41" i="1"/>
  <c r="Q44" i="1"/>
  <c r="AJ39" i="1"/>
  <c r="AH39" i="1"/>
  <c r="I38" i="1"/>
  <c r="C38" i="1"/>
  <c r="AE40" i="1"/>
  <c r="Q54" i="4" l="1"/>
  <c r="AJ48" i="4"/>
  <c r="AH48" i="4"/>
  <c r="AF48" i="4"/>
  <c r="AB48" i="4" s="1"/>
  <c r="A56" i="4"/>
  <c r="B55" i="4"/>
  <c r="Q55" i="4" s="1"/>
  <c r="AA50" i="4"/>
  <c r="G55" i="4"/>
  <c r="AE49" i="4"/>
  <c r="H46" i="4"/>
  <c r="J46" i="4" s="1"/>
  <c r="D46" i="4"/>
  <c r="I28" i="1"/>
  <c r="AE41" i="1"/>
  <c r="P45" i="1"/>
  <c r="AJ40" i="1"/>
  <c r="AH40" i="1"/>
  <c r="D38" i="1"/>
  <c r="F38" i="1"/>
  <c r="K38" i="1" s="1"/>
  <c r="H38" i="1"/>
  <c r="F39" i="1"/>
  <c r="O44" i="1" s="1"/>
  <c r="AA42" i="1"/>
  <c r="F41" i="1"/>
  <c r="B41" i="1"/>
  <c r="P46" i="1" s="1"/>
  <c r="A42" i="1"/>
  <c r="F40" i="1"/>
  <c r="O45" i="1" s="1"/>
  <c r="P55" i="4" l="1"/>
  <c r="A57" i="4"/>
  <c r="G56" i="4"/>
  <c r="B56" i="4"/>
  <c r="P56" i="4" s="1"/>
  <c r="AA51" i="4"/>
  <c r="E46" i="4"/>
  <c r="AH49" i="4"/>
  <c r="AJ49" i="4"/>
  <c r="AF49" i="4"/>
  <c r="AB49" i="4" s="1"/>
  <c r="AE50" i="4"/>
  <c r="AA43" i="1"/>
  <c r="A43" i="1"/>
  <c r="F42" i="1"/>
  <c r="B42" i="1"/>
  <c r="Q47" i="1" s="1"/>
  <c r="AE42" i="1"/>
  <c r="I39" i="1"/>
  <c r="C39" i="1"/>
  <c r="AK39" i="1"/>
  <c r="G38" i="1"/>
  <c r="AI41" i="1"/>
  <c r="AJ41" i="1"/>
  <c r="AH41" i="1"/>
  <c r="Q46" i="1"/>
  <c r="O46" i="1" s="1"/>
  <c r="I27" i="1"/>
  <c r="O43" i="1"/>
  <c r="AI39" i="1"/>
  <c r="E38" i="1"/>
  <c r="AI40" i="1"/>
  <c r="AJ50" i="4" l="1"/>
  <c r="AH50" i="4"/>
  <c r="AF50" i="4"/>
  <c r="AB50" i="4" s="1"/>
  <c r="O46" i="4"/>
  <c r="AI41" i="4"/>
  <c r="K46" i="4"/>
  <c r="AG41" i="4"/>
  <c r="AC41" i="4" s="1"/>
  <c r="AE51" i="4"/>
  <c r="A58" i="4"/>
  <c r="G57" i="4"/>
  <c r="AA52" i="4"/>
  <c r="B57" i="4"/>
  <c r="P57" i="4" s="1"/>
  <c r="I26" i="1"/>
  <c r="I29" i="1" s="1"/>
  <c r="AJ42" i="1"/>
  <c r="AH42" i="1"/>
  <c r="AI42" i="1"/>
  <c r="AA44" i="1"/>
  <c r="A44" i="1"/>
  <c r="F43" i="1"/>
  <c r="B43" i="1"/>
  <c r="Q48" i="1" s="1"/>
  <c r="P47" i="1"/>
  <c r="AF39" i="1"/>
  <c r="AB39" i="1" s="1"/>
  <c r="D39" i="1"/>
  <c r="E39" i="1" s="1"/>
  <c r="H39" i="1"/>
  <c r="K39" i="1"/>
  <c r="O47" i="1"/>
  <c r="AE43" i="1"/>
  <c r="J38" i="1"/>
  <c r="A59" i="4" l="1"/>
  <c r="G58" i="4"/>
  <c r="B58" i="4"/>
  <c r="P58" i="4" s="1"/>
  <c r="AA53" i="4"/>
  <c r="AN40" i="4"/>
  <c r="C47" i="4"/>
  <c r="I47" i="4"/>
  <c r="AK41" i="4"/>
  <c r="AE52" i="4"/>
  <c r="AJ51" i="4"/>
  <c r="AF51" i="4"/>
  <c r="AB51" i="4" s="1"/>
  <c r="AH51" i="4"/>
  <c r="J9" i="1"/>
  <c r="AG39" i="1"/>
  <c r="AC39" i="1" s="1"/>
  <c r="AJ43" i="1"/>
  <c r="AH43" i="1"/>
  <c r="AI43" i="1"/>
  <c r="G39" i="1"/>
  <c r="J39" i="1" s="1"/>
  <c r="AG40" i="1" s="1"/>
  <c r="AC40" i="1" s="1"/>
  <c r="O48" i="1"/>
  <c r="AA45" i="1"/>
  <c r="A45" i="1"/>
  <c r="F44" i="1"/>
  <c r="B44" i="1"/>
  <c r="P49" i="1" s="1"/>
  <c r="P48" i="1"/>
  <c r="I40" i="1"/>
  <c r="C40" i="1"/>
  <c r="AK40" i="1"/>
  <c r="AE44" i="1"/>
  <c r="AJ52" i="4" l="1"/>
  <c r="AH52" i="4"/>
  <c r="AF52" i="4"/>
  <c r="AB52" i="4" s="1"/>
  <c r="H47" i="4"/>
  <c r="D47" i="4"/>
  <c r="E47" i="4" s="1"/>
  <c r="AE53" i="4"/>
  <c r="A60" i="4"/>
  <c r="G59" i="4"/>
  <c r="AA54" i="4"/>
  <c r="B59" i="4"/>
  <c r="P59" i="4" s="1"/>
  <c r="AF40" i="1"/>
  <c r="AB40" i="1" s="1"/>
  <c r="D40" i="1"/>
  <c r="E40" i="1" s="1"/>
  <c r="H40" i="1"/>
  <c r="K40" i="1"/>
  <c r="Q49" i="1"/>
  <c r="O49" i="1" s="1"/>
  <c r="AE45" i="1"/>
  <c r="AJ44" i="1"/>
  <c r="AH44" i="1"/>
  <c r="AI44" i="1"/>
  <c r="AA46" i="1"/>
  <c r="A46" i="1"/>
  <c r="F45" i="1"/>
  <c r="B45" i="1"/>
  <c r="P50" i="1" s="1"/>
  <c r="J47" i="4" l="1"/>
  <c r="AG42" i="4" s="1"/>
  <c r="AC42" i="4" s="1"/>
  <c r="AE54" i="4"/>
  <c r="AH53" i="4"/>
  <c r="AJ53" i="4"/>
  <c r="AF53" i="4"/>
  <c r="AB53" i="4" s="1"/>
  <c r="A61" i="4"/>
  <c r="G60" i="4"/>
  <c r="B60" i="4"/>
  <c r="P60" i="4" s="1"/>
  <c r="AA55" i="4"/>
  <c r="Q50" i="1"/>
  <c r="O50" i="1" s="1"/>
  <c r="AE46" i="1"/>
  <c r="I41" i="1"/>
  <c r="C41" i="1"/>
  <c r="AK41" i="1"/>
  <c r="AA47" i="1"/>
  <c r="A47" i="1"/>
  <c r="F46" i="1"/>
  <c r="B46" i="1"/>
  <c r="Q51" i="1" s="1"/>
  <c r="AJ45" i="1"/>
  <c r="AH45" i="1"/>
  <c r="AI45" i="1"/>
  <c r="G40" i="1"/>
  <c r="O47" i="4" l="1"/>
  <c r="AI42" i="4"/>
  <c r="K47" i="4"/>
  <c r="AE55" i="4"/>
  <c r="A62" i="4"/>
  <c r="G61" i="4"/>
  <c r="B61" i="4"/>
  <c r="P61" i="4" s="1"/>
  <c r="AA56" i="4"/>
  <c r="AJ54" i="4"/>
  <c r="AH54" i="4"/>
  <c r="AF54" i="4"/>
  <c r="AB54" i="4" s="1"/>
  <c r="P51" i="1"/>
  <c r="AE47" i="1"/>
  <c r="AJ46" i="1"/>
  <c r="AH46" i="1"/>
  <c r="AI46" i="1"/>
  <c r="J40" i="1"/>
  <c r="O51" i="1"/>
  <c r="AA48" i="1"/>
  <c r="A48" i="1"/>
  <c r="F47" i="1"/>
  <c r="B47" i="1"/>
  <c r="Q52" i="1" s="1"/>
  <c r="D41" i="1"/>
  <c r="E41" i="1" s="1"/>
  <c r="H41" i="1"/>
  <c r="K41" i="1"/>
  <c r="AJ55" i="4" l="1"/>
  <c r="AF55" i="4"/>
  <c r="AB55" i="4" s="1"/>
  <c r="AH55" i="4"/>
  <c r="AN41" i="4"/>
  <c r="I48" i="4"/>
  <c r="C48" i="4"/>
  <c r="AK42" i="4"/>
  <c r="AE56" i="4"/>
  <c r="A63" i="4"/>
  <c r="G62" i="4"/>
  <c r="B62" i="4"/>
  <c r="P62" i="4" s="1"/>
  <c r="AA57" i="4"/>
  <c r="G41" i="1"/>
  <c r="O52" i="1"/>
  <c r="AA49" i="1"/>
  <c r="A49" i="1"/>
  <c r="F48" i="1"/>
  <c r="B48" i="1"/>
  <c r="P53" i="1" s="1"/>
  <c r="P52" i="1"/>
  <c r="AJ47" i="1"/>
  <c r="AH47" i="1"/>
  <c r="AI47" i="1"/>
  <c r="I42" i="1"/>
  <c r="C42" i="1"/>
  <c r="AK42" i="1"/>
  <c r="AE48" i="1"/>
  <c r="AG41" i="1"/>
  <c r="AC41" i="1" s="1"/>
  <c r="AJ56" i="4" l="1"/>
  <c r="AF56" i="4"/>
  <c r="AB56" i="4" s="1"/>
  <c r="AH56" i="4"/>
  <c r="H48" i="4"/>
  <c r="D48" i="4"/>
  <c r="K48" i="4" s="1"/>
  <c r="AE57" i="4"/>
  <c r="A64" i="4"/>
  <c r="G63" i="4"/>
  <c r="B63" i="4"/>
  <c r="P63" i="4" s="1"/>
  <c r="AA58" i="4"/>
  <c r="AJ48" i="1"/>
  <c r="AH48" i="1"/>
  <c r="AI48" i="1"/>
  <c r="Q53" i="1"/>
  <c r="O53" i="1" s="1"/>
  <c r="AE49" i="1"/>
  <c r="D42" i="1"/>
  <c r="E42" i="1" s="1"/>
  <c r="H42" i="1"/>
  <c r="K42" i="1"/>
  <c r="AA50" i="1"/>
  <c r="A50" i="1"/>
  <c r="F49" i="1"/>
  <c r="B49" i="1"/>
  <c r="Q54" i="1" s="1"/>
  <c r="AF41" i="1"/>
  <c r="AB41" i="1" s="1"/>
  <c r="J41" i="1"/>
  <c r="J48" i="4" l="1"/>
  <c r="AG43" i="4" s="1"/>
  <c r="AC43" i="4" s="1"/>
  <c r="AJ57" i="4"/>
  <c r="AF57" i="4"/>
  <c r="AB57" i="4" s="1"/>
  <c r="AH57" i="4"/>
  <c r="AN42" i="4"/>
  <c r="I49" i="4"/>
  <c r="C49" i="4"/>
  <c r="AK43" i="4"/>
  <c r="AE58" i="4"/>
  <c r="A65" i="4"/>
  <c r="G64" i="4"/>
  <c r="B64" i="4"/>
  <c r="P64" i="4" s="1"/>
  <c r="AA59" i="4"/>
  <c r="O48" i="4"/>
  <c r="AI43" i="4"/>
  <c r="E48" i="4"/>
  <c r="O54" i="1"/>
  <c r="P41" i="1" s="1"/>
  <c r="AA51" i="1"/>
  <c r="A51" i="1"/>
  <c r="F50" i="1"/>
  <c r="O55" i="1" s="1"/>
  <c r="B50" i="1"/>
  <c r="P55" i="1" s="1"/>
  <c r="P54" i="1"/>
  <c r="I43" i="1"/>
  <c r="C43" i="1"/>
  <c r="AK43" i="1"/>
  <c r="AG42" i="1"/>
  <c r="AC42" i="1" s="1"/>
  <c r="AE50" i="1"/>
  <c r="G42" i="1"/>
  <c r="J42" i="1" s="1"/>
  <c r="AJ49" i="1"/>
  <c r="AH49" i="1"/>
  <c r="AI49" i="1"/>
  <c r="AJ58" i="4" l="1"/>
  <c r="AF58" i="4"/>
  <c r="AB58" i="4" s="1"/>
  <c r="AH58" i="4"/>
  <c r="H49" i="4"/>
  <c r="J49" i="4" s="1"/>
  <c r="AG44" i="4" s="1"/>
  <c r="AC44" i="4" s="1"/>
  <c r="D49" i="4"/>
  <c r="E49" i="4" s="1"/>
  <c r="K49" i="4"/>
  <c r="AE59" i="4"/>
  <c r="A66" i="4"/>
  <c r="G65" i="4"/>
  <c r="B65" i="4"/>
  <c r="P65" i="4" s="1"/>
  <c r="AA60" i="4"/>
  <c r="AG43" i="1"/>
  <c r="AC43" i="1" s="1"/>
  <c r="AJ50" i="1"/>
  <c r="AH50" i="1"/>
  <c r="AI50" i="1"/>
  <c r="AE51" i="1"/>
  <c r="D43" i="1"/>
  <c r="G43" i="1" s="1"/>
  <c r="H43" i="1"/>
  <c r="K43" i="1"/>
  <c r="AA52" i="1"/>
  <c r="A52" i="1"/>
  <c r="F51" i="1"/>
  <c r="O56" i="1" s="1"/>
  <c r="B51" i="1"/>
  <c r="P56" i="1" s="1"/>
  <c r="AJ59" i="4" l="1"/>
  <c r="AF59" i="4"/>
  <c r="AB59" i="4" s="1"/>
  <c r="AH59" i="4"/>
  <c r="AE60" i="4"/>
  <c r="A67" i="4"/>
  <c r="G66" i="4"/>
  <c r="B66" i="4"/>
  <c r="P66" i="4" s="1"/>
  <c r="AA61" i="4"/>
  <c r="AN43" i="4"/>
  <c r="I50" i="4"/>
  <c r="C50" i="4"/>
  <c r="AK44" i="4"/>
  <c r="O49" i="4"/>
  <c r="AI44" i="4"/>
  <c r="J43" i="1"/>
  <c r="AG44" i="1" s="1"/>
  <c r="AC44" i="1" s="1"/>
  <c r="AA53" i="1"/>
  <c r="A53" i="1"/>
  <c r="F52" i="1"/>
  <c r="O57" i="1" s="1"/>
  <c r="B52" i="1"/>
  <c r="P57" i="1" s="1"/>
  <c r="I44" i="1"/>
  <c r="C44" i="1"/>
  <c r="AK44" i="1"/>
  <c r="AE52" i="1"/>
  <c r="E43" i="1"/>
  <c r="AJ51" i="1"/>
  <c r="AH51" i="1"/>
  <c r="AI51" i="1"/>
  <c r="H50" i="4" l="1"/>
  <c r="D50" i="4"/>
  <c r="AH60" i="4"/>
  <c r="AF60" i="4"/>
  <c r="AB60" i="4" s="1"/>
  <c r="AJ60" i="4"/>
  <c r="AE61" i="4"/>
  <c r="A68" i="4"/>
  <c r="G67" i="4"/>
  <c r="B67" i="4"/>
  <c r="P67" i="4" s="1"/>
  <c r="AA62" i="4"/>
  <c r="AJ52" i="1"/>
  <c r="AH52" i="1"/>
  <c r="AI52" i="1"/>
  <c r="D44" i="1"/>
  <c r="G44" i="1" s="1"/>
  <c r="H44" i="1"/>
  <c r="K44" i="1"/>
  <c r="AA54" i="1"/>
  <c r="A54" i="1"/>
  <c r="F53" i="1"/>
  <c r="O58" i="1" s="1"/>
  <c r="B53" i="1"/>
  <c r="P58" i="1" s="1"/>
  <c r="AE53" i="1"/>
  <c r="J50" i="4" l="1"/>
  <c r="AG45" i="4" s="1"/>
  <c r="AC45" i="4" s="1"/>
  <c r="AE62" i="4"/>
  <c r="A69" i="4"/>
  <c r="G68" i="4"/>
  <c r="B68" i="4"/>
  <c r="P68" i="4" s="1"/>
  <c r="AA63" i="4"/>
  <c r="O50" i="4"/>
  <c r="AI45" i="4"/>
  <c r="E50" i="4"/>
  <c r="AH61" i="4"/>
  <c r="AF61" i="4"/>
  <c r="AB61" i="4" s="1"/>
  <c r="AJ61" i="4"/>
  <c r="K50" i="4"/>
  <c r="J44" i="1"/>
  <c r="AG45" i="1" s="1"/>
  <c r="AC45" i="1" s="1"/>
  <c r="AE54" i="1"/>
  <c r="E44" i="1"/>
  <c r="AJ53" i="1"/>
  <c r="AH53" i="1"/>
  <c r="AI53" i="1"/>
  <c r="A55" i="1"/>
  <c r="AA55" i="1"/>
  <c r="F54" i="1"/>
  <c r="O59" i="1" s="1"/>
  <c r="B54" i="1"/>
  <c r="P59" i="1" s="1"/>
  <c r="I45" i="1"/>
  <c r="C45" i="1"/>
  <c r="AK45" i="1"/>
  <c r="AE63" i="4" l="1"/>
  <c r="A70" i="4"/>
  <c r="G69" i="4"/>
  <c r="B69" i="4"/>
  <c r="P69" i="4" s="1"/>
  <c r="AA64" i="4"/>
  <c r="AN44" i="4"/>
  <c r="C51" i="4"/>
  <c r="I51" i="4"/>
  <c r="AK45" i="4"/>
  <c r="AH62" i="4"/>
  <c r="AF62" i="4"/>
  <c r="AB62" i="4" s="1"/>
  <c r="AJ62" i="4"/>
  <c r="AA56" i="1"/>
  <c r="A56" i="1"/>
  <c r="F55" i="1"/>
  <c r="O60" i="1" s="1"/>
  <c r="B55" i="1"/>
  <c r="P60" i="1" s="1"/>
  <c r="AJ54" i="1"/>
  <c r="AH54" i="1"/>
  <c r="AI54" i="1"/>
  <c r="D45" i="1"/>
  <c r="G45" i="1" s="1"/>
  <c r="H45" i="1"/>
  <c r="K45" i="1"/>
  <c r="AE55" i="1"/>
  <c r="H51" i="4" l="1"/>
  <c r="J51" i="4" s="1"/>
  <c r="AG46" i="4" s="1"/>
  <c r="AC46" i="4" s="1"/>
  <c r="D51" i="4"/>
  <c r="E51" i="4" s="1"/>
  <c r="AE64" i="4"/>
  <c r="A71" i="4"/>
  <c r="G70" i="4"/>
  <c r="B70" i="4"/>
  <c r="P70" i="4" s="1"/>
  <c r="AA65" i="4"/>
  <c r="AH63" i="4"/>
  <c r="AF63" i="4"/>
  <c r="AB63" i="4" s="1"/>
  <c r="AJ63" i="4"/>
  <c r="J45" i="1"/>
  <c r="AG46" i="1" s="1"/>
  <c r="AC46" i="1" s="1"/>
  <c r="I46" i="1"/>
  <c r="C46" i="1"/>
  <c r="AK46" i="1"/>
  <c r="AI55" i="1"/>
  <c r="AJ55" i="1"/>
  <c r="AH55" i="1"/>
  <c r="E45" i="1"/>
  <c r="A57" i="1"/>
  <c r="F56" i="1"/>
  <c r="O61" i="1" s="1"/>
  <c r="B56" i="1"/>
  <c r="P61" i="1" s="1"/>
  <c r="AA57" i="1"/>
  <c r="AE56" i="1"/>
  <c r="AE65" i="4" l="1"/>
  <c r="A72" i="4"/>
  <c r="G71" i="4"/>
  <c r="B71" i="4"/>
  <c r="P71" i="4" s="1"/>
  <c r="AA66" i="4"/>
  <c r="O51" i="4"/>
  <c r="AI46" i="4"/>
  <c r="AH64" i="4"/>
  <c r="AF64" i="4"/>
  <c r="AB64" i="4" s="1"/>
  <c r="AJ64" i="4"/>
  <c r="K51" i="4"/>
  <c r="AJ56" i="1"/>
  <c r="AH56" i="1"/>
  <c r="AI56" i="1"/>
  <c r="AE57" i="1"/>
  <c r="D46" i="1"/>
  <c r="G46" i="1" s="1"/>
  <c r="H46" i="1"/>
  <c r="K46" i="1"/>
  <c r="AA58" i="1"/>
  <c r="A58" i="1"/>
  <c r="F57" i="1"/>
  <c r="O62" i="1" s="1"/>
  <c r="B57" i="1"/>
  <c r="P62" i="1" s="1"/>
  <c r="AN45" i="4" l="1"/>
  <c r="I52" i="4"/>
  <c r="C52" i="4"/>
  <c r="AK46" i="4"/>
  <c r="AE66" i="4"/>
  <c r="A73" i="4"/>
  <c r="G72" i="4"/>
  <c r="B72" i="4"/>
  <c r="P72" i="4" s="1"/>
  <c r="AA67" i="4"/>
  <c r="AH65" i="4"/>
  <c r="AF65" i="4"/>
  <c r="AB65" i="4" s="1"/>
  <c r="AJ65" i="4"/>
  <c r="J46" i="1"/>
  <c r="AG47" i="1" s="1"/>
  <c r="AC47" i="1" s="1"/>
  <c r="AE58" i="1"/>
  <c r="I47" i="1"/>
  <c r="C47" i="1"/>
  <c r="AK47" i="1"/>
  <c r="A59" i="1"/>
  <c r="F58" i="1"/>
  <c r="O63" i="1" s="1"/>
  <c r="B58" i="1"/>
  <c r="P63" i="1" s="1"/>
  <c r="AA59" i="1"/>
  <c r="E46" i="1"/>
  <c r="AI57" i="1"/>
  <c r="AJ57" i="1"/>
  <c r="AH57" i="1"/>
  <c r="AE67" i="4" l="1"/>
  <c r="A74" i="4"/>
  <c r="G73" i="4"/>
  <c r="B73" i="4"/>
  <c r="P73" i="4" s="1"/>
  <c r="AA68" i="4"/>
  <c r="AH66" i="4"/>
  <c r="AF66" i="4"/>
  <c r="AB66" i="4" s="1"/>
  <c r="AJ66" i="4"/>
  <c r="H52" i="4"/>
  <c r="D52" i="4"/>
  <c r="K52" i="4" s="1"/>
  <c r="AA60" i="1"/>
  <c r="A60" i="1"/>
  <c r="F59" i="1"/>
  <c r="O64" i="1" s="1"/>
  <c r="B59" i="1"/>
  <c r="P64" i="1" s="1"/>
  <c r="AJ58" i="1"/>
  <c r="AH58" i="1"/>
  <c r="AI58" i="1"/>
  <c r="AE59" i="1"/>
  <c r="D47" i="1"/>
  <c r="G47" i="1" s="1"/>
  <c r="H47" i="1"/>
  <c r="K47" i="1"/>
  <c r="J52" i="4" l="1"/>
  <c r="AG47" i="4" s="1"/>
  <c r="AC47" i="4" s="1"/>
  <c r="O52" i="4"/>
  <c r="AI47" i="4"/>
  <c r="E52" i="4"/>
  <c r="AE68" i="4"/>
  <c r="A75" i="4"/>
  <c r="G74" i="4"/>
  <c r="B74" i="4"/>
  <c r="P74" i="4" s="1"/>
  <c r="AA69" i="4"/>
  <c r="AN46" i="4"/>
  <c r="I53" i="4"/>
  <c r="C53" i="4"/>
  <c r="AK47" i="4"/>
  <c r="AH67" i="4"/>
  <c r="AF67" i="4"/>
  <c r="AB67" i="4" s="1"/>
  <c r="AJ67" i="4"/>
  <c r="J47" i="1"/>
  <c r="AG48" i="1" s="1"/>
  <c r="AC48" i="1" s="1"/>
  <c r="E47" i="1"/>
  <c r="AI59" i="1"/>
  <c r="AJ59" i="1"/>
  <c r="AH59" i="1"/>
  <c r="AA61" i="1"/>
  <c r="A61" i="1"/>
  <c r="F60" i="1"/>
  <c r="O65" i="1" s="1"/>
  <c r="B60" i="1"/>
  <c r="P65" i="1" s="1"/>
  <c r="I48" i="1"/>
  <c r="C48" i="1"/>
  <c r="AK48" i="1"/>
  <c r="AE60" i="1"/>
  <c r="H53" i="4" l="1"/>
  <c r="J53" i="4" s="1"/>
  <c r="AG48" i="4" s="1"/>
  <c r="AC48" i="4" s="1"/>
  <c r="D53" i="4"/>
  <c r="K53" i="4"/>
  <c r="AH68" i="4"/>
  <c r="AF68" i="4"/>
  <c r="AB68" i="4" s="1"/>
  <c r="AJ68" i="4"/>
  <c r="AE69" i="4"/>
  <c r="A76" i="4"/>
  <c r="G75" i="4"/>
  <c r="B75" i="4"/>
  <c r="P75" i="4" s="1"/>
  <c r="AA70" i="4"/>
  <c r="AJ60" i="1"/>
  <c r="AH60" i="1"/>
  <c r="AI60" i="1"/>
  <c r="AE61" i="1"/>
  <c r="D48" i="1"/>
  <c r="G48" i="1" s="1"/>
  <c r="H48" i="1"/>
  <c r="K48" i="1"/>
  <c r="AA62" i="1"/>
  <c r="A62" i="1"/>
  <c r="F61" i="1"/>
  <c r="O66" i="1" s="1"/>
  <c r="B61" i="1"/>
  <c r="P66" i="1" s="1"/>
  <c r="AE70" i="4" l="1"/>
  <c r="A77" i="4"/>
  <c r="G76" i="4"/>
  <c r="B76" i="4"/>
  <c r="P76" i="4" s="1"/>
  <c r="AA71" i="4"/>
  <c r="AN47" i="4"/>
  <c r="I54" i="4"/>
  <c r="C54" i="4"/>
  <c r="AK48" i="4"/>
  <c r="O53" i="4"/>
  <c r="AI48" i="4"/>
  <c r="AH69" i="4"/>
  <c r="AF69" i="4"/>
  <c r="AB69" i="4" s="1"/>
  <c r="AJ69" i="4"/>
  <c r="E53" i="4"/>
  <c r="J48" i="1"/>
  <c r="AG49" i="1" s="1"/>
  <c r="AC49" i="1" s="1"/>
  <c r="A63" i="1"/>
  <c r="F62" i="1"/>
  <c r="O67" i="1" s="1"/>
  <c r="B62" i="1"/>
  <c r="P67" i="1" s="1"/>
  <c r="AA63" i="1"/>
  <c r="I49" i="1"/>
  <c r="C49" i="1"/>
  <c r="AK49" i="1"/>
  <c r="AI61" i="1"/>
  <c r="AJ61" i="1"/>
  <c r="AH61" i="1"/>
  <c r="AE62" i="1"/>
  <c r="E48" i="1"/>
  <c r="AE71" i="4" l="1"/>
  <c r="A78" i="4"/>
  <c r="G77" i="4"/>
  <c r="B77" i="4"/>
  <c r="P77" i="4" s="1"/>
  <c r="AA72" i="4"/>
  <c r="H54" i="4"/>
  <c r="D54" i="4"/>
  <c r="K54" i="4" s="1"/>
  <c r="AH70" i="4"/>
  <c r="AF70" i="4"/>
  <c r="AB70" i="4" s="1"/>
  <c r="AJ70" i="4"/>
  <c r="AJ62" i="1"/>
  <c r="AH62" i="1"/>
  <c r="AI62" i="1"/>
  <c r="AA64" i="1"/>
  <c r="A64" i="1"/>
  <c r="F63" i="1"/>
  <c r="O68" i="1" s="1"/>
  <c r="B63" i="1"/>
  <c r="P68" i="1" s="1"/>
  <c r="D49" i="1"/>
  <c r="G49" i="1" s="1"/>
  <c r="H49" i="1"/>
  <c r="K49" i="1"/>
  <c r="AE63" i="1"/>
  <c r="J54" i="4" l="1"/>
  <c r="AG49" i="4" s="1"/>
  <c r="AC49" i="4" s="1"/>
  <c r="AN48" i="4"/>
  <c r="C55" i="4"/>
  <c r="I55" i="4"/>
  <c r="AK49" i="4"/>
  <c r="AH71" i="4"/>
  <c r="AF71" i="4"/>
  <c r="AB71" i="4" s="1"/>
  <c r="AJ71" i="4"/>
  <c r="O54" i="4"/>
  <c r="AI49" i="4"/>
  <c r="E54" i="4"/>
  <c r="AE72" i="4"/>
  <c r="A79" i="4"/>
  <c r="G78" i="4"/>
  <c r="B78" i="4"/>
  <c r="P78" i="4" s="1"/>
  <c r="AA73" i="4"/>
  <c r="J49" i="1"/>
  <c r="AG50" i="1" s="1"/>
  <c r="AC50" i="1" s="1"/>
  <c r="I50" i="1"/>
  <c r="C50" i="1"/>
  <c r="AK50" i="1"/>
  <c r="A65" i="1"/>
  <c r="F64" i="1"/>
  <c r="O69" i="1" s="1"/>
  <c r="B64" i="1"/>
  <c r="P69" i="1" s="1"/>
  <c r="AA65" i="1"/>
  <c r="AE64" i="1"/>
  <c r="AI63" i="1"/>
  <c r="AJ63" i="1"/>
  <c r="AH63" i="1"/>
  <c r="E49" i="1"/>
  <c r="AE73" i="4" l="1"/>
  <c r="A80" i="4"/>
  <c r="G79" i="4"/>
  <c r="B79" i="4"/>
  <c r="P79" i="4" s="1"/>
  <c r="AA74" i="4"/>
  <c r="H55" i="4"/>
  <c r="J55" i="4" s="1"/>
  <c r="AG50" i="4" s="1"/>
  <c r="AC50" i="4" s="1"/>
  <c r="D55" i="4"/>
  <c r="E55" i="4" s="1"/>
  <c r="K55" i="4"/>
  <c r="AH72" i="4"/>
  <c r="AF72" i="4"/>
  <c r="AB72" i="4" s="1"/>
  <c r="AJ72" i="4"/>
  <c r="AJ64" i="1"/>
  <c r="AH64" i="1"/>
  <c r="AI64" i="1"/>
  <c r="AE65" i="1"/>
  <c r="D50" i="1"/>
  <c r="G50" i="1" s="1"/>
  <c r="H50" i="1"/>
  <c r="K50" i="1"/>
  <c r="AA66" i="1"/>
  <c r="A66" i="1"/>
  <c r="F65" i="1"/>
  <c r="O70" i="1" s="1"/>
  <c r="B65" i="1"/>
  <c r="P70" i="1" s="1"/>
  <c r="O55" i="4" l="1"/>
  <c r="P41" i="4" s="1"/>
  <c r="AI50" i="4"/>
  <c r="AE74" i="4"/>
  <c r="A81" i="4"/>
  <c r="G80" i="4"/>
  <c r="B80" i="4"/>
  <c r="P80" i="4" s="1"/>
  <c r="AA75" i="4"/>
  <c r="AN49" i="4"/>
  <c r="I56" i="4"/>
  <c r="C56" i="4"/>
  <c r="AK50" i="4"/>
  <c r="AH73" i="4"/>
  <c r="AF73" i="4"/>
  <c r="AB73" i="4" s="1"/>
  <c r="AJ73" i="4"/>
  <c r="J50" i="1"/>
  <c r="AG51" i="1" s="1"/>
  <c r="AC51" i="1" s="1"/>
  <c r="E50" i="1"/>
  <c r="A67" i="1"/>
  <c r="F66" i="1"/>
  <c r="O71" i="1" s="1"/>
  <c r="B66" i="1"/>
  <c r="P71" i="1" s="1"/>
  <c r="AA67" i="1"/>
  <c r="AE66" i="1"/>
  <c r="I51" i="1"/>
  <c r="C51" i="1"/>
  <c r="AK51" i="1"/>
  <c r="AI65" i="1"/>
  <c r="AJ65" i="1"/>
  <c r="AH65" i="1"/>
  <c r="AE75" i="4" l="1"/>
  <c r="A82" i="4"/>
  <c r="G81" i="4"/>
  <c r="B81" i="4"/>
  <c r="P81" i="4" s="1"/>
  <c r="AA76" i="4"/>
  <c r="H56" i="4"/>
  <c r="D56" i="4"/>
  <c r="AH74" i="4"/>
  <c r="AF74" i="4"/>
  <c r="AB74" i="4" s="1"/>
  <c r="AJ74" i="4"/>
  <c r="D51" i="1"/>
  <c r="G51" i="1" s="1"/>
  <c r="H51" i="1"/>
  <c r="K51" i="1"/>
  <c r="AA68" i="1"/>
  <c r="A68" i="1"/>
  <c r="F67" i="1"/>
  <c r="O72" i="1" s="1"/>
  <c r="B67" i="1"/>
  <c r="P72" i="1" s="1"/>
  <c r="AJ66" i="1"/>
  <c r="AH66" i="1"/>
  <c r="AI66" i="1"/>
  <c r="AE67" i="1"/>
  <c r="J56" i="4" l="1"/>
  <c r="AG51" i="4" s="1"/>
  <c r="AC51" i="4" s="1"/>
  <c r="AH75" i="4"/>
  <c r="AF75" i="4"/>
  <c r="AB75" i="4" s="1"/>
  <c r="AJ75" i="4"/>
  <c r="E56" i="4"/>
  <c r="AE76" i="4"/>
  <c r="A83" i="4"/>
  <c r="G82" i="4"/>
  <c r="B82" i="4"/>
  <c r="P82" i="4" s="1"/>
  <c r="AA77" i="4"/>
  <c r="J51" i="1"/>
  <c r="AG52" i="1" s="1"/>
  <c r="AC52" i="1" s="1"/>
  <c r="E51" i="1"/>
  <c r="AI67" i="1"/>
  <c r="AJ67" i="1"/>
  <c r="AH67" i="1"/>
  <c r="A69" i="1"/>
  <c r="F68" i="1"/>
  <c r="O73" i="1" s="1"/>
  <c r="B68" i="1"/>
  <c r="P73" i="1" s="1"/>
  <c r="AA69" i="1"/>
  <c r="AE68" i="1"/>
  <c r="I52" i="1"/>
  <c r="C52" i="1"/>
  <c r="AK52" i="1"/>
  <c r="AE77" i="4" l="1"/>
  <c r="A84" i="4"/>
  <c r="G83" i="4"/>
  <c r="B83" i="4"/>
  <c r="P83" i="4" s="1"/>
  <c r="AA78" i="4"/>
  <c r="AH76" i="4"/>
  <c r="AF76" i="4"/>
  <c r="AB76" i="4" s="1"/>
  <c r="AJ76" i="4"/>
  <c r="D52" i="1"/>
  <c r="G52" i="1" s="1"/>
  <c r="H52" i="1"/>
  <c r="K52" i="1"/>
  <c r="AA70" i="1"/>
  <c r="A70" i="1"/>
  <c r="F69" i="1"/>
  <c r="O74" i="1" s="1"/>
  <c r="B69" i="1"/>
  <c r="P74" i="1" s="1"/>
  <c r="AJ68" i="1"/>
  <c r="AH68" i="1"/>
  <c r="AI68" i="1"/>
  <c r="AE69" i="1"/>
  <c r="AE78" i="4" l="1"/>
  <c r="A85" i="4"/>
  <c r="G84" i="4"/>
  <c r="B84" i="4"/>
  <c r="P84" i="4" s="1"/>
  <c r="AA79" i="4"/>
  <c r="O57" i="4"/>
  <c r="AI52" i="4"/>
  <c r="AH77" i="4"/>
  <c r="AF77" i="4"/>
  <c r="AB77" i="4" s="1"/>
  <c r="AJ77" i="4"/>
  <c r="J52" i="1"/>
  <c r="AG53" i="1" s="1"/>
  <c r="AC53" i="1" s="1"/>
  <c r="I53" i="1"/>
  <c r="C53" i="1"/>
  <c r="AK53" i="1"/>
  <c r="AI69" i="1"/>
  <c r="AJ69" i="1"/>
  <c r="AH69" i="1"/>
  <c r="A71" i="1"/>
  <c r="F70" i="1"/>
  <c r="O75" i="1" s="1"/>
  <c r="B70" i="1"/>
  <c r="P75" i="1" s="1"/>
  <c r="AA71" i="1"/>
  <c r="AE70" i="1"/>
  <c r="E52" i="1"/>
  <c r="AE79" i="4" l="1"/>
  <c r="A86" i="4"/>
  <c r="G85" i="4"/>
  <c r="B85" i="4"/>
  <c r="P85" i="4" s="1"/>
  <c r="AA80" i="4"/>
  <c r="AH78" i="4"/>
  <c r="AF78" i="4"/>
  <c r="AB78" i="4" s="1"/>
  <c r="AJ78" i="4"/>
  <c r="AA72" i="1"/>
  <c r="A72" i="1"/>
  <c r="F71" i="1"/>
  <c r="O76" i="1" s="1"/>
  <c r="B71" i="1"/>
  <c r="P76" i="1" s="1"/>
  <c r="AJ70" i="1"/>
  <c r="AH70" i="1"/>
  <c r="AI70" i="1"/>
  <c r="AE71" i="1"/>
  <c r="D53" i="1"/>
  <c r="G53" i="1" s="1"/>
  <c r="H53" i="1"/>
  <c r="K53" i="1"/>
  <c r="AE80" i="4" l="1"/>
  <c r="A87" i="4"/>
  <c r="G86" i="4"/>
  <c r="B86" i="4"/>
  <c r="P86" i="4" s="1"/>
  <c r="AA81" i="4"/>
  <c r="O58" i="4"/>
  <c r="AI53" i="4"/>
  <c r="AH79" i="4"/>
  <c r="AF79" i="4"/>
  <c r="AB79" i="4" s="1"/>
  <c r="AJ79" i="4"/>
  <c r="J53" i="1"/>
  <c r="AG54" i="1" s="1"/>
  <c r="AC54" i="1" s="1"/>
  <c r="E53" i="1"/>
  <c r="AI71" i="1"/>
  <c r="AJ71" i="1"/>
  <c r="AH71" i="1"/>
  <c r="I54" i="1"/>
  <c r="C54" i="1"/>
  <c r="AK54" i="1"/>
  <c r="A73" i="1"/>
  <c r="F72" i="1"/>
  <c r="O77" i="1" s="1"/>
  <c r="B72" i="1"/>
  <c r="P77" i="1" s="1"/>
  <c r="AA73" i="1"/>
  <c r="AE72" i="1"/>
  <c r="AE81" i="4" l="1"/>
  <c r="A88" i="4"/>
  <c r="G87" i="4"/>
  <c r="B87" i="4"/>
  <c r="P87" i="4" s="1"/>
  <c r="AA82" i="4"/>
  <c r="AH80" i="4"/>
  <c r="AF80" i="4"/>
  <c r="AB80" i="4" s="1"/>
  <c r="AJ80" i="4"/>
  <c r="AJ72" i="1"/>
  <c r="AH72" i="1"/>
  <c r="AI72" i="1"/>
  <c r="AE73" i="1"/>
  <c r="AA74" i="1"/>
  <c r="A74" i="1"/>
  <c r="F73" i="1"/>
  <c r="O78" i="1" s="1"/>
  <c r="B73" i="1"/>
  <c r="P78" i="1" s="1"/>
  <c r="D54" i="1"/>
  <c r="G54" i="1" s="1"/>
  <c r="H54" i="1"/>
  <c r="K54" i="1"/>
  <c r="O59" i="4" l="1"/>
  <c r="AI54" i="4"/>
  <c r="AE82" i="4"/>
  <c r="A89" i="4"/>
  <c r="G88" i="4"/>
  <c r="B88" i="4"/>
  <c r="P88" i="4" s="1"/>
  <c r="AA83" i="4"/>
  <c r="AH81" i="4"/>
  <c r="AF81" i="4"/>
  <c r="AB81" i="4" s="1"/>
  <c r="AJ81" i="4"/>
  <c r="J54" i="1"/>
  <c r="AG55" i="1" s="1"/>
  <c r="AC55" i="1" s="1"/>
  <c r="I55" i="1"/>
  <c r="C55" i="1"/>
  <c r="AK55" i="1"/>
  <c r="A75" i="1"/>
  <c r="F74" i="1"/>
  <c r="O79" i="1" s="1"/>
  <c r="B74" i="1"/>
  <c r="P79" i="1" s="1"/>
  <c r="AA75" i="1"/>
  <c r="AE74" i="1"/>
  <c r="E54" i="1"/>
  <c r="AI73" i="1"/>
  <c r="AJ73" i="1"/>
  <c r="AH73" i="1"/>
  <c r="AH82" i="4" l="1"/>
  <c r="AF82" i="4"/>
  <c r="AB82" i="4" s="1"/>
  <c r="AJ82" i="4"/>
  <c r="AE83" i="4"/>
  <c r="A90" i="4"/>
  <c r="G89" i="4"/>
  <c r="B89" i="4"/>
  <c r="P89" i="4" s="1"/>
  <c r="AA84" i="4"/>
  <c r="AA76" i="1"/>
  <c r="A76" i="1"/>
  <c r="F75" i="1"/>
  <c r="O80" i="1" s="1"/>
  <c r="B75" i="1"/>
  <c r="P80" i="1" s="1"/>
  <c r="AJ74" i="1"/>
  <c r="AH74" i="1"/>
  <c r="AI74" i="1"/>
  <c r="AE75" i="1"/>
  <c r="D55" i="1"/>
  <c r="G55" i="1" s="1"/>
  <c r="H55" i="1"/>
  <c r="K55" i="1"/>
  <c r="AE84" i="4" l="1"/>
  <c r="A91" i="4"/>
  <c r="G90" i="4"/>
  <c r="B90" i="4"/>
  <c r="P90" i="4" s="1"/>
  <c r="AA85" i="4"/>
  <c r="O60" i="4"/>
  <c r="AI55" i="4"/>
  <c r="AH83" i="4"/>
  <c r="AF83" i="4"/>
  <c r="AB83" i="4" s="1"/>
  <c r="AJ83" i="4"/>
  <c r="J55" i="1"/>
  <c r="AG56" i="1" s="1"/>
  <c r="AC56" i="1" s="1"/>
  <c r="E55" i="1"/>
  <c r="I56" i="1"/>
  <c r="C56" i="1"/>
  <c r="AK56" i="1"/>
  <c r="AI75" i="1"/>
  <c r="AJ75" i="1"/>
  <c r="AH75" i="1"/>
  <c r="A77" i="1"/>
  <c r="F76" i="1"/>
  <c r="O81" i="1" s="1"/>
  <c r="B76" i="1"/>
  <c r="P81" i="1" s="1"/>
  <c r="AA77" i="1"/>
  <c r="AE76" i="1"/>
  <c r="AE85" i="4" l="1"/>
  <c r="A92" i="4"/>
  <c r="G91" i="4"/>
  <c r="B91" i="4"/>
  <c r="P91" i="4" s="1"/>
  <c r="AA86" i="4"/>
  <c r="AH84" i="4"/>
  <c r="AF84" i="4"/>
  <c r="AB84" i="4" s="1"/>
  <c r="AJ84" i="4"/>
  <c r="AA78" i="1"/>
  <c r="A78" i="1"/>
  <c r="F77" i="1"/>
  <c r="O82" i="1" s="1"/>
  <c r="B77" i="1"/>
  <c r="P82" i="1" s="1"/>
  <c r="D56" i="1"/>
  <c r="G56" i="1" s="1"/>
  <c r="H56" i="1"/>
  <c r="K56" i="1"/>
  <c r="AJ76" i="1"/>
  <c r="AH76" i="1"/>
  <c r="AI76" i="1"/>
  <c r="AE77" i="1"/>
  <c r="AE86" i="4" l="1"/>
  <c r="A93" i="4"/>
  <c r="G92" i="4"/>
  <c r="B92" i="4"/>
  <c r="P92" i="4" s="1"/>
  <c r="AA87" i="4"/>
  <c r="AH85" i="4"/>
  <c r="AF85" i="4"/>
  <c r="AB85" i="4" s="1"/>
  <c r="AJ85" i="4"/>
  <c r="J56" i="1"/>
  <c r="AG57" i="1" s="1"/>
  <c r="AC57" i="1" s="1"/>
  <c r="AI77" i="1"/>
  <c r="AJ77" i="1"/>
  <c r="AH77" i="1"/>
  <c r="I57" i="1"/>
  <c r="C57" i="1"/>
  <c r="AK57" i="1"/>
  <c r="E56" i="1"/>
  <c r="A79" i="1"/>
  <c r="F78" i="1"/>
  <c r="O83" i="1" s="1"/>
  <c r="B78" i="1"/>
  <c r="P83" i="1" s="1"/>
  <c r="AA79" i="1"/>
  <c r="AE78" i="1"/>
  <c r="O61" i="4" l="1"/>
  <c r="AI56" i="4"/>
  <c r="AE87" i="4"/>
  <c r="A94" i="4"/>
  <c r="G93" i="4"/>
  <c r="B93" i="4"/>
  <c r="P93" i="4" s="1"/>
  <c r="AA88" i="4"/>
  <c r="AH86" i="4"/>
  <c r="AF86" i="4"/>
  <c r="AB86" i="4" s="1"/>
  <c r="AJ86" i="4"/>
  <c r="AJ78" i="1"/>
  <c r="AH78" i="1"/>
  <c r="AI78" i="1"/>
  <c r="AE79" i="1"/>
  <c r="D57" i="1"/>
  <c r="G57" i="1" s="1"/>
  <c r="H57" i="1"/>
  <c r="K57" i="1"/>
  <c r="AA80" i="1"/>
  <c r="A80" i="1"/>
  <c r="F79" i="1"/>
  <c r="O84" i="1" s="1"/>
  <c r="B79" i="1"/>
  <c r="P84" i="1" s="1"/>
  <c r="AH87" i="4" l="1"/>
  <c r="AF87" i="4"/>
  <c r="AB87" i="4" s="1"/>
  <c r="AJ87" i="4"/>
  <c r="AE88" i="4"/>
  <c r="A95" i="4"/>
  <c r="G94" i="4"/>
  <c r="B94" i="4"/>
  <c r="P94" i="4" s="1"/>
  <c r="AA89" i="4"/>
  <c r="J57" i="1"/>
  <c r="AG58" i="1" s="1"/>
  <c r="AC58" i="1" s="1"/>
  <c r="A81" i="1"/>
  <c r="F80" i="1"/>
  <c r="O85" i="1" s="1"/>
  <c r="B80" i="1"/>
  <c r="P85" i="1" s="1"/>
  <c r="AA81" i="1"/>
  <c r="AE80" i="1"/>
  <c r="E57" i="1"/>
  <c r="I58" i="1"/>
  <c r="C58" i="1"/>
  <c r="AK58" i="1"/>
  <c r="AI79" i="1"/>
  <c r="AJ79" i="1"/>
  <c r="AH79" i="1"/>
  <c r="AE89" i="4" l="1"/>
  <c r="A96" i="4"/>
  <c r="G95" i="4"/>
  <c r="B95" i="4"/>
  <c r="P95" i="4" s="1"/>
  <c r="AA90" i="4"/>
  <c r="O62" i="4"/>
  <c r="AI57" i="4"/>
  <c r="AH88" i="4"/>
  <c r="AF88" i="4"/>
  <c r="AB88" i="4" s="1"/>
  <c r="AJ88" i="4"/>
  <c r="D58" i="1"/>
  <c r="G58" i="1" s="1"/>
  <c r="H58" i="1"/>
  <c r="K58" i="1"/>
  <c r="AA82" i="1"/>
  <c r="A82" i="1"/>
  <c r="F81" i="1"/>
  <c r="O86" i="1" s="1"/>
  <c r="B81" i="1"/>
  <c r="P86" i="1" s="1"/>
  <c r="AJ80" i="1"/>
  <c r="AH80" i="1"/>
  <c r="AI80" i="1"/>
  <c r="AE81" i="1"/>
  <c r="AE90" i="4" l="1"/>
  <c r="A97" i="4"/>
  <c r="G96" i="4"/>
  <c r="B96" i="4"/>
  <c r="P96" i="4" s="1"/>
  <c r="AA91" i="4"/>
  <c r="AH89" i="4"/>
  <c r="AF89" i="4"/>
  <c r="AB89" i="4" s="1"/>
  <c r="AJ89" i="4"/>
  <c r="J58" i="1"/>
  <c r="AG59" i="1" s="1"/>
  <c r="AC59" i="1" s="1"/>
  <c r="A83" i="1"/>
  <c r="F82" i="1"/>
  <c r="O87" i="1" s="1"/>
  <c r="B82" i="1"/>
  <c r="P87" i="1" s="1"/>
  <c r="AA83" i="1"/>
  <c r="AE82" i="1"/>
  <c r="I59" i="1"/>
  <c r="C59" i="1"/>
  <c r="AK59" i="1"/>
  <c r="E58" i="1"/>
  <c r="AI81" i="1"/>
  <c r="AJ81" i="1"/>
  <c r="AH81" i="1"/>
  <c r="AE91" i="4" l="1"/>
  <c r="A98" i="4"/>
  <c r="G97" i="4"/>
  <c r="B97" i="4"/>
  <c r="P97" i="4" s="1"/>
  <c r="AA92" i="4"/>
  <c r="AH90" i="4"/>
  <c r="AF90" i="4"/>
  <c r="AB90" i="4" s="1"/>
  <c r="AJ90" i="4"/>
  <c r="AA84" i="1"/>
  <c r="A84" i="1"/>
  <c r="F83" i="1"/>
  <c r="O88" i="1" s="1"/>
  <c r="B83" i="1"/>
  <c r="P88" i="1" s="1"/>
  <c r="D59" i="1"/>
  <c r="G59" i="1" s="1"/>
  <c r="H59" i="1"/>
  <c r="K59" i="1"/>
  <c r="AJ82" i="1"/>
  <c r="AH82" i="1"/>
  <c r="AI82" i="1"/>
  <c r="AE83" i="1"/>
  <c r="AH91" i="4" l="1"/>
  <c r="AF91" i="4"/>
  <c r="AB91" i="4" s="1"/>
  <c r="AJ91" i="4"/>
  <c r="O63" i="4"/>
  <c r="AI58" i="4"/>
  <c r="AE92" i="4"/>
  <c r="A99" i="4"/>
  <c r="G98" i="4"/>
  <c r="B98" i="4"/>
  <c r="P98" i="4" s="1"/>
  <c r="AA93" i="4"/>
  <c r="J59" i="1"/>
  <c r="AG60" i="1" s="1"/>
  <c r="AC60" i="1" s="1"/>
  <c r="I60" i="1"/>
  <c r="C60" i="1"/>
  <c r="AK60" i="1"/>
  <c r="AI83" i="1"/>
  <c r="AJ83" i="1"/>
  <c r="AH83" i="1"/>
  <c r="E59" i="1"/>
  <c r="A85" i="1"/>
  <c r="F84" i="1"/>
  <c r="O89" i="1" s="1"/>
  <c r="B84" i="1"/>
  <c r="P89" i="1" s="1"/>
  <c r="AA85" i="1"/>
  <c r="AE84" i="1"/>
  <c r="AE93" i="4" l="1"/>
  <c r="A100" i="4"/>
  <c r="G99" i="4"/>
  <c r="B99" i="4"/>
  <c r="P99" i="4" s="1"/>
  <c r="AA94" i="4"/>
  <c r="AH92" i="4"/>
  <c r="AF92" i="4"/>
  <c r="AB92" i="4" s="1"/>
  <c r="AJ92" i="4"/>
  <c r="AJ84" i="1"/>
  <c r="AH84" i="1"/>
  <c r="AI84" i="1"/>
  <c r="AE85" i="1"/>
  <c r="D60" i="1"/>
  <c r="G60" i="1" s="1"/>
  <c r="H60" i="1"/>
  <c r="K60" i="1"/>
  <c r="AA86" i="1"/>
  <c r="A86" i="1"/>
  <c r="F85" i="1"/>
  <c r="O90" i="1" s="1"/>
  <c r="B85" i="1"/>
  <c r="P90" i="1" s="1"/>
  <c r="O64" i="4" l="1"/>
  <c r="AI59" i="4"/>
  <c r="AE94" i="4"/>
  <c r="A101" i="4"/>
  <c r="G100" i="4"/>
  <c r="B100" i="4"/>
  <c r="P100" i="4" s="1"/>
  <c r="AA95" i="4"/>
  <c r="AH93" i="4"/>
  <c r="AF93" i="4"/>
  <c r="AB93" i="4" s="1"/>
  <c r="AJ93" i="4"/>
  <c r="J60" i="1"/>
  <c r="AG61" i="1" s="1"/>
  <c r="AC61" i="1" s="1"/>
  <c r="E60" i="1"/>
  <c r="A87" i="1"/>
  <c r="F86" i="1"/>
  <c r="O91" i="1" s="1"/>
  <c r="B86" i="1"/>
  <c r="P91" i="1" s="1"/>
  <c r="AA87" i="1"/>
  <c r="AE86" i="1"/>
  <c r="I61" i="1"/>
  <c r="C61" i="1"/>
  <c r="AK61" i="1"/>
  <c r="AI85" i="1"/>
  <c r="AJ85" i="1"/>
  <c r="AH85" i="1"/>
  <c r="AH94" i="4" l="1"/>
  <c r="AF94" i="4"/>
  <c r="AB94" i="4" s="1"/>
  <c r="AJ94" i="4"/>
  <c r="AE95" i="4"/>
  <c r="A102" i="4"/>
  <c r="G101" i="4"/>
  <c r="B101" i="4"/>
  <c r="P101" i="4" s="1"/>
  <c r="AA96" i="4"/>
  <c r="AJ86" i="1"/>
  <c r="AH86" i="1"/>
  <c r="AI86" i="1"/>
  <c r="AE87" i="1"/>
  <c r="D61" i="1"/>
  <c r="G61" i="1" s="1"/>
  <c r="H61" i="1"/>
  <c r="K61" i="1"/>
  <c r="AA88" i="1"/>
  <c r="A88" i="1"/>
  <c r="F87" i="1"/>
  <c r="O92" i="1" s="1"/>
  <c r="B87" i="1"/>
  <c r="P92" i="1" s="1"/>
  <c r="AE96" i="4" l="1"/>
  <c r="A103" i="4"/>
  <c r="G102" i="4"/>
  <c r="B102" i="4"/>
  <c r="P102" i="4" s="1"/>
  <c r="AA97" i="4"/>
  <c r="O65" i="4"/>
  <c r="AI60" i="4"/>
  <c r="AH95" i="4"/>
  <c r="AF95" i="4"/>
  <c r="AB95" i="4" s="1"/>
  <c r="AJ95" i="4"/>
  <c r="J61" i="1"/>
  <c r="AG62" i="1" s="1"/>
  <c r="AC62" i="1" s="1"/>
  <c r="E61" i="1"/>
  <c r="I62" i="1"/>
  <c r="C62" i="1"/>
  <c r="AK62" i="1"/>
  <c r="A89" i="1"/>
  <c r="F88" i="1"/>
  <c r="O93" i="1" s="1"/>
  <c r="B88" i="1"/>
  <c r="P93" i="1" s="1"/>
  <c r="AA89" i="1"/>
  <c r="AE88" i="1"/>
  <c r="AI87" i="1"/>
  <c r="AJ87" i="1"/>
  <c r="AH87" i="1"/>
  <c r="AE97" i="4" l="1"/>
  <c r="A104" i="4"/>
  <c r="G103" i="4"/>
  <c r="B103" i="4"/>
  <c r="P103" i="4" s="1"/>
  <c r="AA98" i="4"/>
  <c r="AH96" i="4"/>
  <c r="AF96" i="4"/>
  <c r="AB96" i="4" s="1"/>
  <c r="AJ96" i="4"/>
  <c r="AA90" i="1"/>
  <c r="A90" i="1"/>
  <c r="F89" i="1"/>
  <c r="O94" i="1" s="1"/>
  <c r="B89" i="1"/>
  <c r="P94" i="1" s="1"/>
  <c r="AJ88" i="1"/>
  <c r="AH88" i="1"/>
  <c r="AI88" i="1"/>
  <c r="AE89" i="1"/>
  <c r="D62" i="1"/>
  <c r="G62" i="1" s="1"/>
  <c r="H62" i="1"/>
  <c r="K62" i="1"/>
  <c r="AE98" i="4" l="1"/>
  <c r="A105" i="4"/>
  <c r="G104" i="4"/>
  <c r="B104" i="4"/>
  <c r="P104" i="4" s="1"/>
  <c r="AA99" i="4"/>
  <c r="AH97" i="4"/>
  <c r="AF97" i="4"/>
  <c r="AB97" i="4" s="1"/>
  <c r="AJ97" i="4"/>
  <c r="J62" i="1"/>
  <c r="AG63" i="1" s="1"/>
  <c r="AC63" i="1" s="1"/>
  <c r="E62" i="1"/>
  <c r="I63" i="1"/>
  <c r="C63" i="1"/>
  <c r="AK63" i="1"/>
  <c r="AI89" i="1"/>
  <c r="AJ89" i="1"/>
  <c r="AH89" i="1"/>
  <c r="A91" i="1"/>
  <c r="F90" i="1"/>
  <c r="O95" i="1" s="1"/>
  <c r="B90" i="1"/>
  <c r="P95" i="1" s="1"/>
  <c r="AA91" i="1"/>
  <c r="AE90" i="1"/>
  <c r="AH98" i="4" l="1"/>
  <c r="AF98" i="4"/>
  <c r="AB98" i="4" s="1"/>
  <c r="AJ98" i="4"/>
  <c r="O66" i="4"/>
  <c r="AI61" i="4"/>
  <c r="AE99" i="4"/>
  <c r="A106" i="4"/>
  <c r="G105" i="4"/>
  <c r="B105" i="4"/>
  <c r="P105" i="4" s="1"/>
  <c r="AA100" i="4"/>
  <c r="AA92" i="1"/>
  <c r="A92" i="1"/>
  <c r="F91" i="1"/>
  <c r="O96" i="1" s="1"/>
  <c r="B91" i="1"/>
  <c r="P96" i="1" s="1"/>
  <c r="D63" i="1"/>
  <c r="G63" i="1" s="1"/>
  <c r="H63" i="1"/>
  <c r="K63" i="1"/>
  <c r="AJ90" i="1"/>
  <c r="AH90" i="1"/>
  <c r="AI90" i="1"/>
  <c r="AE91" i="1"/>
  <c r="AE100" i="4" l="1"/>
  <c r="A107" i="4"/>
  <c r="G106" i="4"/>
  <c r="B106" i="4"/>
  <c r="P106" i="4" s="1"/>
  <c r="AA101" i="4"/>
  <c r="AH99" i="4"/>
  <c r="AF99" i="4"/>
  <c r="AB99" i="4" s="1"/>
  <c r="AJ99" i="4"/>
  <c r="J63" i="1"/>
  <c r="AG64" i="1" s="1"/>
  <c r="AC64" i="1" s="1"/>
  <c r="I64" i="1"/>
  <c r="C64" i="1"/>
  <c r="AK64" i="1"/>
  <c r="AI91" i="1"/>
  <c r="AJ91" i="1"/>
  <c r="AH91" i="1"/>
  <c r="E63" i="1"/>
  <c r="A93" i="1"/>
  <c r="F92" i="1"/>
  <c r="O97" i="1" s="1"/>
  <c r="B92" i="1"/>
  <c r="P97" i="1" s="1"/>
  <c r="AA93" i="1"/>
  <c r="AE92" i="1"/>
  <c r="O67" i="4" l="1"/>
  <c r="AI62" i="4"/>
  <c r="AE101" i="4"/>
  <c r="A108" i="4"/>
  <c r="G107" i="4"/>
  <c r="B107" i="4"/>
  <c r="P107" i="4" s="1"/>
  <c r="AA102" i="4"/>
  <c r="AH100" i="4"/>
  <c r="AF100" i="4"/>
  <c r="AB100" i="4" s="1"/>
  <c r="AJ100" i="4"/>
  <c r="AJ92" i="1"/>
  <c r="AH92" i="1"/>
  <c r="AI92" i="1"/>
  <c r="AE93" i="1"/>
  <c r="D64" i="1"/>
  <c r="G64" i="1" s="1"/>
  <c r="H64" i="1"/>
  <c r="K64" i="1"/>
  <c r="AA94" i="1"/>
  <c r="A94" i="1"/>
  <c r="F93" i="1"/>
  <c r="O98" i="1" s="1"/>
  <c r="B93" i="1"/>
  <c r="P98" i="1" s="1"/>
  <c r="AH101" i="4" l="1"/>
  <c r="AF101" i="4"/>
  <c r="AB101" i="4" s="1"/>
  <c r="AJ101" i="4"/>
  <c r="AE102" i="4"/>
  <c r="A109" i="4"/>
  <c r="G108" i="4"/>
  <c r="AA103" i="4"/>
  <c r="B108" i="4"/>
  <c r="P108" i="4" s="1"/>
  <c r="J64" i="1"/>
  <c r="AG65" i="1" s="1"/>
  <c r="AC65" i="1" s="1"/>
  <c r="I65" i="1"/>
  <c r="C65" i="1"/>
  <c r="AK65" i="1"/>
  <c r="E64" i="1"/>
  <c r="A95" i="1"/>
  <c r="F94" i="1"/>
  <c r="O99" i="1" s="1"/>
  <c r="B94" i="1"/>
  <c r="P99" i="1" s="1"/>
  <c r="AA95" i="1"/>
  <c r="AE94" i="1"/>
  <c r="AI93" i="1"/>
  <c r="AJ93" i="1"/>
  <c r="AH93" i="1"/>
  <c r="A110" i="4" l="1"/>
  <c r="G109" i="4"/>
  <c r="AA104" i="4"/>
  <c r="B109" i="4"/>
  <c r="P109" i="4" s="1"/>
  <c r="O68" i="4"/>
  <c r="AI63" i="4"/>
  <c r="AE103" i="4"/>
  <c r="AH102" i="4"/>
  <c r="AJ102" i="4"/>
  <c r="AF102" i="4"/>
  <c r="AB102" i="4" s="1"/>
  <c r="AJ94" i="1"/>
  <c r="AH94" i="1"/>
  <c r="AI94" i="1"/>
  <c r="AE95" i="1"/>
  <c r="D65" i="1"/>
  <c r="G65" i="1" s="1"/>
  <c r="H65" i="1"/>
  <c r="K65" i="1"/>
  <c r="AA96" i="1"/>
  <c r="A96" i="1"/>
  <c r="F95" i="1"/>
  <c r="O100" i="1" s="1"/>
  <c r="B95" i="1"/>
  <c r="P100" i="1" s="1"/>
  <c r="AE104" i="4" l="1"/>
  <c r="AH103" i="4"/>
  <c r="AJ103" i="4"/>
  <c r="AF103" i="4"/>
  <c r="AB103" i="4" s="1"/>
  <c r="A111" i="4"/>
  <c r="G110" i="4"/>
  <c r="AA105" i="4"/>
  <c r="B110" i="4"/>
  <c r="P110" i="4" s="1"/>
  <c r="J65" i="1"/>
  <c r="AG66" i="1" s="1"/>
  <c r="AC66" i="1" s="1"/>
  <c r="I66" i="1"/>
  <c r="C66" i="1"/>
  <c r="AK66" i="1"/>
  <c r="A97" i="1"/>
  <c r="F96" i="1"/>
  <c r="O101" i="1" s="1"/>
  <c r="B96" i="1"/>
  <c r="P101" i="1" s="1"/>
  <c r="AA97" i="1"/>
  <c r="AE96" i="1"/>
  <c r="E65" i="1"/>
  <c r="AI95" i="1"/>
  <c r="AJ95" i="1"/>
  <c r="AH95" i="1"/>
  <c r="A112" i="4" l="1"/>
  <c r="G111" i="4"/>
  <c r="AA106" i="4"/>
  <c r="B111" i="4"/>
  <c r="P111" i="4" s="1"/>
  <c r="AH104" i="4"/>
  <c r="AJ104" i="4"/>
  <c r="AF104" i="4"/>
  <c r="AB104" i="4" s="1"/>
  <c r="AE105" i="4"/>
  <c r="AJ96" i="1"/>
  <c r="AH96" i="1"/>
  <c r="AI96" i="1"/>
  <c r="AE97" i="1"/>
  <c r="AA98" i="1"/>
  <c r="A98" i="1"/>
  <c r="F97" i="1"/>
  <c r="O102" i="1" s="1"/>
  <c r="B97" i="1"/>
  <c r="P102" i="1" s="1"/>
  <c r="D66" i="1"/>
  <c r="G66" i="1" s="1"/>
  <c r="H66" i="1"/>
  <c r="K66" i="1"/>
  <c r="AH105" i="4" l="1"/>
  <c r="AJ105" i="4"/>
  <c r="AF105" i="4"/>
  <c r="AB105" i="4" s="1"/>
  <c r="AE106" i="4"/>
  <c r="O69" i="4"/>
  <c r="AI64" i="4"/>
  <c r="A113" i="4"/>
  <c r="G112" i="4"/>
  <c r="AA107" i="4"/>
  <c r="B112" i="4"/>
  <c r="P112" i="4" s="1"/>
  <c r="J66" i="1"/>
  <c r="AG67" i="1" s="1"/>
  <c r="AC67" i="1" s="1"/>
  <c r="AI97" i="1"/>
  <c r="AJ97" i="1"/>
  <c r="AH97" i="1"/>
  <c r="I67" i="1"/>
  <c r="C67" i="1"/>
  <c r="AK67" i="1"/>
  <c r="E66" i="1"/>
  <c r="A99" i="1"/>
  <c r="F98" i="1"/>
  <c r="O103" i="1" s="1"/>
  <c r="B98" i="1"/>
  <c r="P103" i="1" s="1"/>
  <c r="AA99" i="1"/>
  <c r="AE98" i="1"/>
  <c r="A114" i="4" l="1"/>
  <c r="G113" i="4"/>
  <c r="AA108" i="4"/>
  <c r="B113" i="4"/>
  <c r="P113" i="4" s="1"/>
  <c r="AE107" i="4"/>
  <c r="AH106" i="4"/>
  <c r="AJ106" i="4"/>
  <c r="AF106" i="4"/>
  <c r="AB106" i="4" s="1"/>
  <c r="AJ98" i="1"/>
  <c r="AH98" i="1"/>
  <c r="AI98" i="1"/>
  <c r="AE99" i="1"/>
  <c r="AA100" i="1"/>
  <c r="A100" i="1"/>
  <c r="F99" i="1"/>
  <c r="O104" i="1" s="1"/>
  <c r="B99" i="1"/>
  <c r="P104" i="1" s="1"/>
  <c r="D67" i="1"/>
  <c r="G67" i="1" s="1"/>
  <c r="H67" i="1"/>
  <c r="K67" i="1"/>
  <c r="AE108" i="4" l="1"/>
  <c r="O70" i="4"/>
  <c r="AI65" i="4"/>
  <c r="AH107" i="4"/>
  <c r="AJ107" i="4"/>
  <c r="AF107" i="4"/>
  <c r="AB107" i="4" s="1"/>
  <c r="A115" i="4"/>
  <c r="G114" i="4"/>
  <c r="AA109" i="4"/>
  <c r="B114" i="4"/>
  <c r="P114" i="4" s="1"/>
  <c r="J67" i="1"/>
  <c r="AG68" i="1" s="1"/>
  <c r="AC68" i="1" s="1"/>
  <c r="E67" i="1"/>
  <c r="I68" i="1"/>
  <c r="C68" i="1"/>
  <c r="AK68" i="1"/>
  <c r="A101" i="1"/>
  <c r="F100" i="1"/>
  <c r="O105" i="1" s="1"/>
  <c r="B100" i="1"/>
  <c r="P105" i="1" s="1"/>
  <c r="AA101" i="1"/>
  <c r="AE100" i="1"/>
  <c r="AI99" i="1"/>
  <c r="AJ99" i="1"/>
  <c r="AH99" i="1"/>
  <c r="B115" i="4" l="1"/>
  <c r="P115" i="4" s="1"/>
  <c r="A116" i="4"/>
  <c r="AA110" i="4"/>
  <c r="G115" i="4"/>
  <c r="AH108" i="4"/>
  <c r="AJ108" i="4"/>
  <c r="AF108" i="4"/>
  <c r="AB108" i="4" s="1"/>
  <c r="AE109" i="4"/>
  <c r="AJ100" i="1"/>
  <c r="AH100" i="1"/>
  <c r="AI100" i="1"/>
  <c r="AE101" i="1"/>
  <c r="D68" i="1"/>
  <c r="G68" i="1" s="1"/>
  <c r="H68" i="1"/>
  <c r="K68" i="1"/>
  <c r="AA102" i="1"/>
  <c r="A102" i="1"/>
  <c r="F101" i="1"/>
  <c r="O106" i="1" s="1"/>
  <c r="B101" i="1"/>
  <c r="P106" i="1" s="1"/>
  <c r="AH109" i="4" l="1"/>
  <c r="AJ109" i="4"/>
  <c r="AF109" i="4"/>
  <c r="AB109" i="4" s="1"/>
  <c r="AE110" i="4"/>
  <c r="B116" i="4"/>
  <c r="P116" i="4" s="1"/>
  <c r="A117" i="4"/>
  <c r="G116" i="4"/>
  <c r="AA111" i="4"/>
  <c r="J68" i="1"/>
  <c r="AG69" i="1" s="1"/>
  <c r="AC69" i="1" s="1"/>
  <c r="A103" i="1"/>
  <c r="F102" i="1"/>
  <c r="O107" i="1" s="1"/>
  <c r="B102" i="1"/>
  <c r="P107" i="1" s="1"/>
  <c r="AA103" i="1"/>
  <c r="AE102" i="1"/>
  <c r="I69" i="1"/>
  <c r="C69" i="1"/>
  <c r="AK69" i="1"/>
  <c r="E68" i="1"/>
  <c r="AI101" i="1"/>
  <c r="AJ101" i="1"/>
  <c r="AH101" i="1"/>
  <c r="O71" i="4" l="1"/>
  <c r="AI66" i="4"/>
  <c r="AE111" i="4"/>
  <c r="B117" i="4"/>
  <c r="P117" i="4" s="1"/>
  <c r="A118" i="4"/>
  <c r="AA112" i="4"/>
  <c r="G117" i="4"/>
  <c r="AH110" i="4"/>
  <c r="AJ110" i="4"/>
  <c r="AF110" i="4"/>
  <c r="AB110" i="4" s="1"/>
  <c r="D69" i="1"/>
  <c r="G69" i="1" s="1"/>
  <c r="H69" i="1"/>
  <c r="K69" i="1"/>
  <c r="AJ102" i="1"/>
  <c r="AH102" i="1"/>
  <c r="AI102" i="1"/>
  <c r="AE103" i="1"/>
  <c r="AA104" i="1"/>
  <c r="A104" i="1"/>
  <c r="F103" i="1"/>
  <c r="O108" i="1" s="1"/>
  <c r="B103" i="1"/>
  <c r="P108" i="1" s="1"/>
  <c r="AE112" i="4" l="1"/>
  <c r="B118" i="4"/>
  <c r="P118" i="4" s="1"/>
  <c r="A119" i="4"/>
  <c r="G118" i="4"/>
  <c r="AA113" i="4"/>
  <c r="AH111" i="4"/>
  <c r="AJ111" i="4"/>
  <c r="AF111" i="4"/>
  <c r="AB111" i="4" s="1"/>
  <c r="J69" i="1"/>
  <c r="AG70" i="1" s="1"/>
  <c r="AC70" i="1" s="1"/>
  <c r="AI103" i="1"/>
  <c r="AJ103" i="1"/>
  <c r="AH103" i="1"/>
  <c r="I70" i="1"/>
  <c r="C70" i="1"/>
  <c r="AK70" i="1"/>
  <c r="A105" i="1"/>
  <c r="F104" i="1"/>
  <c r="O109" i="1" s="1"/>
  <c r="B104" i="1"/>
  <c r="P109" i="1" s="1"/>
  <c r="AA105" i="1"/>
  <c r="AE104" i="1"/>
  <c r="E69" i="1"/>
  <c r="AE113" i="4" l="1"/>
  <c r="B119" i="4"/>
  <c r="P119" i="4" s="1"/>
  <c r="A120" i="4"/>
  <c r="AA114" i="4"/>
  <c r="G119" i="4"/>
  <c r="AH112" i="4"/>
  <c r="AJ112" i="4"/>
  <c r="AF112" i="4"/>
  <c r="AB112" i="4" s="1"/>
  <c r="AJ104" i="1"/>
  <c r="AH104" i="1"/>
  <c r="AI104" i="1"/>
  <c r="AE105" i="1"/>
  <c r="D70" i="1"/>
  <c r="G70" i="1" s="1"/>
  <c r="H70" i="1"/>
  <c r="K70" i="1"/>
  <c r="AA106" i="1"/>
  <c r="A106" i="1"/>
  <c r="F105" i="1"/>
  <c r="O110" i="1" s="1"/>
  <c r="B105" i="1"/>
  <c r="P110" i="1" s="1"/>
  <c r="AE114" i="4" l="1"/>
  <c r="B120" i="4"/>
  <c r="P120" i="4" s="1"/>
  <c r="AA115" i="4"/>
  <c r="A121" i="4"/>
  <c r="G120" i="4"/>
  <c r="O72" i="4"/>
  <c r="AI67" i="4"/>
  <c r="AH113" i="4"/>
  <c r="AJ113" i="4"/>
  <c r="AF113" i="4"/>
  <c r="AB113" i="4" s="1"/>
  <c r="J70" i="1"/>
  <c r="AG71" i="1" s="1"/>
  <c r="AC71" i="1" s="1"/>
  <c r="E70" i="1"/>
  <c r="A107" i="1"/>
  <c r="F106" i="1"/>
  <c r="O111" i="1" s="1"/>
  <c r="B106" i="1"/>
  <c r="P111" i="1" s="1"/>
  <c r="AA107" i="1"/>
  <c r="AE106" i="1"/>
  <c r="I71" i="1"/>
  <c r="C71" i="1"/>
  <c r="AK71" i="1"/>
  <c r="AI105" i="1"/>
  <c r="AJ105" i="1"/>
  <c r="AH105" i="1"/>
  <c r="AE115" i="4" l="1"/>
  <c r="AJ114" i="4"/>
  <c r="AH114" i="4"/>
  <c r="AF114" i="4"/>
  <c r="AB114" i="4" s="1"/>
  <c r="B121" i="4"/>
  <c r="P121" i="4" s="1"/>
  <c r="AA116" i="4"/>
  <c r="A122" i="4"/>
  <c r="G121" i="4"/>
  <c r="D71" i="1"/>
  <c r="G71" i="1" s="1"/>
  <c r="H71" i="1"/>
  <c r="K71" i="1"/>
  <c r="AA108" i="1"/>
  <c r="A108" i="1"/>
  <c r="F107" i="1"/>
  <c r="O112" i="1" s="1"/>
  <c r="B107" i="1"/>
  <c r="P112" i="1" s="1"/>
  <c r="AJ106" i="1"/>
  <c r="AH106" i="1"/>
  <c r="AI106" i="1"/>
  <c r="AE107" i="1"/>
  <c r="O73" i="4" l="1"/>
  <c r="AI68" i="4"/>
  <c r="B122" i="4"/>
  <c r="P122" i="4" s="1"/>
  <c r="AA117" i="4"/>
  <c r="A123" i="4"/>
  <c r="G122" i="4"/>
  <c r="AJ115" i="4"/>
  <c r="AH115" i="4"/>
  <c r="AF115" i="4"/>
  <c r="AB115" i="4" s="1"/>
  <c r="AE116" i="4"/>
  <c r="J71" i="1"/>
  <c r="AG72" i="1" s="1"/>
  <c r="AC72" i="1" s="1"/>
  <c r="A109" i="1"/>
  <c r="F108" i="1"/>
  <c r="O113" i="1" s="1"/>
  <c r="B108" i="1"/>
  <c r="P113" i="1" s="1"/>
  <c r="AA109" i="1"/>
  <c r="AE108" i="1"/>
  <c r="E71" i="1"/>
  <c r="AI107" i="1"/>
  <c r="AJ107" i="1"/>
  <c r="AH107" i="1"/>
  <c r="I72" i="1"/>
  <c r="C72" i="1"/>
  <c r="AK72" i="1"/>
  <c r="AE117" i="4" l="1"/>
  <c r="AJ116" i="4"/>
  <c r="AH116" i="4"/>
  <c r="AF116" i="4"/>
  <c r="AB116" i="4" s="1"/>
  <c r="B123" i="4"/>
  <c r="P123" i="4" s="1"/>
  <c r="AA118" i="4"/>
  <c r="A124" i="4"/>
  <c r="G123" i="4"/>
  <c r="AJ108" i="1"/>
  <c r="AH108" i="1"/>
  <c r="AI108" i="1"/>
  <c r="AE109" i="1"/>
  <c r="D72" i="1"/>
  <c r="G72" i="1" s="1"/>
  <c r="H72" i="1"/>
  <c r="K72" i="1"/>
  <c r="AA110" i="1"/>
  <c r="A110" i="1"/>
  <c r="F109" i="1"/>
  <c r="O114" i="1" s="1"/>
  <c r="B109" i="1"/>
  <c r="P114" i="1" s="1"/>
  <c r="AJ117" i="4" l="1"/>
  <c r="AH117" i="4"/>
  <c r="AF117" i="4"/>
  <c r="AB117" i="4" s="1"/>
  <c r="O74" i="4"/>
  <c r="AI69" i="4"/>
  <c r="B124" i="4"/>
  <c r="P124" i="4" s="1"/>
  <c r="AA119" i="4"/>
  <c r="A125" i="4"/>
  <c r="G124" i="4"/>
  <c r="AE118" i="4"/>
  <c r="J72" i="1"/>
  <c r="AG73" i="1" s="1"/>
  <c r="AC73" i="1" s="1"/>
  <c r="A111" i="1"/>
  <c r="F110" i="1"/>
  <c r="O115" i="1" s="1"/>
  <c r="B110" i="1"/>
  <c r="P115" i="1" s="1"/>
  <c r="AA111" i="1"/>
  <c r="AE110" i="1"/>
  <c r="I73" i="1"/>
  <c r="C73" i="1"/>
  <c r="AK73" i="1"/>
  <c r="E72" i="1"/>
  <c r="AI109" i="1"/>
  <c r="AJ109" i="1"/>
  <c r="AH109" i="1"/>
  <c r="AJ118" i="4" l="1"/>
  <c r="AH118" i="4"/>
  <c r="AF118" i="4"/>
  <c r="AB118" i="4" s="1"/>
  <c r="AE119" i="4"/>
  <c r="B125" i="4"/>
  <c r="P125" i="4" s="1"/>
  <c r="AA120" i="4"/>
  <c r="A126" i="4"/>
  <c r="G125" i="4"/>
  <c r="D73" i="1"/>
  <c r="G73" i="1" s="1"/>
  <c r="H73" i="1"/>
  <c r="K73" i="1"/>
  <c r="AA112" i="1"/>
  <c r="A112" i="1"/>
  <c r="F111" i="1"/>
  <c r="O116" i="1" s="1"/>
  <c r="B111" i="1"/>
  <c r="P116" i="1" s="1"/>
  <c r="AJ110" i="1"/>
  <c r="AH110" i="1"/>
  <c r="AI110" i="1"/>
  <c r="AE111" i="1"/>
  <c r="AE120" i="4" l="1"/>
  <c r="AJ119" i="4"/>
  <c r="AH119" i="4"/>
  <c r="AF119" i="4"/>
  <c r="AB119" i="4" s="1"/>
  <c r="B126" i="4"/>
  <c r="P126" i="4" s="1"/>
  <c r="AA121" i="4"/>
  <c r="A127" i="4"/>
  <c r="G126" i="4"/>
  <c r="J73" i="1"/>
  <c r="AG74" i="1" s="1"/>
  <c r="AC74" i="1" s="1"/>
  <c r="AI111" i="1"/>
  <c r="AJ111" i="1"/>
  <c r="AH111" i="1"/>
  <c r="I74" i="1"/>
  <c r="C74" i="1"/>
  <c r="AK74" i="1"/>
  <c r="A113" i="1"/>
  <c r="F112" i="1"/>
  <c r="O117" i="1" s="1"/>
  <c r="B112" i="1"/>
  <c r="P117" i="1" s="1"/>
  <c r="AA113" i="1"/>
  <c r="AE112" i="1"/>
  <c r="E73" i="1"/>
  <c r="AE121" i="4" l="1"/>
  <c r="O75" i="4"/>
  <c r="AI70" i="4"/>
  <c r="B127" i="4"/>
  <c r="P127" i="4" s="1"/>
  <c r="AA122" i="4"/>
  <c r="A128" i="4"/>
  <c r="G127" i="4"/>
  <c r="AJ120" i="4"/>
  <c r="AH120" i="4"/>
  <c r="AF120" i="4"/>
  <c r="AB120" i="4" s="1"/>
  <c r="AA114" i="1"/>
  <c r="A114" i="1"/>
  <c r="F113" i="1"/>
  <c r="O118" i="1" s="1"/>
  <c r="B113" i="1"/>
  <c r="P118" i="1" s="1"/>
  <c r="D74" i="1"/>
  <c r="G74" i="1" s="1"/>
  <c r="H74" i="1"/>
  <c r="K74" i="1"/>
  <c r="AJ112" i="1"/>
  <c r="AH112" i="1"/>
  <c r="AI112" i="1"/>
  <c r="AE113" i="1"/>
  <c r="B128" i="4" l="1"/>
  <c r="P128" i="4" s="1"/>
  <c r="AA123" i="4"/>
  <c r="A129" i="4"/>
  <c r="G128" i="4"/>
  <c r="AJ121" i="4"/>
  <c r="AH121" i="4"/>
  <c r="AF121" i="4"/>
  <c r="AB121" i="4" s="1"/>
  <c r="AE122" i="4"/>
  <c r="J74" i="1"/>
  <c r="AG75" i="1" s="1"/>
  <c r="AC75" i="1" s="1"/>
  <c r="AI113" i="1"/>
  <c r="AJ113" i="1"/>
  <c r="AH113" i="1"/>
  <c r="I75" i="1"/>
  <c r="C75" i="1"/>
  <c r="AK75" i="1"/>
  <c r="E74" i="1"/>
  <c r="A115" i="1"/>
  <c r="F114" i="1"/>
  <c r="O119" i="1" s="1"/>
  <c r="B114" i="1"/>
  <c r="P119" i="1" s="1"/>
  <c r="AA115" i="1"/>
  <c r="AE114" i="1"/>
  <c r="AJ122" i="4" l="1"/>
  <c r="AH122" i="4"/>
  <c r="AF122" i="4"/>
  <c r="AB122" i="4" s="1"/>
  <c r="B129" i="4"/>
  <c r="P129" i="4" s="1"/>
  <c r="AA124" i="4"/>
  <c r="A130" i="4"/>
  <c r="G129" i="4"/>
  <c r="AE123" i="4"/>
  <c r="AJ114" i="1"/>
  <c r="AH114" i="1"/>
  <c r="AI114" i="1"/>
  <c r="AE115" i="1"/>
  <c r="AA116" i="1"/>
  <c r="A116" i="1"/>
  <c r="F115" i="1"/>
  <c r="O120" i="1" s="1"/>
  <c r="B115" i="1"/>
  <c r="P120" i="1" s="1"/>
  <c r="D75" i="1"/>
  <c r="G75" i="1" s="1"/>
  <c r="H75" i="1"/>
  <c r="K75" i="1"/>
  <c r="AJ123" i="4" l="1"/>
  <c r="AH123" i="4"/>
  <c r="AF123" i="4"/>
  <c r="AB123" i="4" s="1"/>
  <c r="O76" i="4"/>
  <c r="AI71" i="4"/>
  <c r="AE124" i="4"/>
  <c r="B130" i="4"/>
  <c r="P130" i="4" s="1"/>
  <c r="AA125" i="4"/>
  <c r="A131" i="4"/>
  <c r="G130" i="4"/>
  <c r="J75" i="1"/>
  <c r="AG76" i="1" s="1"/>
  <c r="AC76" i="1" s="1"/>
  <c r="E75" i="1"/>
  <c r="AI115" i="1"/>
  <c r="AJ115" i="1"/>
  <c r="AH115" i="1"/>
  <c r="I76" i="1"/>
  <c r="C76" i="1"/>
  <c r="AK76" i="1"/>
  <c r="A117" i="1"/>
  <c r="F116" i="1"/>
  <c r="O121" i="1" s="1"/>
  <c r="B116" i="1"/>
  <c r="P121" i="1" s="1"/>
  <c r="AA117" i="1"/>
  <c r="AE116" i="1"/>
  <c r="AE125" i="4" l="1"/>
  <c r="AJ124" i="4"/>
  <c r="AH124" i="4"/>
  <c r="AF124" i="4"/>
  <c r="AB124" i="4" s="1"/>
  <c r="B131" i="4"/>
  <c r="P131" i="4" s="1"/>
  <c r="AA126" i="4"/>
  <c r="A132" i="4"/>
  <c r="G131" i="4"/>
  <c r="AJ116" i="1"/>
  <c r="AH116" i="1"/>
  <c r="AI116" i="1"/>
  <c r="AE117" i="1"/>
  <c r="D76" i="1"/>
  <c r="G76" i="1" s="1"/>
  <c r="H76" i="1"/>
  <c r="K76" i="1"/>
  <c r="AA118" i="1"/>
  <c r="A118" i="1"/>
  <c r="F117" i="1"/>
  <c r="O122" i="1" s="1"/>
  <c r="B117" i="1"/>
  <c r="P122" i="1" s="1"/>
  <c r="AE126" i="4" l="1"/>
  <c r="AJ125" i="4"/>
  <c r="AH125" i="4"/>
  <c r="AF125" i="4"/>
  <c r="AB125" i="4" s="1"/>
  <c r="B132" i="4"/>
  <c r="P132" i="4" s="1"/>
  <c r="AA127" i="4"/>
  <c r="A133" i="4"/>
  <c r="G132" i="4"/>
  <c r="J76" i="1"/>
  <c r="AG77" i="1" s="1"/>
  <c r="AC77" i="1" s="1"/>
  <c r="I77" i="1"/>
  <c r="C77" i="1"/>
  <c r="AK77" i="1"/>
  <c r="E76" i="1"/>
  <c r="AI117" i="1"/>
  <c r="AJ117" i="1"/>
  <c r="AH117" i="1"/>
  <c r="A119" i="1"/>
  <c r="F118" i="1"/>
  <c r="O123" i="1" s="1"/>
  <c r="B118" i="1"/>
  <c r="P123" i="1" s="1"/>
  <c r="AA119" i="1"/>
  <c r="AE118" i="1"/>
  <c r="AE127" i="4" l="1"/>
  <c r="AJ126" i="4"/>
  <c r="AH126" i="4"/>
  <c r="AF126" i="4"/>
  <c r="AB126" i="4" s="1"/>
  <c r="B133" i="4"/>
  <c r="P133" i="4" s="1"/>
  <c r="AA128" i="4"/>
  <c r="A134" i="4"/>
  <c r="G133" i="4"/>
  <c r="O77" i="4"/>
  <c r="AI72" i="4"/>
  <c r="AJ118" i="1"/>
  <c r="AH118" i="1"/>
  <c r="AI118" i="1"/>
  <c r="AE119" i="1"/>
  <c r="D77" i="1"/>
  <c r="G77" i="1" s="1"/>
  <c r="H77" i="1"/>
  <c r="K77" i="1"/>
  <c r="AA120" i="1"/>
  <c r="A120" i="1"/>
  <c r="F119" i="1"/>
  <c r="O124" i="1" s="1"/>
  <c r="B119" i="1"/>
  <c r="P124" i="1" s="1"/>
  <c r="AE128" i="4" l="1"/>
  <c r="AJ127" i="4"/>
  <c r="AH127" i="4"/>
  <c r="AF127" i="4"/>
  <c r="AB127" i="4" s="1"/>
  <c r="B134" i="4"/>
  <c r="P134" i="4" s="1"/>
  <c r="AA129" i="4"/>
  <c r="A135" i="4"/>
  <c r="G134" i="4"/>
  <c r="J77" i="1"/>
  <c r="AG78" i="1" s="1"/>
  <c r="AC78" i="1" s="1"/>
  <c r="E77" i="1"/>
  <c r="A121" i="1"/>
  <c r="F120" i="1"/>
  <c r="O125" i="1" s="1"/>
  <c r="B120" i="1"/>
  <c r="P125" i="1" s="1"/>
  <c r="AA121" i="1"/>
  <c r="AE120" i="1"/>
  <c r="I78" i="1"/>
  <c r="C78" i="1"/>
  <c r="AK78" i="1"/>
  <c r="AI119" i="1"/>
  <c r="AJ119" i="1"/>
  <c r="AH119" i="1"/>
  <c r="B135" i="4" l="1"/>
  <c r="P135" i="4" s="1"/>
  <c r="AA130" i="4"/>
  <c r="A136" i="4"/>
  <c r="G135" i="4"/>
  <c r="AJ128" i="4"/>
  <c r="AH128" i="4"/>
  <c r="AF128" i="4"/>
  <c r="AB128" i="4" s="1"/>
  <c r="O78" i="4"/>
  <c r="AI73" i="4"/>
  <c r="AE129" i="4"/>
  <c r="AJ120" i="1"/>
  <c r="AH120" i="1"/>
  <c r="AI120" i="1"/>
  <c r="AE121" i="1"/>
  <c r="D78" i="1"/>
  <c r="G78" i="1" s="1"/>
  <c r="H78" i="1"/>
  <c r="K78" i="1"/>
  <c r="AA122" i="1"/>
  <c r="A122" i="1"/>
  <c r="F121" i="1"/>
  <c r="O126" i="1" s="1"/>
  <c r="B121" i="1"/>
  <c r="P126" i="1" s="1"/>
  <c r="AJ129" i="4" l="1"/>
  <c r="AH129" i="4"/>
  <c r="AF129" i="4"/>
  <c r="AB129" i="4" s="1"/>
  <c r="B136" i="4"/>
  <c r="P136" i="4" s="1"/>
  <c r="AA131" i="4"/>
  <c r="A137" i="4"/>
  <c r="G136" i="4"/>
  <c r="AE130" i="4"/>
  <c r="J78" i="1"/>
  <c r="AG79" i="1" s="1"/>
  <c r="AC79" i="1" s="1"/>
  <c r="E78" i="1"/>
  <c r="I79" i="1"/>
  <c r="C79" i="1"/>
  <c r="AK79" i="1"/>
  <c r="AI121" i="1"/>
  <c r="AJ121" i="1"/>
  <c r="AH121" i="1"/>
  <c r="A123" i="1"/>
  <c r="F122" i="1"/>
  <c r="O127" i="1" s="1"/>
  <c r="B122" i="1"/>
  <c r="P127" i="1" s="1"/>
  <c r="AA123" i="1"/>
  <c r="AE122" i="1"/>
  <c r="AJ130" i="4" l="1"/>
  <c r="AH130" i="4"/>
  <c r="AF130" i="4"/>
  <c r="AB130" i="4" s="1"/>
  <c r="B137" i="4"/>
  <c r="P137" i="4" s="1"/>
  <c r="AA132" i="4"/>
  <c r="A138" i="4"/>
  <c r="G137" i="4"/>
  <c r="AE131" i="4"/>
  <c r="AJ122" i="1"/>
  <c r="AH122" i="1"/>
  <c r="AI122" i="1"/>
  <c r="AE123" i="1"/>
  <c r="D79" i="1"/>
  <c r="G79" i="1" s="1"/>
  <c r="H79" i="1"/>
  <c r="K79" i="1"/>
  <c r="AA124" i="1"/>
  <c r="A124" i="1"/>
  <c r="F123" i="1"/>
  <c r="O128" i="1" s="1"/>
  <c r="B123" i="1"/>
  <c r="P128" i="1" s="1"/>
  <c r="O79" i="4" l="1"/>
  <c r="AI74" i="4"/>
  <c r="B138" i="4"/>
  <c r="P138" i="4" s="1"/>
  <c r="AA133" i="4"/>
  <c r="A139" i="4"/>
  <c r="G138" i="4"/>
  <c r="AJ131" i="4"/>
  <c r="AH131" i="4"/>
  <c r="AF131" i="4"/>
  <c r="AB131" i="4" s="1"/>
  <c r="AE132" i="4"/>
  <c r="J79" i="1"/>
  <c r="AG80" i="1" s="1"/>
  <c r="AC80" i="1" s="1"/>
  <c r="E79" i="1"/>
  <c r="AI123" i="1"/>
  <c r="AJ123" i="1"/>
  <c r="AH123" i="1"/>
  <c r="A125" i="1"/>
  <c r="F124" i="1"/>
  <c r="O129" i="1" s="1"/>
  <c r="B124" i="1"/>
  <c r="P129" i="1" s="1"/>
  <c r="AA125" i="1"/>
  <c r="AE124" i="1"/>
  <c r="I80" i="1"/>
  <c r="C80" i="1"/>
  <c r="AK80" i="1"/>
  <c r="AJ132" i="4" l="1"/>
  <c r="AH132" i="4"/>
  <c r="AF132" i="4"/>
  <c r="AB132" i="4" s="1"/>
  <c r="AE133" i="4"/>
  <c r="B139" i="4"/>
  <c r="P139" i="4" s="1"/>
  <c r="AA134" i="4"/>
  <c r="A140" i="4"/>
  <c r="G139" i="4"/>
  <c r="D80" i="1"/>
  <c r="G80" i="1" s="1"/>
  <c r="H80" i="1"/>
  <c r="K80" i="1"/>
  <c r="AA126" i="1"/>
  <c r="A126" i="1"/>
  <c r="F125" i="1"/>
  <c r="O130" i="1" s="1"/>
  <c r="B125" i="1"/>
  <c r="P130" i="1" s="1"/>
  <c r="AJ124" i="1"/>
  <c r="AH124" i="1"/>
  <c r="AI124" i="1"/>
  <c r="AE125" i="1"/>
  <c r="AE134" i="4" l="1"/>
  <c r="AJ133" i="4"/>
  <c r="AH133" i="4"/>
  <c r="AF133" i="4"/>
  <c r="AB133" i="4" s="1"/>
  <c r="B140" i="4"/>
  <c r="P140" i="4" s="1"/>
  <c r="AA135" i="4"/>
  <c r="A141" i="4"/>
  <c r="G140" i="4"/>
  <c r="J80" i="1"/>
  <c r="AG81" i="1" s="1"/>
  <c r="AC81" i="1" s="1"/>
  <c r="E80" i="1"/>
  <c r="A127" i="1"/>
  <c r="F126" i="1"/>
  <c r="O131" i="1" s="1"/>
  <c r="B126" i="1"/>
  <c r="P131" i="1" s="1"/>
  <c r="AA127" i="1"/>
  <c r="AE126" i="1"/>
  <c r="I81" i="1"/>
  <c r="C81" i="1"/>
  <c r="AK81" i="1"/>
  <c r="AI125" i="1"/>
  <c r="AJ125" i="1"/>
  <c r="AH125" i="1"/>
  <c r="B141" i="4" l="1"/>
  <c r="P141" i="4" s="1"/>
  <c r="AA136" i="4"/>
  <c r="A142" i="4"/>
  <c r="G141" i="4"/>
  <c r="AJ134" i="4"/>
  <c r="AH134" i="4"/>
  <c r="AF134" i="4"/>
  <c r="AB134" i="4" s="1"/>
  <c r="O80" i="4"/>
  <c r="AI75" i="4"/>
  <c r="AE135" i="4"/>
  <c r="AJ126" i="1"/>
  <c r="AH126" i="1"/>
  <c r="AI126" i="1"/>
  <c r="AE127" i="1"/>
  <c r="D81" i="1"/>
  <c r="G81" i="1" s="1"/>
  <c r="H81" i="1"/>
  <c r="K81" i="1"/>
  <c r="AA128" i="1"/>
  <c r="A128" i="1"/>
  <c r="F127" i="1"/>
  <c r="O132" i="1" s="1"/>
  <c r="B127" i="1"/>
  <c r="P132" i="1" s="1"/>
  <c r="AJ135" i="4" l="1"/>
  <c r="AH135" i="4"/>
  <c r="AF135" i="4"/>
  <c r="AB135" i="4" s="1"/>
  <c r="B142" i="4"/>
  <c r="P142" i="4" s="1"/>
  <c r="AA137" i="4"/>
  <c r="A143" i="4"/>
  <c r="G142" i="4"/>
  <c r="AE136" i="4"/>
  <c r="J81" i="1"/>
  <c r="AG82" i="1" s="1"/>
  <c r="AC82" i="1" s="1"/>
  <c r="E81" i="1"/>
  <c r="AI127" i="1"/>
  <c r="AJ127" i="1"/>
  <c r="AH127" i="1"/>
  <c r="A129" i="1"/>
  <c r="F128" i="1"/>
  <c r="O133" i="1" s="1"/>
  <c r="B128" i="1"/>
  <c r="P133" i="1" s="1"/>
  <c r="AA129" i="1"/>
  <c r="AE128" i="1"/>
  <c r="I82" i="1"/>
  <c r="C82" i="1"/>
  <c r="AK82" i="1"/>
  <c r="AJ136" i="4" l="1"/>
  <c r="AH136" i="4"/>
  <c r="AF136" i="4"/>
  <c r="AB136" i="4" s="1"/>
  <c r="B143" i="4"/>
  <c r="P143" i="4" s="1"/>
  <c r="AA138" i="4"/>
  <c r="A144" i="4"/>
  <c r="G143" i="4"/>
  <c r="AE137" i="4"/>
  <c r="AJ128" i="1"/>
  <c r="AH128" i="1"/>
  <c r="AI128" i="1"/>
  <c r="AE129" i="1"/>
  <c r="D82" i="1"/>
  <c r="G82" i="1" s="1"/>
  <c r="H82" i="1"/>
  <c r="K82" i="1"/>
  <c r="AA130" i="1"/>
  <c r="A130" i="1"/>
  <c r="F129" i="1"/>
  <c r="O134" i="1" s="1"/>
  <c r="B129" i="1"/>
  <c r="P134" i="1" s="1"/>
  <c r="O81" i="4" l="1"/>
  <c r="AI76" i="4"/>
  <c r="B144" i="4"/>
  <c r="P144" i="4" s="1"/>
  <c r="AA139" i="4"/>
  <c r="A145" i="4"/>
  <c r="G144" i="4"/>
  <c r="AJ137" i="4"/>
  <c r="AH137" i="4"/>
  <c r="AF137" i="4"/>
  <c r="AB137" i="4" s="1"/>
  <c r="AE138" i="4"/>
  <c r="J82" i="1"/>
  <c r="AG83" i="1" s="1"/>
  <c r="AC83" i="1" s="1"/>
  <c r="E82" i="1"/>
  <c r="AI129" i="1"/>
  <c r="AJ129" i="1"/>
  <c r="AH129" i="1"/>
  <c r="A131" i="1"/>
  <c r="F130" i="1"/>
  <c r="O135" i="1" s="1"/>
  <c r="B130" i="1"/>
  <c r="P135" i="1" s="1"/>
  <c r="AA131" i="1"/>
  <c r="AE130" i="1"/>
  <c r="I83" i="1"/>
  <c r="C83" i="1"/>
  <c r="AK83" i="1"/>
  <c r="B145" i="4" l="1"/>
  <c r="P145" i="4" s="1"/>
  <c r="AA140" i="4"/>
  <c r="A146" i="4"/>
  <c r="G145" i="4"/>
  <c r="AJ138" i="4"/>
  <c r="AH138" i="4"/>
  <c r="AF138" i="4"/>
  <c r="AB138" i="4" s="1"/>
  <c r="AE139" i="4"/>
  <c r="D83" i="1"/>
  <c r="G83" i="1" s="1"/>
  <c r="H83" i="1"/>
  <c r="K83" i="1"/>
  <c r="AA132" i="1"/>
  <c r="A132" i="1"/>
  <c r="F131" i="1"/>
  <c r="O136" i="1" s="1"/>
  <c r="B131" i="1"/>
  <c r="P136" i="1" s="1"/>
  <c r="AJ130" i="1"/>
  <c r="AH130" i="1"/>
  <c r="AI130" i="1"/>
  <c r="AE131" i="1"/>
  <c r="AJ139" i="4" l="1"/>
  <c r="AH139" i="4"/>
  <c r="AF139" i="4"/>
  <c r="AB139" i="4" s="1"/>
  <c r="B146" i="4"/>
  <c r="P146" i="4" s="1"/>
  <c r="AA141" i="4"/>
  <c r="A147" i="4"/>
  <c r="G146" i="4"/>
  <c r="AE140" i="4"/>
  <c r="J83" i="1"/>
  <c r="AG84" i="1" s="1"/>
  <c r="AC84" i="1" s="1"/>
  <c r="AI131" i="1"/>
  <c r="AJ131" i="1"/>
  <c r="AH131" i="1"/>
  <c r="A133" i="1"/>
  <c r="F132" i="1"/>
  <c r="O137" i="1" s="1"/>
  <c r="B132" i="1"/>
  <c r="P137" i="1" s="1"/>
  <c r="AA133" i="1"/>
  <c r="AE132" i="1"/>
  <c r="I84" i="1"/>
  <c r="C84" i="1"/>
  <c r="AK84" i="1"/>
  <c r="E83" i="1"/>
  <c r="O82" i="4" l="1"/>
  <c r="AI77" i="4"/>
  <c r="AE141" i="4"/>
  <c r="AJ140" i="4"/>
  <c r="AH140" i="4"/>
  <c r="AF140" i="4"/>
  <c r="AB140" i="4" s="1"/>
  <c r="B147" i="4"/>
  <c r="P147" i="4" s="1"/>
  <c r="AA142" i="4"/>
  <c r="A148" i="4"/>
  <c r="G147" i="4"/>
  <c r="AJ132" i="1"/>
  <c r="AH132" i="1"/>
  <c r="AI132" i="1"/>
  <c r="AE133" i="1"/>
  <c r="D84" i="1"/>
  <c r="G84" i="1" s="1"/>
  <c r="H84" i="1"/>
  <c r="K84" i="1"/>
  <c r="AA134" i="1"/>
  <c r="A134" i="1"/>
  <c r="F133" i="1"/>
  <c r="O138" i="1" s="1"/>
  <c r="B133" i="1"/>
  <c r="P138" i="1" s="1"/>
  <c r="B148" i="4" l="1"/>
  <c r="P148" i="4" s="1"/>
  <c r="AA143" i="4"/>
  <c r="A149" i="4"/>
  <c r="G148" i="4"/>
  <c r="AE142" i="4"/>
  <c r="AJ141" i="4"/>
  <c r="AH141" i="4"/>
  <c r="AF141" i="4"/>
  <c r="AB141" i="4" s="1"/>
  <c r="J84" i="1"/>
  <c r="AG85" i="1" s="1"/>
  <c r="AC85" i="1" s="1"/>
  <c r="AI133" i="1"/>
  <c r="AJ133" i="1"/>
  <c r="AH133" i="1"/>
  <c r="A135" i="1"/>
  <c r="F134" i="1"/>
  <c r="O139" i="1" s="1"/>
  <c r="B134" i="1"/>
  <c r="P139" i="1" s="1"/>
  <c r="AA135" i="1"/>
  <c r="AE134" i="1"/>
  <c r="I85" i="1"/>
  <c r="C85" i="1"/>
  <c r="AK85" i="1"/>
  <c r="E84" i="1"/>
  <c r="AE143" i="4" l="1"/>
  <c r="AJ142" i="4"/>
  <c r="AH142" i="4"/>
  <c r="AF142" i="4"/>
  <c r="AB142" i="4" s="1"/>
  <c r="B149" i="4"/>
  <c r="P149" i="4" s="1"/>
  <c r="AA144" i="4"/>
  <c r="A150" i="4"/>
  <c r="G149" i="4"/>
  <c r="D85" i="1"/>
  <c r="G85" i="1" s="1"/>
  <c r="H85" i="1"/>
  <c r="K85" i="1"/>
  <c r="AA136" i="1"/>
  <c r="A136" i="1"/>
  <c r="F135" i="1"/>
  <c r="O140" i="1" s="1"/>
  <c r="B135" i="1"/>
  <c r="P140" i="1" s="1"/>
  <c r="AJ134" i="1"/>
  <c r="AH134" i="1"/>
  <c r="AI134" i="1"/>
  <c r="AE135" i="1"/>
  <c r="B150" i="4" l="1"/>
  <c r="P150" i="4" s="1"/>
  <c r="AA145" i="4"/>
  <c r="A151" i="4"/>
  <c r="G150" i="4"/>
  <c r="AJ143" i="4"/>
  <c r="AH143" i="4"/>
  <c r="AF143" i="4"/>
  <c r="AB143" i="4" s="1"/>
  <c r="AE144" i="4"/>
  <c r="O83" i="4"/>
  <c r="AI78" i="4"/>
  <c r="J85" i="1"/>
  <c r="AG86" i="1" s="1"/>
  <c r="AC86" i="1" s="1"/>
  <c r="AI135" i="1"/>
  <c r="AJ135" i="1"/>
  <c r="AH135" i="1"/>
  <c r="A137" i="1"/>
  <c r="F136" i="1"/>
  <c r="O141" i="1" s="1"/>
  <c r="B136" i="1"/>
  <c r="P141" i="1" s="1"/>
  <c r="AA137" i="1"/>
  <c r="AE136" i="1"/>
  <c r="I86" i="1"/>
  <c r="C86" i="1"/>
  <c r="AK86" i="1"/>
  <c r="E85" i="1"/>
  <c r="AJ144" i="4" l="1"/>
  <c r="AH144" i="4"/>
  <c r="AF144" i="4"/>
  <c r="AB144" i="4" s="1"/>
  <c r="AE145" i="4"/>
  <c r="B151" i="4"/>
  <c r="P151" i="4" s="1"/>
  <c r="AA146" i="4"/>
  <c r="A152" i="4"/>
  <c r="G151" i="4"/>
  <c r="AJ136" i="1"/>
  <c r="AH136" i="1"/>
  <c r="AI136" i="1"/>
  <c r="AE137" i="1"/>
  <c r="D86" i="1"/>
  <c r="G86" i="1" s="1"/>
  <c r="H86" i="1"/>
  <c r="K86" i="1"/>
  <c r="AA138" i="1"/>
  <c r="A138" i="1"/>
  <c r="F137" i="1"/>
  <c r="O142" i="1" s="1"/>
  <c r="B137" i="1"/>
  <c r="P142" i="1" s="1"/>
  <c r="O84" i="4" l="1"/>
  <c r="AI79" i="4"/>
  <c r="B152" i="4"/>
  <c r="P152" i="4" s="1"/>
  <c r="AA147" i="4"/>
  <c r="A153" i="4"/>
  <c r="G152" i="4"/>
  <c r="AE146" i="4"/>
  <c r="AJ145" i="4"/>
  <c r="AH145" i="4"/>
  <c r="AF145" i="4"/>
  <c r="AB145" i="4" s="1"/>
  <c r="J86" i="1"/>
  <c r="AG87" i="1" s="1"/>
  <c r="AC87" i="1" s="1"/>
  <c r="E86" i="1"/>
  <c r="AI137" i="1"/>
  <c r="AJ137" i="1"/>
  <c r="AH137" i="1"/>
  <c r="A139" i="1"/>
  <c r="F138" i="1"/>
  <c r="O143" i="1" s="1"/>
  <c r="B138" i="1"/>
  <c r="P143" i="1" s="1"/>
  <c r="AA139" i="1"/>
  <c r="AE138" i="1"/>
  <c r="I87" i="1"/>
  <c r="C87" i="1"/>
  <c r="AK87" i="1"/>
  <c r="AE147" i="4" l="1"/>
  <c r="AJ146" i="4"/>
  <c r="AH146" i="4"/>
  <c r="AF146" i="4"/>
  <c r="AB146" i="4" s="1"/>
  <c r="B153" i="4"/>
  <c r="P153" i="4" s="1"/>
  <c r="AA148" i="4"/>
  <c r="A154" i="4"/>
  <c r="G153" i="4"/>
  <c r="D87" i="1"/>
  <c r="G87" i="1" s="1"/>
  <c r="H87" i="1"/>
  <c r="K87" i="1"/>
  <c r="AA140" i="1"/>
  <c r="A140" i="1"/>
  <c r="F139" i="1"/>
  <c r="O144" i="1" s="1"/>
  <c r="B139" i="1"/>
  <c r="P144" i="1" s="1"/>
  <c r="AJ138" i="1"/>
  <c r="AH138" i="1"/>
  <c r="AI138" i="1"/>
  <c r="AE139" i="1"/>
  <c r="AE148" i="4" l="1"/>
  <c r="B154" i="4"/>
  <c r="P154" i="4" s="1"/>
  <c r="AA149" i="4"/>
  <c r="A155" i="4"/>
  <c r="G154" i="4"/>
  <c r="AJ147" i="4"/>
  <c r="AH147" i="4"/>
  <c r="AF147" i="4"/>
  <c r="AB147" i="4" s="1"/>
  <c r="J87" i="1"/>
  <c r="AG88" i="1" s="1"/>
  <c r="AC88" i="1" s="1"/>
  <c r="AI139" i="1"/>
  <c r="AJ139" i="1"/>
  <c r="AH139" i="1"/>
  <c r="A141" i="1"/>
  <c r="F140" i="1"/>
  <c r="O145" i="1" s="1"/>
  <c r="B140" i="1"/>
  <c r="P145" i="1" s="1"/>
  <c r="AA141" i="1"/>
  <c r="AE140" i="1"/>
  <c r="I88" i="1"/>
  <c r="C88" i="1"/>
  <c r="AK88" i="1"/>
  <c r="E87" i="1"/>
  <c r="O85" i="4" l="1"/>
  <c r="AI80" i="4"/>
  <c r="B155" i="4"/>
  <c r="P155" i="4" s="1"/>
  <c r="AA150" i="4"/>
  <c r="A156" i="4"/>
  <c r="G155" i="4"/>
  <c r="AE149" i="4"/>
  <c r="AJ148" i="4"/>
  <c r="AH148" i="4"/>
  <c r="AF148" i="4"/>
  <c r="AB148" i="4" s="1"/>
  <c r="AJ140" i="1"/>
  <c r="AH140" i="1"/>
  <c r="AI140" i="1"/>
  <c r="AE141" i="1"/>
  <c r="D88" i="1"/>
  <c r="G88" i="1" s="1"/>
  <c r="H88" i="1"/>
  <c r="K88" i="1"/>
  <c r="AA142" i="1"/>
  <c r="A142" i="1"/>
  <c r="F141" i="1"/>
  <c r="O146" i="1" s="1"/>
  <c r="B141" i="1"/>
  <c r="P146" i="1" s="1"/>
  <c r="AJ149" i="4" l="1"/>
  <c r="AH149" i="4"/>
  <c r="AF149" i="4"/>
  <c r="AB149" i="4" s="1"/>
  <c r="AE150" i="4"/>
  <c r="B156" i="4"/>
  <c r="P156" i="4" s="1"/>
  <c r="AA151" i="4"/>
  <c r="A157" i="4"/>
  <c r="G156" i="4"/>
  <c r="J88" i="1"/>
  <c r="AG89" i="1" s="1"/>
  <c r="AC89" i="1" s="1"/>
  <c r="AI141" i="1"/>
  <c r="AJ141" i="1"/>
  <c r="AH141" i="1"/>
  <c r="A143" i="1"/>
  <c r="F142" i="1"/>
  <c r="O147" i="1" s="1"/>
  <c r="B142" i="1"/>
  <c r="P147" i="1" s="1"/>
  <c r="AA143" i="1"/>
  <c r="AE142" i="1"/>
  <c r="I89" i="1"/>
  <c r="C89" i="1"/>
  <c r="AK89" i="1"/>
  <c r="E88" i="1"/>
  <c r="B157" i="4" l="1"/>
  <c r="P157" i="4" s="1"/>
  <c r="AA152" i="4"/>
  <c r="A158" i="4"/>
  <c r="G157" i="4"/>
  <c r="AE151" i="4"/>
  <c r="AJ150" i="4"/>
  <c r="AH150" i="4"/>
  <c r="AF150" i="4"/>
  <c r="AB150" i="4" s="1"/>
  <c r="D89" i="1"/>
  <c r="G89" i="1" s="1"/>
  <c r="H89" i="1"/>
  <c r="K89" i="1"/>
  <c r="AA144" i="1"/>
  <c r="A144" i="1"/>
  <c r="F143" i="1"/>
  <c r="O148" i="1" s="1"/>
  <c r="B143" i="1"/>
  <c r="P148" i="1" s="1"/>
  <c r="AJ142" i="1"/>
  <c r="AH142" i="1"/>
  <c r="AI142" i="1"/>
  <c r="AE143" i="1"/>
  <c r="AJ151" i="4" l="1"/>
  <c r="AH151" i="4"/>
  <c r="AF151" i="4"/>
  <c r="AB151" i="4" s="1"/>
  <c r="AE152" i="4"/>
  <c r="O86" i="4"/>
  <c r="AI81" i="4"/>
  <c r="B158" i="4"/>
  <c r="P158" i="4" s="1"/>
  <c r="AA153" i="4"/>
  <c r="A159" i="4"/>
  <c r="G158" i="4"/>
  <c r="J89" i="1"/>
  <c r="AG90" i="1" s="1"/>
  <c r="AC90" i="1" s="1"/>
  <c r="AI143" i="1"/>
  <c r="AJ143" i="1"/>
  <c r="AH143" i="1"/>
  <c r="A145" i="1"/>
  <c r="F144" i="1"/>
  <c r="O149" i="1" s="1"/>
  <c r="B144" i="1"/>
  <c r="P149" i="1" s="1"/>
  <c r="AA145" i="1"/>
  <c r="AE144" i="1"/>
  <c r="I90" i="1"/>
  <c r="C90" i="1"/>
  <c r="AK90" i="1"/>
  <c r="E89" i="1"/>
  <c r="B159" i="4" l="1"/>
  <c r="P159" i="4" s="1"/>
  <c r="AA154" i="4"/>
  <c r="A160" i="4"/>
  <c r="G159" i="4"/>
  <c r="AE153" i="4"/>
  <c r="AJ152" i="4"/>
  <c r="AH152" i="4"/>
  <c r="AF152" i="4"/>
  <c r="AB152" i="4" s="1"/>
  <c r="AJ144" i="1"/>
  <c r="AH144" i="1"/>
  <c r="AI144" i="1"/>
  <c r="AE145" i="1"/>
  <c r="D90" i="1"/>
  <c r="G90" i="1" s="1"/>
  <c r="H90" i="1"/>
  <c r="K90" i="1"/>
  <c r="AA146" i="1"/>
  <c r="A146" i="1"/>
  <c r="F145" i="1"/>
  <c r="O150" i="1" s="1"/>
  <c r="B145" i="1"/>
  <c r="P150" i="1" s="1"/>
  <c r="O87" i="4" l="1"/>
  <c r="AI82" i="4"/>
  <c r="B160" i="4"/>
  <c r="P160" i="4" s="1"/>
  <c r="AA155" i="4"/>
  <c r="A161" i="4"/>
  <c r="G160" i="4"/>
  <c r="AJ153" i="4"/>
  <c r="AH153" i="4"/>
  <c r="AF153" i="4"/>
  <c r="AB153" i="4" s="1"/>
  <c r="AE154" i="4"/>
  <c r="J90" i="1"/>
  <c r="AG91" i="1" s="1"/>
  <c r="AC91" i="1" s="1"/>
  <c r="AI145" i="1"/>
  <c r="AJ145" i="1"/>
  <c r="AH145" i="1"/>
  <c r="A147" i="1"/>
  <c r="F146" i="1"/>
  <c r="O151" i="1" s="1"/>
  <c r="B146" i="1"/>
  <c r="P151" i="1" s="1"/>
  <c r="AA147" i="1"/>
  <c r="AE146" i="1"/>
  <c r="I91" i="1"/>
  <c r="C91" i="1"/>
  <c r="AK91" i="1"/>
  <c r="E90" i="1"/>
  <c r="AJ154" i="4" l="1"/>
  <c r="AH154" i="4"/>
  <c r="AF154" i="4"/>
  <c r="AB154" i="4" s="1"/>
  <c r="AE155" i="4"/>
  <c r="B161" i="4"/>
  <c r="P161" i="4" s="1"/>
  <c r="AA156" i="4"/>
  <c r="A162" i="4"/>
  <c r="G161" i="4"/>
  <c r="D91" i="1"/>
  <c r="G91" i="1" s="1"/>
  <c r="H91" i="1"/>
  <c r="K91" i="1"/>
  <c r="AA148" i="1"/>
  <c r="A148" i="1"/>
  <c r="F147" i="1"/>
  <c r="O152" i="1" s="1"/>
  <c r="B147" i="1"/>
  <c r="P152" i="1" s="1"/>
  <c r="AJ146" i="1"/>
  <c r="AH146" i="1"/>
  <c r="AI146" i="1"/>
  <c r="AE147" i="1"/>
  <c r="AE156" i="4" l="1"/>
  <c r="B162" i="4"/>
  <c r="P162" i="4" s="1"/>
  <c r="AA157" i="4"/>
  <c r="A163" i="4"/>
  <c r="G162" i="4"/>
  <c r="AJ155" i="4"/>
  <c r="AH155" i="4"/>
  <c r="AF155" i="4"/>
  <c r="AB155" i="4" s="1"/>
  <c r="J91" i="1"/>
  <c r="AG92" i="1" s="1"/>
  <c r="AC92" i="1" s="1"/>
  <c r="AI147" i="1"/>
  <c r="AJ147" i="1"/>
  <c r="AH147" i="1"/>
  <c r="I92" i="1"/>
  <c r="C92" i="1"/>
  <c r="AK92" i="1"/>
  <c r="A149" i="1"/>
  <c r="F148" i="1"/>
  <c r="O153" i="1" s="1"/>
  <c r="B148" i="1"/>
  <c r="P153" i="1" s="1"/>
  <c r="AA149" i="1"/>
  <c r="AE148" i="1"/>
  <c r="E91" i="1"/>
  <c r="B163" i="4" l="1"/>
  <c r="P163" i="4" s="1"/>
  <c r="AA158" i="4"/>
  <c r="A164" i="4"/>
  <c r="G163" i="4"/>
  <c r="AJ156" i="4"/>
  <c r="AH156" i="4"/>
  <c r="AF156" i="4"/>
  <c r="AB156" i="4" s="1"/>
  <c r="AE157" i="4"/>
  <c r="AJ148" i="1"/>
  <c r="AH148" i="1"/>
  <c r="AI148" i="1"/>
  <c r="AE149" i="1"/>
  <c r="AA150" i="1"/>
  <c r="A150" i="1"/>
  <c r="F149" i="1"/>
  <c r="O154" i="1" s="1"/>
  <c r="B149" i="1"/>
  <c r="P154" i="1" s="1"/>
  <c r="D92" i="1"/>
  <c r="G92" i="1" s="1"/>
  <c r="H92" i="1"/>
  <c r="K92" i="1"/>
  <c r="B164" i="4" l="1"/>
  <c r="P164" i="4" s="1"/>
  <c r="AA159" i="4"/>
  <c r="A165" i="4"/>
  <c r="G164" i="4"/>
  <c r="AJ157" i="4"/>
  <c r="AH157" i="4"/>
  <c r="AF157" i="4"/>
  <c r="AB157" i="4" s="1"/>
  <c r="AE158" i="4"/>
  <c r="J92" i="1"/>
  <c r="AG93" i="1" s="1"/>
  <c r="AC93" i="1" s="1"/>
  <c r="I93" i="1"/>
  <c r="C93" i="1"/>
  <c r="AK93" i="1"/>
  <c r="E92" i="1"/>
  <c r="A151" i="1"/>
  <c r="F150" i="1"/>
  <c r="O155" i="1" s="1"/>
  <c r="B150" i="1"/>
  <c r="P155" i="1" s="1"/>
  <c r="AA151" i="1"/>
  <c r="AE150" i="1"/>
  <c r="AI149" i="1"/>
  <c r="AJ149" i="1"/>
  <c r="AH149" i="1"/>
  <c r="AJ158" i="4" l="1"/>
  <c r="AH158" i="4"/>
  <c r="AF158" i="4"/>
  <c r="AB158" i="4" s="1"/>
  <c r="B165" i="4"/>
  <c r="P165" i="4" s="1"/>
  <c r="AA160" i="4"/>
  <c r="A166" i="4"/>
  <c r="G165" i="4"/>
  <c r="AE159" i="4"/>
  <c r="AA152" i="1"/>
  <c r="A152" i="1"/>
  <c r="F151" i="1"/>
  <c r="O156" i="1" s="1"/>
  <c r="B151" i="1"/>
  <c r="P156" i="1" s="1"/>
  <c r="D93" i="1"/>
  <c r="G93" i="1" s="1"/>
  <c r="H93" i="1"/>
  <c r="K93" i="1"/>
  <c r="AJ150" i="1"/>
  <c r="AH150" i="1"/>
  <c r="AI150" i="1"/>
  <c r="AE151" i="1"/>
  <c r="B166" i="4" l="1"/>
  <c r="P166" i="4" s="1"/>
  <c r="AA161" i="4"/>
  <c r="A167" i="4"/>
  <c r="G166" i="4"/>
  <c r="AJ159" i="4"/>
  <c r="AH159" i="4"/>
  <c r="AF159" i="4"/>
  <c r="AB159" i="4" s="1"/>
  <c r="AE160" i="4"/>
  <c r="J93" i="1"/>
  <c r="AG94" i="1" s="1"/>
  <c r="AC94" i="1" s="1"/>
  <c r="I94" i="1"/>
  <c r="C94" i="1"/>
  <c r="AK94" i="1"/>
  <c r="A153" i="1"/>
  <c r="F152" i="1"/>
  <c r="O157" i="1" s="1"/>
  <c r="B152" i="1"/>
  <c r="P157" i="1" s="1"/>
  <c r="AA153" i="1"/>
  <c r="AE152" i="1"/>
  <c r="AI151" i="1"/>
  <c r="AJ151" i="1"/>
  <c r="AH151" i="1"/>
  <c r="E93" i="1"/>
  <c r="B167" i="4" l="1"/>
  <c r="P167" i="4" s="1"/>
  <c r="AA162" i="4"/>
  <c r="A168" i="4"/>
  <c r="G167" i="4"/>
  <c r="AJ160" i="4"/>
  <c r="AH160" i="4"/>
  <c r="AF160" i="4"/>
  <c r="AB160" i="4" s="1"/>
  <c r="AE161" i="4"/>
  <c r="AJ152" i="1"/>
  <c r="AH152" i="1"/>
  <c r="AI152" i="1"/>
  <c r="AE153" i="1"/>
  <c r="D94" i="1"/>
  <c r="G94" i="1" s="1"/>
  <c r="H94" i="1"/>
  <c r="K94" i="1"/>
  <c r="AA154" i="1"/>
  <c r="A154" i="1"/>
  <c r="F153" i="1"/>
  <c r="O158" i="1" s="1"/>
  <c r="B153" i="1"/>
  <c r="P158" i="1" s="1"/>
  <c r="AJ161" i="4" l="1"/>
  <c r="AH161" i="4"/>
  <c r="AF161" i="4"/>
  <c r="AB161" i="4" s="1"/>
  <c r="AE162" i="4"/>
  <c r="B168" i="4"/>
  <c r="P168" i="4" s="1"/>
  <c r="AA163" i="4"/>
  <c r="A169" i="4"/>
  <c r="G168" i="4"/>
  <c r="J94" i="1"/>
  <c r="AG95" i="1" s="1"/>
  <c r="AC95" i="1" s="1"/>
  <c r="E94" i="1"/>
  <c r="A155" i="1"/>
  <c r="F154" i="1"/>
  <c r="O159" i="1" s="1"/>
  <c r="B154" i="1"/>
  <c r="P159" i="1" s="1"/>
  <c r="AA155" i="1"/>
  <c r="AE154" i="1"/>
  <c r="I95" i="1"/>
  <c r="C95" i="1"/>
  <c r="AK95" i="1"/>
  <c r="AI153" i="1"/>
  <c r="AJ153" i="1"/>
  <c r="AH153" i="1"/>
  <c r="B169" i="4" l="1"/>
  <c r="P169" i="4" s="1"/>
  <c r="AA164" i="4"/>
  <c r="A170" i="4"/>
  <c r="G169" i="4"/>
  <c r="AE163" i="4"/>
  <c r="AJ162" i="4"/>
  <c r="AH162" i="4"/>
  <c r="AF162" i="4"/>
  <c r="AB162" i="4" s="1"/>
  <c r="AA156" i="1"/>
  <c r="A156" i="1"/>
  <c r="F155" i="1"/>
  <c r="O160" i="1" s="1"/>
  <c r="B155" i="1"/>
  <c r="P160" i="1" s="1"/>
  <c r="D95" i="1"/>
  <c r="G95" i="1" s="1"/>
  <c r="H95" i="1"/>
  <c r="K95" i="1"/>
  <c r="AJ154" i="1"/>
  <c r="AH154" i="1"/>
  <c r="AI154" i="1"/>
  <c r="AE155" i="1"/>
  <c r="B170" i="4" l="1"/>
  <c r="P170" i="4" s="1"/>
  <c r="AA165" i="4"/>
  <c r="A171" i="4"/>
  <c r="G170" i="4"/>
  <c r="AJ163" i="4"/>
  <c r="AH163" i="4"/>
  <c r="AF163" i="4"/>
  <c r="AB163" i="4" s="1"/>
  <c r="AE164" i="4"/>
  <c r="J95" i="1"/>
  <c r="AG96" i="1" s="1"/>
  <c r="AC96" i="1" s="1"/>
  <c r="E95" i="1"/>
  <c r="AI155" i="1"/>
  <c r="AJ155" i="1"/>
  <c r="AH155" i="1"/>
  <c r="I96" i="1"/>
  <c r="C96" i="1"/>
  <c r="AK96" i="1"/>
  <c r="A157" i="1"/>
  <c r="F156" i="1"/>
  <c r="O161" i="1" s="1"/>
  <c r="B156" i="1"/>
  <c r="P161" i="1" s="1"/>
  <c r="AA157" i="1"/>
  <c r="AE156" i="1"/>
  <c r="AE165" i="4" l="1"/>
  <c r="AJ164" i="4"/>
  <c r="AH164" i="4"/>
  <c r="AF164" i="4"/>
  <c r="AB164" i="4" s="1"/>
  <c r="B171" i="4"/>
  <c r="P171" i="4" s="1"/>
  <c r="AA166" i="4"/>
  <c r="A172" i="4"/>
  <c r="G171" i="4"/>
  <c r="AA158" i="1"/>
  <c r="A158" i="1"/>
  <c r="F157" i="1"/>
  <c r="O162" i="1" s="1"/>
  <c r="B157" i="1"/>
  <c r="P162" i="1" s="1"/>
  <c r="AJ156" i="1"/>
  <c r="AH156" i="1"/>
  <c r="AI156" i="1"/>
  <c r="AE157" i="1"/>
  <c r="D96" i="1"/>
  <c r="G96" i="1" s="1"/>
  <c r="H96" i="1"/>
  <c r="K96" i="1"/>
  <c r="B172" i="4" l="1"/>
  <c r="P172" i="4" s="1"/>
  <c r="AA167" i="4"/>
  <c r="A173" i="4"/>
  <c r="G172" i="4"/>
  <c r="AE166" i="4"/>
  <c r="AJ165" i="4"/>
  <c r="AH165" i="4"/>
  <c r="AF165" i="4"/>
  <c r="AB165" i="4" s="1"/>
  <c r="J96" i="1"/>
  <c r="AG97" i="1" s="1"/>
  <c r="AC97" i="1" s="1"/>
  <c r="A159" i="1"/>
  <c r="F158" i="1"/>
  <c r="O163" i="1" s="1"/>
  <c r="B158" i="1"/>
  <c r="P163" i="1" s="1"/>
  <c r="AA159" i="1"/>
  <c r="AE158" i="1"/>
  <c r="I97" i="1"/>
  <c r="C97" i="1"/>
  <c r="AK97" i="1"/>
  <c r="E96" i="1"/>
  <c r="AI157" i="1"/>
  <c r="AJ157" i="1"/>
  <c r="AH157" i="1"/>
  <c r="AE167" i="4" l="1"/>
  <c r="AJ166" i="4"/>
  <c r="AH166" i="4"/>
  <c r="AF166" i="4"/>
  <c r="AB166" i="4" s="1"/>
  <c r="B173" i="4"/>
  <c r="P173" i="4" s="1"/>
  <c r="AA168" i="4"/>
  <c r="A174" i="4"/>
  <c r="G173" i="4"/>
  <c r="D97" i="1"/>
  <c r="G97" i="1" s="1"/>
  <c r="H97" i="1"/>
  <c r="K97" i="1"/>
  <c r="AJ158" i="1"/>
  <c r="AH158" i="1"/>
  <c r="AI158" i="1"/>
  <c r="AE159" i="1"/>
  <c r="AA160" i="1"/>
  <c r="A160" i="1"/>
  <c r="F159" i="1"/>
  <c r="O164" i="1" s="1"/>
  <c r="B159" i="1"/>
  <c r="P164" i="1" s="1"/>
  <c r="B174" i="4" l="1"/>
  <c r="P174" i="4" s="1"/>
  <c r="AA169" i="4"/>
  <c r="A175" i="4"/>
  <c r="G174" i="4"/>
  <c r="AJ167" i="4"/>
  <c r="AH167" i="4"/>
  <c r="AF167" i="4"/>
  <c r="AB167" i="4" s="1"/>
  <c r="AE168" i="4"/>
  <c r="J97" i="1"/>
  <c r="AG98" i="1" s="1"/>
  <c r="AC98" i="1" s="1"/>
  <c r="A161" i="1"/>
  <c r="F160" i="1"/>
  <c r="O165" i="1" s="1"/>
  <c r="B160" i="1"/>
  <c r="P165" i="1" s="1"/>
  <c r="AA161" i="1"/>
  <c r="AE160" i="1"/>
  <c r="E97" i="1"/>
  <c r="AI159" i="1"/>
  <c r="AJ159" i="1"/>
  <c r="AH159" i="1"/>
  <c r="I98" i="1"/>
  <c r="C98" i="1"/>
  <c r="AK98" i="1"/>
  <c r="AJ168" i="4" l="1"/>
  <c r="AH168" i="4"/>
  <c r="AF168" i="4"/>
  <c r="AB168" i="4" s="1"/>
  <c r="AE169" i="4"/>
  <c r="B175" i="4"/>
  <c r="P175" i="4" s="1"/>
  <c r="AA170" i="4"/>
  <c r="A176" i="4"/>
  <c r="G175" i="4"/>
  <c r="AA162" i="1"/>
  <c r="A162" i="1"/>
  <c r="F161" i="1"/>
  <c r="O166" i="1" s="1"/>
  <c r="B161" i="1"/>
  <c r="P166" i="1" s="1"/>
  <c r="D98" i="1"/>
  <c r="G98" i="1" s="1"/>
  <c r="H98" i="1"/>
  <c r="K98" i="1"/>
  <c r="AJ160" i="1"/>
  <c r="AH160" i="1"/>
  <c r="AI160" i="1"/>
  <c r="AE161" i="1"/>
  <c r="B176" i="4" l="1"/>
  <c r="P176" i="4" s="1"/>
  <c r="AA171" i="4"/>
  <c r="A177" i="4"/>
  <c r="G176" i="4"/>
  <c r="AE170" i="4"/>
  <c r="AJ169" i="4"/>
  <c r="AH169" i="4"/>
  <c r="AF169" i="4"/>
  <c r="AB169" i="4" s="1"/>
  <c r="J98" i="1"/>
  <c r="AG99" i="1" s="1"/>
  <c r="AC99" i="1" s="1"/>
  <c r="AI161" i="1"/>
  <c r="AJ161" i="1"/>
  <c r="AH161" i="1"/>
  <c r="I99" i="1"/>
  <c r="C99" i="1"/>
  <c r="AK99" i="1"/>
  <c r="E98" i="1"/>
  <c r="A163" i="1"/>
  <c r="F162" i="1"/>
  <c r="O167" i="1" s="1"/>
  <c r="B162" i="1"/>
  <c r="P167" i="1" s="1"/>
  <c r="AA163" i="1"/>
  <c r="AE162" i="1"/>
  <c r="AJ170" i="4" l="1"/>
  <c r="AH170" i="4"/>
  <c r="AF170" i="4"/>
  <c r="AB170" i="4" s="1"/>
  <c r="B177" i="4"/>
  <c r="P177" i="4" s="1"/>
  <c r="AA172" i="4"/>
  <c r="A178" i="4"/>
  <c r="G177" i="4"/>
  <c r="AE171" i="4"/>
  <c r="AA164" i="1"/>
  <c r="A164" i="1"/>
  <c r="F163" i="1"/>
  <c r="O168" i="1" s="1"/>
  <c r="B163" i="1"/>
  <c r="P168" i="1" s="1"/>
  <c r="D99" i="1"/>
  <c r="G99" i="1" s="1"/>
  <c r="H99" i="1"/>
  <c r="K99" i="1"/>
  <c r="AJ162" i="1"/>
  <c r="AH162" i="1"/>
  <c r="AI162" i="1"/>
  <c r="AE163" i="1"/>
  <c r="AJ171" i="4" l="1"/>
  <c r="AH171" i="4"/>
  <c r="AF171" i="4"/>
  <c r="AB171" i="4" s="1"/>
  <c r="AE172" i="4"/>
  <c r="B178" i="4"/>
  <c r="P178" i="4" s="1"/>
  <c r="AA173" i="4"/>
  <c r="A179" i="4"/>
  <c r="G178" i="4"/>
  <c r="J99" i="1"/>
  <c r="AG100" i="1" s="1"/>
  <c r="AC100" i="1" s="1"/>
  <c r="I100" i="1"/>
  <c r="C100" i="1"/>
  <c r="AK100" i="1"/>
  <c r="A165" i="1"/>
  <c r="F164" i="1"/>
  <c r="O169" i="1" s="1"/>
  <c r="B164" i="1"/>
  <c r="P169" i="1" s="1"/>
  <c r="AA165" i="1"/>
  <c r="AE164" i="1"/>
  <c r="AI163" i="1"/>
  <c r="AJ163" i="1"/>
  <c r="AH163" i="1"/>
  <c r="E99" i="1"/>
  <c r="B179" i="4" l="1"/>
  <c r="P179" i="4" s="1"/>
  <c r="AA174" i="4"/>
  <c r="A180" i="4"/>
  <c r="G179" i="4"/>
  <c r="AE173" i="4"/>
  <c r="AJ172" i="4"/>
  <c r="AH172" i="4"/>
  <c r="AF172" i="4"/>
  <c r="AB172" i="4" s="1"/>
  <c r="AJ164" i="1"/>
  <c r="AH164" i="1"/>
  <c r="AI164" i="1"/>
  <c r="AE165" i="1"/>
  <c r="D100" i="1"/>
  <c r="G100" i="1" s="1"/>
  <c r="H100" i="1"/>
  <c r="K100" i="1"/>
  <c r="AA166" i="1"/>
  <c r="A166" i="1"/>
  <c r="F165" i="1"/>
  <c r="O170" i="1" s="1"/>
  <c r="B165" i="1"/>
  <c r="P170" i="1" s="1"/>
  <c r="AJ173" i="4" l="1"/>
  <c r="AH173" i="4"/>
  <c r="AF173" i="4"/>
  <c r="AB173" i="4" s="1"/>
  <c r="AE174" i="4"/>
  <c r="B180" i="4"/>
  <c r="P180" i="4" s="1"/>
  <c r="AA175" i="4"/>
  <c r="A181" i="4"/>
  <c r="G180" i="4"/>
  <c r="J100" i="1"/>
  <c r="AG101" i="1" s="1"/>
  <c r="AC101" i="1" s="1"/>
  <c r="E100" i="1"/>
  <c r="A167" i="1"/>
  <c r="F166" i="1"/>
  <c r="O171" i="1" s="1"/>
  <c r="B166" i="1"/>
  <c r="P171" i="1" s="1"/>
  <c r="AA167" i="1"/>
  <c r="AE166" i="1"/>
  <c r="I101" i="1"/>
  <c r="C101" i="1"/>
  <c r="AK101" i="1"/>
  <c r="AI165" i="1"/>
  <c r="AJ165" i="1"/>
  <c r="AH165" i="1"/>
  <c r="B181" i="4" l="1"/>
  <c r="P181" i="4" s="1"/>
  <c r="AA176" i="4"/>
  <c r="A182" i="4"/>
  <c r="G181" i="4"/>
  <c r="AE175" i="4"/>
  <c r="AJ174" i="4"/>
  <c r="AH174" i="4"/>
  <c r="AF174" i="4"/>
  <c r="AB174" i="4" s="1"/>
  <c r="AA168" i="1"/>
  <c r="A168" i="1"/>
  <c r="F167" i="1"/>
  <c r="O172" i="1" s="1"/>
  <c r="B167" i="1"/>
  <c r="P172" i="1" s="1"/>
  <c r="D101" i="1"/>
  <c r="G101" i="1" s="1"/>
  <c r="H101" i="1"/>
  <c r="K101" i="1"/>
  <c r="AJ166" i="1"/>
  <c r="AH166" i="1"/>
  <c r="AI166" i="1"/>
  <c r="AE167" i="1"/>
  <c r="B182" i="4" l="1"/>
  <c r="P182" i="4" s="1"/>
  <c r="AA177" i="4"/>
  <c r="A183" i="4"/>
  <c r="G182" i="4"/>
  <c r="AJ175" i="4"/>
  <c r="AH175" i="4"/>
  <c r="AF175" i="4"/>
  <c r="AB175" i="4" s="1"/>
  <c r="AE176" i="4"/>
  <c r="J101" i="1"/>
  <c r="AG102" i="1" s="1"/>
  <c r="AC102" i="1" s="1"/>
  <c r="E101" i="1"/>
  <c r="AI167" i="1"/>
  <c r="AJ167" i="1"/>
  <c r="AH167" i="1"/>
  <c r="I102" i="1"/>
  <c r="C102" i="1"/>
  <c r="AK102" i="1"/>
  <c r="A169" i="1"/>
  <c r="F168" i="1"/>
  <c r="O173" i="1" s="1"/>
  <c r="B168" i="1"/>
  <c r="P173" i="1" s="1"/>
  <c r="AA169" i="1"/>
  <c r="AE168" i="1"/>
  <c r="AJ176" i="4" l="1"/>
  <c r="AH176" i="4"/>
  <c r="AF176" i="4"/>
  <c r="AB176" i="4" s="1"/>
  <c r="B183" i="4"/>
  <c r="P183" i="4" s="1"/>
  <c r="AA178" i="4"/>
  <c r="A184" i="4"/>
  <c r="G183" i="4"/>
  <c r="AE177" i="4"/>
  <c r="AJ168" i="1"/>
  <c r="AH168" i="1"/>
  <c r="AI168" i="1"/>
  <c r="AE169" i="1"/>
  <c r="D102" i="1"/>
  <c r="G102" i="1" s="1"/>
  <c r="H102" i="1"/>
  <c r="K102" i="1"/>
  <c r="AA170" i="1"/>
  <c r="A170" i="1"/>
  <c r="F169" i="1"/>
  <c r="O174" i="1" s="1"/>
  <c r="B169" i="1"/>
  <c r="P174" i="1" s="1"/>
  <c r="AJ177" i="4" l="1"/>
  <c r="AH177" i="4"/>
  <c r="AF177" i="4"/>
  <c r="AB177" i="4" s="1"/>
  <c r="AE178" i="4"/>
  <c r="B184" i="4"/>
  <c r="P184" i="4" s="1"/>
  <c r="AA179" i="4"/>
  <c r="A185" i="4"/>
  <c r="G184" i="4"/>
  <c r="J102" i="1"/>
  <c r="AG103" i="1" s="1"/>
  <c r="AC103" i="1" s="1"/>
  <c r="E102" i="1"/>
  <c r="I103" i="1"/>
  <c r="C103" i="1"/>
  <c r="AK103" i="1"/>
  <c r="AI169" i="1"/>
  <c r="AJ169" i="1"/>
  <c r="AH169" i="1"/>
  <c r="A171" i="1"/>
  <c r="F170" i="1"/>
  <c r="O175" i="1" s="1"/>
  <c r="B170" i="1"/>
  <c r="P175" i="1" s="1"/>
  <c r="AA171" i="1"/>
  <c r="AE170" i="1"/>
  <c r="B185" i="4" l="1"/>
  <c r="P185" i="4" s="1"/>
  <c r="AA180" i="4"/>
  <c r="A186" i="4"/>
  <c r="G185" i="4"/>
  <c r="AE179" i="4"/>
  <c r="AJ178" i="4"/>
  <c r="AH178" i="4"/>
  <c r="AF178" i="4"/>
  <c r="AB178" i="4" s="1"/>
  <c r="AA172" i="1"/>
  <c r="A172" i="1"/>
  <c r="F171" i="1"/>
  <c r="O176" i="1" s="1"/>
  <c r="B171" i="1"/>
  <c r="P176" i="1" s="1"/>
  <c r="AJ170" i="1"/>
  <c r="AH170" i="1"/>
  <c r="AI170" i="1"/>
  <c r="AE171" i="1"/>
  <c r="D103" i="1"/>
  <c r="G103" i="1" s="1"/>
  <c r="H103" i="1"/>
  <c r="K103" i="1"/>
  <c r="B186" i="4" l="1"/>
  <c r="P186" i="4" s="1"/>
  <c r="AA181" i="4"/>
  <c r="A187" i="4"/>
  <c r="G186" i="4"/>
  <c r="AJ179" i="4"/>
  <c r="AH179" i="4"/>
  <c r="AF179" i="4"/>
  <c r="AB179" i="4" s="1"/>
  <c r="AE180" i="4"/>
  <c r="J103" i="1"/>
  <c r="AG104" i="1" s="1"/>
  <c r="AC104" i="1" s="1"/>
  <c r="E103" i="1"/>
  <c r="A173" i="1"/>
  <c r="F172" i="1"/>
  <c r="O177" i="1" s="1"/>
  <c r="B172" i="1"/>
  <c r="P177" i="1" s="1"/>
  <c r="AA173" i="1"/>
  <c r="AE172" i="1"/>
  <c r="I104" i="1"/>
  <c r="C104" i="1"/>
  <c r="AK104" i="1"/>
  <c r="AI171" i="1"/>
  <c r="AJ171" i="1"/>
  <c r="AH171" i="1"/>
  <c r="B187" i="4" l="1"/>
  <c r="P187" i="4" s="1"/>
  <c r="AA182" i="4"/>
  <c r="A188" i="4"/>
  <c r="G187" i="4"/>
  <c r="AJ180" i="4"/>
  <c r="AH180" i="4"/>
  <c r="AF180" i="4"/>
  <c r="AB180" i="4" s="1"/>
  <c r="AE181" i="4"/>
  <c r="D104" i="1"/>
  <c r="G104" i="1" s="1"/>
  <c r="H104" i="1"/>
  <c r="K104" i="1"/>
  <c r="AJ172" i="1"/>
  <c r="AH172" i="1"/>
  <c r="AI172" i="1"/>
  <c r="AE173" i="1"/>
  <c r="AA174" i="1"/>
  <c r="A174" i="1"/>
  <c r="F173" i="1"/>
  <c r="O178" i="1" s="1"/>
  <c r="B173" i="1"/>
  <c r="P178" i="1" s="1"/>
  <c r="AJ181" i="4" l="1"/>
  <c r="AH181" i="4"/>
  <c r="AF181" i="4"/>
  <c r="AB181" i="4" s="1"/>
  <c r="B188" i="4"/>
  <c r="P188" i="4" s="1"/>
  <c r="AA183" i="4"/>
  <c r="A189" i="4"/>
  <c r="G188" i="4"/>
  <c r="AE182" i="4"/>
  <c r="J104" i="1"/>
  <c r="AG105" i="1" s="1"/>
  <c r="AC105" i="1" s="1"/>
  <c r="E104" i="1"/>
  <c r="A175" i="1"/>
  <c r="F174" i="1"/>
  <c r="O179" i="1" s="1"/>
  <c r="B174" i="1"/>
  <c r="P179" i="1" s="1"/>
  <c r="AA175" i="1"/>
  <c r="AE174" i="1"/>
  <c r="AI173" i="1"/>
  <c r="AJ173" i="1"/>
  <c r="AH173" i="1"/>
  <c r="I105" i="1"/>
  <c r="C105" i="1"/>
  <c r="AK105" i="1"/>
  <c r="AJ182" i="4" l="1"/>
  <c r="AH182" i="4"/>
  <c r="AF182" i="4"/>
  <c r="AB182" i="4" s="1"/>
  <c r="AE183" i="4"/>
  <c r="B189" i="4"/>
  <c r="P189" i="4" s="1"/>
  <c r="AA184" i="4"/>
  <c r="A190" i="4"/>
  <c r="G189" i="4"/>
  <c r="D105" i="1"/>
  <c r="G105" i="1" s="1"/>
  <c r="H105" i="1"/>
  <c r="K105" i="1"/>
  <c r="AJ174" i="1"/>
  <c r="AH174" i="1"/>
  <c r="AI174" i="1"/>
  <c r="AE175" i="1"/>
  <c r="AA176" i="1"/>
  <c r="A176" i="1"/>
  <c r="F175" i="1"/>
  <c r="O180" i="1" s="1"/>
  <c r="B175" i="1"/>
  <c r="P180" i="1" s="1"/>
  <c r="B190" i="4" l="1"/>
  <c r="P190" i="4" s="1"/>
  <c r="AA185" i="4"/>
  <c r="A191" i="4"/>
  <c r="G190" i="4"/>
  <c r="AJ183" i="4"/>
  <c r="AH183" i="4"/>
  <c r="AF183" i="4"/>
  <c r="AB183" i="4" s="1"/>
  <c r="AE184" i="4"/>
  <c r="J105" i="1"/>
  <c r="AG106" i="1" s="1"/>
  <c r="AC106" i="1" s="1"/>
  <c r="AE176" i="1"/>
  <c r="AI175" i="1"/>
  <c r="AJ175" i="1"/>
  <c r="AH175" i="1"/>
  <c r="I106" i="1"/>
  <c r="C106" i="1"/>
  <c r="AK106" i="1"/>
  <c r="A177" i="1"/>
  <c r="F176" i="1"/>
  <c r="O181" i="1" s="1"/>
  <c r="B176" i="1"/>
  <c r="P181" i="1" s="1"/>
  <c r="AA177" i="1"/>
  <c r="E105" i="1"/>
  <c r="AJ184" i="4" l="1"/>
  <c r="AH184" i="4"/>
  <c r="AF184" i="4"/>
  <c r="AB184" i="4" s="1"/>
  <c r="AE185" i="4"/>
  <c r="B191" i="4"/>
  <c r="P191" i="4" s="1"/>
  <c r="AA186" i="4"/>
  <c r="A192" i="4"/>
  <c r="G191" i="4"/>
  <c r="AE177" i="1"/>
  <c r="AJ176" i="1"/>
  <c r="AH176" i="1"/>
  <c r="AI176" i="1"/>
  <c r="AA178" i="1"/>
  <c r="A178" i="1"/>
  <c r="F177" i="1"/>
  <c r="O182" i="1" s="1"/>
  <c r="B177" i="1"/>
  <c r="P182" i="1" s="1"/>
  <c r="D106" i="1"/>
  <c r="G106" i="1" s="1"/>
  <c r="H106" i="1"/>
  <c r="K106" i="1"/>
  <c r="AE186" i="4" l="1"/>
  <c r="B192" i="4"/>
  <c r="P192" i="4" s="1"/>
  <c r="AA187" i="4"/>
  <c r="A193" i="4"/>
  <c r="G192" i="4"/>
  <c r="AJ185" i="4"/>
  <c r="AH185" i="4"/>
  <c r="AF185" i="4"/>
  <c r="AB185" i="4" s="1"/>
  <c r="J106" i="1"/>
  <c r="AG107" i="1" s="1"/>
  <c r="AC107" i="1" s="1"/>
  <c r="E106" i="1"/>
  <c r="I107" i="1"/>
  <c r="C107" i="1"/>
  <c r="AK107" i="1"/>
  <c r="AA179" i="1"/>
  <c r="A179" i="1"/>
  <c r="F178" i="1"/>
  <c r="O183" i="1" s="1"/>
  <c r="B178" i="1"/>
  <c r="P183" i="1" s="1"/>
  <c r="AE178" i="1"/>
  <c r="AI177" i="1"/>
  <c r="AJ177" i="1"/>
  <c r="AH177" i="1"/>
  <c r="B193" i="4" l="1"/>
  <c r="P193" i="4" s="1"/>
  <c r="AA188" i="4"/>
  <c r="A194" i="4"/>
  <c r="G193" i="4"/>
  <c r="AJ186" i="4"/>
  <c r="AH186" i="4"/>
  <c r="AF186" i="4"/>
  <c r="AB186" i="4" s="1"/>
  <c r="AE187" i="4"/>
  <c r="AJ178" i="1"/>
  <c r="AH178" i="1"/>
  <c r="AI178" i="1"/>
  <c r="A180" i="1"/>
  <c r="AA180" i="1"/>
  <c r="F179" i="1"/>
  <c r="O184" i="1" s="1"/>
  <c r="B179" i="1"/>
  <c r="P184" i="1" s="1"/>
  <c r="AE179" i="1"/>
  <c r="D107" i="1"/>
  <c r="G107" i="1" s="1"/>
  <c r="H107" i="1"/>
  <c r="K107" i="1"/>
  <c r="AJ187" i="4" l="1"/>
  <c r="AH187" i="4"/>
  <c r="AF187" i="4"/>
  <c r="AB187" i="4" s="1"/>
  <c r="B194" i="4"/>
  <c r="P194" i="4" s="1"/>
  <c r="AA189" i="4"/>
  <c r="A195" i="4"/>
  <c r="G194" i="4"/>
  <c r="AE188" i="4"/>
  <c r="J107" i="1"/>
  <c r="AG108" i="1" s="1"/>
  <c r="AC108" i="1" s="1"/>
  <c r="E107" i="1"/>
  <c r="I108" i="1"/>
  <c r="C108" i="1"/>
  <c r="AK108" i="1"/>
  <c r="AJ179" i="1"/>
  <c r="AH179" i="1"/>
  <c r="AI179" i="1"/>
  <c r="AE180" i="1"/>
  <c r="AA181" i="1"/>
  <c r="A181" i="1"/>
  <c r="F180" i="1"/>
  <c r="O185" i="1" s="1"/>
  <c r="B180" i="1"/>
  <c r="P185" i="1" s="1"/>
  <c r="AE189" i="4" l="1"/>
  <c r="AJ188" i="4"/>
  <c r="AH188" i="4"/>
  <c r="AF188" i="4"/>
  <c r="AB188" i="4" s="1"/>
  <c r="B195" i="4"/>
  <c r="P195" i="4" s="1"/>
  <c r="AA190" i="4"/>
  <c r="A196" i="4"/>
  <c r="G195" i="4"/>
  <c r="AI180" i="1"/>
  <c r="AJ180" i="1"/>
  <c r="AH180" i="1"/>
  <c r="A182" i="1"/>
  <c r="F181" i="1"/>
  <c r="O186" i="1" s="1"/>
  <c r="B181" i="1"/>
  <c r="P186" i="1" s="1"/>
  <c r="AA182" i="1"/>
  <c r="AE181" i="1"/>
  <c r="D108" i="1"/>
  <c r="G108" i="1" s="1"/>
  <c r="H108" i="1"/>
  <c r="K108" i="1"/>
  <c r="AE190" i="4" l="1"/>
  <c r="B196" i="4"/>
  <c r="P196" i="4" s="1"/>
  <c r="AA191" i="4"/>
  <c r="A197" i="4"/>
  <c r="G196" i="4"/>
  <c r="AJ189" i="4"/>
  <c r="AH189" i="4"/>
  <c r="AF189" i="4"/>
  <c r="AB189" i="4" s="1"/>
  <c r="J108" i="1"/>
  <c r="AG109" i="1" s="1"/>
  <c r="AC109" i="1" s="1"/>
  <c r="AJ181" i="1"/>
  <c r="AH181" i="1"/>
  <c r="AI181" i="1"/>
  <c r="AE182" i="1"/>
  <c r="I109" i="1"/>
  <c r="C109" i="1"/>
  <c r="AK109" i="1"/>
  <c r="E108" i="1"/>
  <c r="AA183" i="1"/>
  <c r="A183" i="1"/>
  <c r="F182" i="1"/>
  <c r="O187" i="1" s="1"/>
  <c r="B182" i="1"/>
  <c r="P187" i="1" s="1"/>
  <c r="AE191" i="4" l="1"/>
  <c r="B197" i="4"/>
  <c r="P197" i="4" s="1"/>
  <c r="AA192" i="4"/>
  <c r="A198" i="4"/>
  <c r="G197" i="4"/>
  <c r="AJ190" i="4"/>
  <c r="AH190" i="4"/>
  <c r="AF190" i="4"/>
  <c r="AB190" i="4" s="1"/>
  <c r="D109" i="1"/>
  <c r="G109" i="1" s="1"/>
  <c r="H109" i="1"/>
  <c r="K109" i="1"/>
  <c r="A184" i="1"/>
  <c r="F183" i="1"/>
  <c r="O188" i="1" s="1"/>
  <c r="B183" i="1"/>
  <c r="P188" i="1" s="1"/>
  <c r="AA184" i="1"/>
  <c r="AE183" i="1"/>
  <c r="AI182" i="1"/>
  <c r="AJ182" i="1"/>
  <c r="AH182" i="1"/>
  <c r="B198" i="4" l="1"/>
  <c r="P198" i="4" s="1"/>
  <c r="AA193" i="4"/>
  <c r="A199" i="4"/>
  <c r="G198" i="4"/>
  <c r="AE192" i="4"/>
  <c r="AJ191" i="4"/>
  <c r="AH191" i="4"/>
  <c r="AF191" i="4"/>
  <c r="AB191" i="4" s="1"/>
  <c r="J109" i="1"/>
  <c r="AG110" i="1" s="1"/>
  <c r="AC110" i="1" s="1"/>
  <c r="AA185" i="1"/>
  <c r="A185" i="1"/>
  <c r="F184" i="1"/>
  <c r="O189" i="1" s="1"/>
  <c r="B184" i="1"/>
  <c r="P189" i="1" s="1"/>
  <c r="E109" i="1"/>
  <c r="AJ183" i="1"/>
  <c r="AH183" i="1"/>
  <c r="AI183" i="1"/>
  <c r="AE184" i="1"/>
  <c r="I110" i="1"/>
  <c r="C110" i="1"/>
  <c r="AK110" i="1"/>
  <c r="AJ192" i="4" l="1"/>
  <c r="AH192" i="4"/>
  <c r="AF192" i="4"/>
  <c r="AB192" i="4" s="1"/>
  <c r="AE193" i="4"/>
  <c r="B199" i="4"/>
  <c r="P199" i="4" s="1"/>
  <c r="AA194" i="4"/>
  <c r="A200" i="4"/>
  <c r="G199" i="4"/>
  <c r="A186" i="1"/>
  <c r="F185" i="1"/>
  <c r="O190" i="1" s="1"/>
  <c r="B185" i="1"/>
  <c r="P190" i="1" s="1"/>
  <c r="AA186" i="1"/>
  <c r="AE185" i="1"/>
  <c r="D110" i="1"/>
  <c r="G110" i="1" s="1"/>
  <c r="H110" i="1"/>
  <c r="K110" i="1"/>
  <c r="AI184" i="1"/>
  <c r="AJ184" i="1"/>
  <c r="AH184" i="1"/>
  <c r="AE194" i="4" l="1"/>
  <c r="G200" i="4"/>
  <c r="B200" i="4"/>
  <c r="P200" i="4" s="1"/>
  <c r="AA195" i="4"/>
  <c r="A201" i="4"/>
  <c r="AJ193" i="4"/>
  <c r="AH193" i="4"/>
  <c r="AF193" i="4"/>
  <c r="AB193" i="4" s="1"/>
  <c r="J110" i="1"/>
  <c r="AG111" i="1" s="1"/>
  <c r="AC111" i="1" s="1"/>
  <c r="E110" i="1"/>
  <c r="I111" i="1"/>
  <c r="C111" i="1"/>
  <c r="AK111" i="1"/>
  <c r="AA187" i="1"/>
  <c r="A187" i="1"/>
  <c r="F186" i="1"/>
  <c r="O191" i="1" s="1"/>
  <c r="B186" i="1"/>
  <c r="P191" i="1" s="1"/>
  <c r="AJ185" i="1"/>
  <c r="AH185" i="1"/>
  <c r="AI185" i="1"/>
  <c r="AE186" i="1"/>
  <c r="B201" i="4" l="1"/>
  <c r="P201" i="4" s="1"/>
  <c r="G201" i="4"/>
  <c r="AA196" i="4"/>
  <c r="A202" i="4"/>
  <c r="AE195" i="4"/>
  <c r="AJ194" i="4"/>
  <c r="AH194" i="4"/>
  <c r="AF194" i="4"/>
  <c r="AB194" i="4" s="1"/>
  <c r="A188" i="1"/>
  <c r="F187" i="1"/>
  <c r="O192" i="1" s="1"/>
  <c r="B187" i="1"/>
  <c r="P192" i="1" s="1"/>
  <c r="AA188" i="1"/>
  <c r="AE187" i="1"/>
  <c r="AI186" i="1"/>
  <c r="AJ186" i="1"/>
  <c r="AH186" i="1"/>
  <c r="D111" i="1"/>
  <c r="G111" i="1" s="1"/>
  <c r="H111" i="1"/>
  <c r="K111" i="1"/>
  <c r="AJ195" i="4" l="1"/>
  <c r="AH195" i="4"/>
  <c r="AF195" i="4"/>
  <c r="AB195" i="4" s="1"/>
  <c r="B202" i="4"/>
  <c r="P202" i="4" s="1"/>
  <c r="G202" i="4"/>
  <c r="AA197" i="4"/>
  <c r="A203" i="4"/>
  <c r="AE196" i="4"/>
  <c r="J111" i="1"/>
  <c r="AG112" i="1" s="1"/>
  <c r="AC112" i="1" s="1"/>
  <c r="E111" i="1"/>
  <c r="AA189" i="1"/>
  <c r="A189" i="1"/>
  <c r="F188" i="1"/>
  <c r="O193" i="1" s="1"/>
  <c r="B188" i="1"/>
  <c r="P193" i="1" s="1"/>
  <c r="I112" i="1"/>
  <c r="C112" i="1"/>
  <c r="AK112" i="1"/>
  <c r="AJ187" i="1"/>
  <c r="AH187" i="1"/>
  <c r="AI187" i="1"/>
  <c r="AE188" i="1"/>
  <c r="AJ196" i="4" l="1"/>
  <c r="AH196" i="4"/>
  <c r="AF196" i="4"/>
  <c r="AB196" i="4" s="1"/>
  <c r="B203" i="4"/>
  <c r="P203" i="4" s="1"/>
  <c r="G203" i="4"/>
  <c r="AA198" i="4"/>
  <c r="A204" i="4"/>
  <c r="AE197" i="4"/>
  <c r="AI188" i="1"/>
  <c r="AJ188" i="1"/>
  <c r="AH188" i="1"/>
  <c r="D112" i="1"/>
  <c r="G112" i="1" s="1"/>
  <c r="H112" i="1"/>
  <c r="K112" i="1"/>
  <c r="A190" i="1"/>
  <c r="F189" i="1"/>
  <c r="O194" i="1" s="1"/>
  <c r="B189" i="1"/>
  <c r="P194" i="1" s="1"/>
  <c r="AA190" i="1"/>
  <c r="AE189" i="1"/>
  <c r="B204" i="4" l="1"/>
  <c r="P204" i="4" s="1"/>
  <c r="G204" i="4"/>
  <c r="AA199" i="4"/>
  <c r="A205" i="4"/>
  <c r="AE198" i="4"/>
  <c r="AJ197" i="4"/>
  <c r="AH197" i="4"/>
  <c r="AF197" i="4"/>
  <c r="AB197" i="4" s="1"/>
  <c r="J112" i="1"/>
  <c r="AG113" i="1" s="1"/>
  <c r="AC113" i="1" s="1"/>
  <c r="AA191" i="1"/>
  <c r="A191" i="1"/>
  <c r="F190" i="1"/>
  <c r="O195" i="1" s="1"/>
  <c r="B190" i="1"/>
  <c r="P195" i="1" s="1"/>
  <c r="I113" i="1"/>
  <c r="C113" i="1"/>
  <c r="AK113" i="1"/>
  <c r="E112" i="1"/>
  <c r="AJ189" i="1"/>
  <c r="AH189" i="1"/>
  <c r="AI189" i="1"/>
  <c r="AE190" i="1"/>
  <c r="B205" i="4" l="1"/>
  <c r="P205" i="4" s="1"/>
  <c r="AA200" i="4"/>
  <c r="G205" i="4"/>
  <c r="A206" i="4"/>
  <c r="AE199" i="4"/>
  <c r="AJ198" i="4"/>
  <c r="AH198" i="4"/>
  <c r="AF198" i="4"/>
  <c r="AB198" i="4" s="1"/>
  <c r="D113" i="1"/>
  <c r="G113" i="1" s="1"/>
  <c r="H113" i="1"/>
  <c r="K113" i="1"/>
  <c r="A192" i="1"/>
  <c r="F191" i="1"/>
  <c r="O196" i="1" s="1"/>
  <c r="B191" i="1"/>
  <c r="P196" i="1" s="1"/>
  <c r="AA192" i="1"/>
  <c r="AE191" i="1"/>
  <c r="AI190" i="1"/>
  <c r="AJ190" i="1"/>
  <c r="AH190" i="1"/>
  <c r="B206" i="4" l="1"/>
  <c r="P206" i="4" s="1"/>
  <c r="AA201" i="4"/>
  <c r="G206" i="4"/>
  <c r="A207" i="4"/>
  <c r="AE200" i="4"/>
  <c r="AJ199" i="4"/>
  <c r="AH199" i="4"/>
  <c r="AF199" i="4"/>
  <c r="AB199" i="4" s="1"/>
  <c r="J113" i="1"/>
  <c r="AG114" i="1" s="1"/>
  <c r="AC114" i="1" s="1"/>
  <c r="AA193" i="1"/>
  <c r="A193" i="1"/>
  <c r="F192" i="1"/>
  <c r="O197" i="1" s="1"/>
  <c r="B192" i="1"/>
  <c r="P197" i="1" s="1"/>
  <c r="I114" i="1"/>
  <c r="C114" i="1"/>
  <c r="AK114" i="1"/>
  <c r="AJ191" i="1"/>
  <c r="AH191" i="1"/>
  <c r="AI191" i="1"/>
  <c r="AE192" i="1"/>
  <c r="E113" i="1"/>
  <c r="AJ200" i="4" l="1"/>
  <c r="AH200" i="4"/>
  <c r="AF200" i="4"/>
  <c r="AB200" i="4" s="1"/>
  <c r="B207" i="4"/>
  <c r="P207" i="4" s="1"/>
  <c r="AA202" i="4"/>
  <c r="G207" i="4"/>
  <c r="A208" i="4"/>
  <c r="AE201" i="4"/>
  <c r="AI192" i="1"/>
  <c r="AJ192" i="1"/>
  <c r="AH192" i="1"/>
  <c r="D114" i="1"/>
  <c r="G114" i="1" s="1"/>
  <c r="H114" i="1"/>
  <c r="K114" i="1"/>
  <c r="A194" i="1"/>
  <c r="F193" i="1"/>
  <c r="O198" i="1" s="1"/>
  <c r="B193" i="1"/>
  <c r="P198" i="1" s="1"/>
  <c r="AA194" i="1"/>
  <c r="AE193" i="1"/>
  <c r="AJ201" i="4" l="1"/>
  <c r="AH201" i="4"/>
  <c r="AF201" i="4"/>
  <c r="AB201" i="4" s="1"/>
  <c r="B208" i="4"/>
  <c r="P208" i="4" s="1"/>
  <c r="AA203" i="4"/>
  <c r="G208" i="4"/>
  <c r="A209" i="4"/>
  <c r="AE202" i="4"/>
  <c r="J114" i="1"/>
  <c r="AG115" i="1" s="1"/>
  <c r="AC115" i="1" s="1"/>
  <c r="AJ193" i="1"/>
  <c r="AH193" i="1"/>
  <c r="AI193" i="1"/>
  <c r="AE194" i="1"/>
  <c r="AA195" i="1"/>
  <c r="A195" i="1"/>
  <c r="F194" i="1"/>
  <c r="O199" i="1" s="1"/>
  <c r="B194" i="1"/>
  <c r="P199" i="1" s="1"/>
  <c r="I115" i="1"/>
  <c r="C115" i="1"/>
  <c r="AK115" i="1"/>
  <c r="E114" i="1"/>
  <c r="AJ202" i="4" l="1"/>
  <c r="AH202" i="4"/>
  <c r="AF202" i="4"/>
  <c r="AB202" i="4" s="1"/>
  <c r="B209" i="4"/>
  <c r="P209" i="4" s="1"/>
  <c r="AA204" i="4"/>
  <c r="G209" i="4"/>
  <c r="A210" i="4"/>
  <c r="AE203" i="4"/>
  <c r="D115" i="1"/>
  <c r="G115" i="1" s="1"/>
  <c r="H115" i="1"/>
  <c r="K115" i="1"/>
  <c r="A196" i="1"/>
  <c r="F195" i="1"/>
  <c r="O200" i="1" s="1"/>
  <c r="B195" i="1"/>
  <c r="P200" i="1" s="1"/>
  <c r="AA196" i="1"/>
  <c r="AE195" i="1"/>
  <c r="AI194" i="1"/>
  <c r="AJ194" i="1"/>
  <c r="AH194" i="1"/>
  <c r="AJ203" i="4" l="1"/>
  <c r="AH203" i="4"/>
  <c r="AF203" i="4"/>
  <c r="AB203" i="4" s="1"/>
  <c r="B210" i="4"/>
  <c r="P210" i="4" s="1"/>
  <c r="AA205" i="4"/>
  <c r="G210" i="4"/>
  <c r="A211" i="4"/>
  <c r="AE204" i="4"/>
  <c r="J115" i="1"/>
  <c r="AG116" i="1" s="1"/>
  <c r="AC116" i="1" s="1"/>
  <c r="E115" i="1"/>
  <c r="AA197" i="1"/>
  <c r="A197" i="1"/>
  <c r="F196" i="1"/>
  <c r="O201" i="1" s="1"/>
  <c r="B196" i="1"/>
  <c r="P201" i="1" s="1"/>
  <c r="I116" i="1"/>
  <c r="C116" i="1"/>
  <c r="AK116" i="1"/>
  <c r="AJ195" i="1"/>
  <c r="AH195" i="1"/>
  <c r="AI195" i="1"/>
  <c r="AE196" i="1"/>
  <c r="AJ204" i="4" l="1"/>
  <c r="AH204" i="4"/>
  <c r="AF204" i="4"/>
  <c r="AB204" i="4" s="1"/>
  <c r="B211" i="4"/>
  <c r="P211" i="4" s="1"/>
  <c r="AA206" i="4"/>
  <c r="G211" i="4"/>
  <c r="A212" i="4"/>
  <c r="AE205" i="4"/>
  <c r="AI196" i="1"/>
  <c r="AJ196" i="1"/>
  <c r="AH196" i="1"/>
  <c r="D116" i="1"/>
  <c r="G116" i="1" s="1"/>
  <c r="H116" i="1"/>
  <c r="K116" i="1"/>
  <c r="A198" i="1"/>
  <c r="F197" i="1"/>
  <c r="O202" i="1" s="1"/>
  <c r="B197" i="1"/>
  <c r="P202" i="1" s="1"/>
  <c r="AA198" i="1"/>
  <c r="AE197" i="1"/>
  <c r="AJ205" i="4" l="1"/>
  <c r="AH205" i="4"/>
  <c r="AF205" i="4"/>
  <c r="AB205" i="4" s="1"/>
  <c r="B212" i="4"/>
  <c r="P212" i="4" s="1"/>
  <c r="AA207" i="4"/>
  <c r="G212" i="4"/>
  <c r="A213" i="4"/>
  <c r="AE206" i="4"/>
  <c r="J116" i="1"/>
  <c r="AG117" i="1" s="1"/>
  <c r="AC117" i="1" s="1"/>
  <c r="AA199" i="1"/>
  <c r="A199" i="1"/>
  <c r="F198" i="1"/>
  <c r="O203" i="1" s="1"/>
  <c r="B198" i="1"/>
  <c r="P203" i="1" s="1"/>
  <c r="I117" i="1"/>
  <c r="C117" i="1"/>
  <c r="AK117" i="1"/>
  <c r="E116" i="1"/>
  <c r="AJ197" i="1"/>
  <c r="AH197" i="1"/>
  <c r="AI197" i="1"/>
  <c r="AE198" i="1"/>
  <c r="AJ206" i="4" l="1"/>
  <c r="AH206" i="4"/>
  <c r="AF206" i="4"/>
  <c r="AB206" i="4" s="1"/>
  <c r="B213" i="4"/>
  <c r="P213" i="4" s="1"/>
  <c r="AA208" i="4"/>
  <c r="G213" i="4"/>
  <c r="A214" i="4"/>
  <c r="AE207" i="4"/>
  <c r="AI198" i="1"/>
  <c r="AJ198" i="1"/>
  <c r="AH198" i="1"/>
  <c r="D117" i="1"/>
  <c r="G117" i="1" s="1"/>
  <c r="H117" i="1"/>
  <c r="K117" i="1"/>
  <c r="A200" i="1"/>
  <c r="F199" i="1"/>
  <c r="O204" i="1" s="1"/>
  <c r="B199" i="1"/>
  <c r="P204" i="1" s="1"/>
  <c r="AA200" i="1"/>
  <c r="AE199" i="1"/>
  <c r="AJ207" i="4" l="1"/>
  <c r="AH207" i="4"/>
  <c r="AF207" i="4"/>
  <c r="AB207" i="4" s="1"/>
  <c r="B214" i="4"/>
  <c r="P214" i="4" s="1"/>
  <c r="AA209" i="4"/>
  <c r="G214" i="4"/>
  <c r="A215" i="4"/>
  <c r="AE208" i="4"/>
  <c r="J117" i="1"/>
  <c r="AG118" i="1" s="1"/>
  <c r="AC118" i="1" s="1"/>
  <c r="E117" i="1"/>
  <c r="AJ199" i="1"/>
  <c r="AH199" i="1"/>
  <c r="AI199" i="1"/>
  <c r="AE200" i="1"/>
  <c r="AA201" i="1"/>
  <c r="A201" i="1"/>
  <c r="F200" i="1"/>
  <c r="O205" i="1" s="1"/>
  <c r="B200" i="1"/>
  <c r="P205" i="1" s="1"/>
  <c r="I118" i="1"/>
  <c r="C118" i="1"/>
  <c r="AK118" i="1"/>
  <c r="AJ208" i="4" l="1"/>
  <c r="AH208" i="4"/>
  <c r="AF208" i="4"/>
  <c r="AB208" i="4" s="1"/>
  <c r="B215" i="4"/>
  <c r="P215" i="4" s="1"/>
  <c r="AA210" i="4"/>
  <c r="G215" i="4"/>
  <c r="A216" i="4"/>
  <c r="AE209" i="4"/>
  <c r="D118" i="1"/>
  <c r="G118" i="1" s="1"/>
  <c r="H118" i="1"/>
  <c r="K118" i="1"/>
  <c r="A202" i="1"/>
  <c r="F201" i="1"/>
  <c r="O206" i="1" s="1"/>
  <c r="B201" i="1"/>
  <c r="P206" i="1" s="1"/>
  <c r="AA202" i="1"/>
  <c r="AE201" i="1"/>
  <c r="AI200" i="1"/>
  <c r="AJ200" i="1"/>
  <c r="AH200" i="1"/>
  <c r="AJ209" i="4" l="1"/>
  <c r="AH209" i="4"/>
  <c r="AF209" i="4"/>
  <c r="AB209" i="4" s="1"/>
  <c r="B216" i="4"/>
  <c r="P216" i="4" s="1"/>
  <c r="AA211" i="4"/>
  <c r="G216" i="4"/>
  <c r="A217" i="4"/>
  <c r="AE210" i="4"/>
  <c r="J118" i="1"/>
  <c r="AG119" i="1" s="1"/>
  <c r="AC119" i="1" s="1"/>
  <c r="E118" i="1"/>
  <c r="AJ201" i="1"/>
  <c r="AH201" i="1"/>
  <c r="AI201" i="1"/>
  <c r="AE202" i="1"/>
  <c r="AA203" i="1"/>
  <c r="A203" i="1"/>
  <c r="F202" i="1"/>
  <c r="O207" i="1" s="1"/>
  <c r="B202" i="1"/>
  <c r="P207" i="1" s="1"/>
  <c r="I119" i="1"/>
  <c r="C119" i="1"/>
  <c r="AK119" i="1"/>
  <c r="AJ210" i="4" l="1"/>
  <c r="AH210" i="4"/>
  <c r="AF210" i="4"/>
  <c r="AB210" i="4" s="1"/>
  <c r="B217" i="4"/>
  <c r="P217" i="4" s="1"/>
  <c r="AA212" i="4"/>
  <c r="G217" i="4"/>
  <c r="A218" i="4"/>
  <c r="AE211" i="4"/>
  <c r="D119" i="1"/>
  <c r="G119" i="1" s="1"/>
  <c r="H119" i="1"/>
  <c r="K119" i="1"/>
  <c r="A204" i="1"/>
  <c r="F203" i="1"/>
  <c r="O208" i="1" s="1"/>
  <c r="B203" i="1"/>
  <c r="P208" i="1" s="1"/>
  <c r="AA204" i="1"/>
  <c r="AE203" i="1"/>
  <c r="AI202" i="1"/>
  <c r="AJ202" i="1"/>
  <c r="AH202" i="1"/>
  <c r="AJ211" i="4" l="1"/>
  <c r="AH211" i="4"/>
  <c r="AF211" i="4"/>
  <c r="AB211" i="4" s="1"/>
  <c r="B218" i="4"/>
  <c r="P218" i="4" s="1"/>
  <c r="AA213" i="4"/>
  <c r="G218" i="4"/>
  <c r="A219" i="4"/>
  <c r="AE212" i="4"/>
  <c r="J119" i="1"/>
  <c r="AG120" i="1" s="1"/>
  <c r="AC120" i="1" s="1"/>
  <c r="AA205" i="1"/>
  <c r="A205" i="1"/>
  <c r="F204" i="1"/>
  <c r="O209" i="1" s="1"/>
  <c r="B204" i="1"/>
  <c r="P209" i="1" s="1"/>
  <c r="I120" i="1"/>
  <c r="C120" i="1"/>
  <c r="AK120" i="1"/>
  <c r="AJ203" i="1"/>
  <c r="AH203" i="1"/>
  <c r="AI203" i="1"/>
  <c r="AE204" i="1"/>
  <c r="E119" i="1"/>
  <c r="AJ212" i="4" l="1"/>
  <c r="AH212" i="4"/>
  <c r="AF212" i="4"/>
  <c r="AB212" i="4" s="1"/>
  <c r="B219" i="4"/>
  <c r="P219" i="4" s="1"/>
  <c r="AA214" i="4"/>
  <c r="G219" i="4"/>
  <c r="A220" i="4"/>
  <c r="AE213" i="4"/>
  <c r="AI204" i="1"/>
  <c r="AJ204" i="1"/>
  <c r="AH204" i="1"/>
  <c r="D120" i="1"/>
  <c r="G120" i="1" s="1"/>
  <c r="H120" i="1"/>
  <c r="K120" i="1"/>
  <c r="A206" i="1"/>
  <c r="F205" i="1"/>
  <c r="O210" i="1" s="1"/>
  <c r="B205" i="1"/>
  <c r="P210" i="1" s="1"/>
  <c r="AA206" i="1"/>
  <c r="AE205" i="1"/>
  <c r="AJ213" i="4" l="1"/>
  <c r="AH213" i="4"/>
  <c r="AF213" i="4"/>
  <c r="AB213" i="4" s="1"/>
  <c r="B220" i="4"/>
  <c r="P220" i="4" s="1"/>
  <c r="AA215" i="4"/>
  <c r="G220" i="4"/>
  <c r="A221" i="4"/>
  <c r="AE214" i="4"/>
  <c r="J120" i="1"/>
  <c r="AG121" i="1" s="1"/>
  <c r="AC121" i="1" s="1"/>
  <c r="AJ205" i="1"/>
  <c r="AH205" i="1"/>
  <c r="AI205" i="1"/>
  <c r="AE206" i="1"/>
  <c r="AA207" i="1"/>
  <c r="A207" i="1"/>
  <c r="F206" i="1"/>
  <c r="O211" i="1" s="1"/>
  <c r="B206" i="1"/>
  <c r="P211" i="1" s="1"/>
  <c r="I121" i="1"/>
  <c r="C121" i="1"/>
  <c r="AK121" i="1"/>
  <c r="E120" i="1"/>
  <c r="AJ214" i="4" l="1"/>
  <c r="AH214" i="4"/>
  <c r="AF214" i="4"/>
  <c r="AB214" i="4" s="1"/>
  <c r="B221" i="4"/>
  <c r="P221" i="4" s="1"/>
  <c r="AA216" i="4"/>
  <c r="G221" i="4"/>
  <c r="A222" i="4"/>
  <c r="AE215" i="4"/>
  <c r="AI206" i="1"/>
  <c r="AJ206" i="1"/>
  <c r="AH206" i="1"/>
  <c r="D121" i="1"/>
  <c r="G121" i="1" s="1"/>
  <c r="H121" i="1"/>
  <c r="K121" i="1"/>
  <c r="A208" i="1"/>
  <c r="F207" i="1"/>
  <c r="O212" i="1" s="1"/>
  <c r="B207" i="1"/>
  <c r="P212" i="1" s="1"/>
  <c r="AA208" i="1"/>
  <c r="AE207" i="1"/>
  <c r="AJ215" i="4" l="1"/>
  <c r="AH215" i="4"/>
  <c r="AF215" i="4"/>
  <c r="AB215" i="4" s="1"/>
  <c r="B222" i="4"/>
  <c r="P222" i="4" s="1"/>
  <c r="AA217" i="4"/>
  <c r="G222" i="4"/>
  <c r="A223" i="4"/>
  <c r="AE216" i="4"/>
  <c r="J121" i="1"/>
  <c r="AG122" i="1" s="1"/>
  <c r="AC122" i="1" s="1"/>
  <c r="AA209" i="1"/>
  <c r="A209" i="1"/>
  <c r="F208" i="1"/>
  <c r="O213" i="1" s="1"/>
  <c r="B208" i="1"/>
  <c r="P213" i="1" s="1"/>
  <c r="I122" i="1"/>
  <c r="C122" i="1"/>
  <c r="AK122" i="1"/>
  <c r="AJ207" i="1"/>
  <c r="AH207" i="1"/>
  <c r="AI207" i="1"/>
  <c r="AE208" i="1"/>
  <c r="E121" i="1"/>
  <c r="AJ216" i="4" l="1"/>
  <c r="AH216" i="4"/>
  <c r="AF216" i="4"/>
  <c r="AB216" i="4" s="1"/>
  <c r="B223" i="4"/>
  <c r="P223" i="4" s="1"/>
  <c r="AA218" i="4"/>
  <c r="G223" i="4"/>
  <c r="A224" i="4"/>
  <c r="AE217" i="4"/>
  <c r="AI208" i="1"/>
  <c r="AJ208" i="1"/>
  <c r="AH208" i="1"/>
  <c r="D122" i="1"/>
  <c r="G122" i="1" s="1"/>
  <c r="H122" i="1"/>
  <c r="K122" i="1"/>
  <c r="A210" i="1"/>
  <c r="F209" i="1"/>
  <c r="O214" i="1" s="1"/>
  <c r="B209" i="1"/>
  <c r="P214" i="1" s="1"/>
  <c r="AA210" i="1"/>
  <c r="AE209" i="1"/>
  <c r="AJ217" i="4" l="1"/>
  <c r="AH217" i="4"/>
  <c r="AF217" i="4"/>
  <c r="AB217" i="4" s="1"/>
  <c r="B224" i="4"/>
  <c r="P224" i="4" s="1"/>
  <c r="AA219" i="4"/>
  <c r="G224" i="4"/>
  <c r="A225" i="4"/>
  <c r="AE218" i="4"/>
  <c r="J122" i="1"/>
  <c r="AG123" i="1" s="1"/>
  <c r="AC123" i="1" s="1"/>
  <c r="E122" i="1"/>
  <c r="AJ209" i="1"/>
  <c r="AH209" i="1"/>
  <c r="AI209" i="1"/>
  <c r="AE210" i="1"/>
  <c r="AA211" i="1"/>
  <c r="A211" i="1"/>
  <c r="F210" i="1"/>
  <c r="O215" i="1" s="1"/>
  <c r="B210" i="1"/>
  <c r="P215" i="1" s="1"/>
  <c r="I123" i="1"/>
  <c r="C123" i="1"/>
  <c r="AK123" i="1"/>
  <c r="AJ218" i="4" l="1"/>
  <c r="AH218" i="4"/>
  <c r="AF218" i="4"/>
  <c r="AB218" i="4" s="1"/>
  <c r="B225" i="4"/>
  <c r="P225" i="4" s="1"/>
  <c r="AA220" i="4"/>
  <c r="G225" i="4"/>
  <c r="A226" i="4"/>
  <c r="AB219" i="4"/>
  <c r="AE219" i="4"/>
  <c r="D123" i="1"/>
  <c r="G123" i="1" s="1"/>
  <c r="H123" i="1"/>
  <c r="K123" i="1"/>
  <c r="A212" i="1"/>
  <c r="F211" i="1"/>
  <c r="O216" i="1" s="1"/>
  <c r="B211" i="1"/>
  <c r="P216" i="1" s="1"/>
  <c r="AA212" i="1"/>
  <c r="AE211" i="1"/>
  <c r="AI210" i="1"/>
  <c r="AJ210" i="1"/>
  <c r="AH210" i="1"/>
  <c r="AB220" i="4" l="1"/>
  <c r="AE220" i="4"/>
  <c r="AJ219" i="4"/>
  <c r="AH219" i="4"/>
  <c r="AF219" i="4"/>
  <c r="B226" i="4"/>
  <c r="P226" i="4" s="1"/>
  <c r="AA221" i="4"/>
  <c r="G226" i="4"/>
  <c r="A227" i="4"/>
  <c r="J123" i="1"/>
  <c r="AG124" i="1" s="1"/>
  <c r="AC124" i="1" s="1"/>
  <c r="AJ211" i="1"/>
  <c r="AH211" i="1"/>
  <c r="AI211" i="1"/>
  <c r="AE212" i="1"/>
  <c r="E123" i="1"/>
  <c r="AA213" i="1"/>
  <c r="A213" i="1"/>
  <c r="F212" i="1"/>
  <c r="O217" i="1" s="1"/>
  <c r="B212" i="1"/>
  <c r="P217" i="1" s="1"/>
  <c r="I124" i="1"/>
  <c r="C124" i="1"/>
  <c r="AK124" i="1"/>
  <c r="B227" i="4" l="1"/>
  <c r="P227" i="4" s="1"/>
  <c r="AA222" i="4"/>
  <c r="G227" i="4"/>
  <c r="A228" i="4"/>
  <c r="AB221" i="4"/>
  <c r="AE221" i="4"/>
  <c r="AJ220" i="4"/>
  <c r="AH220" i="4"/>
  <c r="AF220" i="4"/>
  <c r="D124" i="1"/>
  <c r="G124" i="1" s="1"/>
  <c r="H124" i="1"/>
  <c r="K124" i="1"/>
  <c r="A214" i="1"/>
  <c r="F213" i="1"/>
  <c r="O218" i="1" s="1"/>
  <c r="B213" i="1"/>
  <c r="P218" i="1" s="1"/>
  <c r="AA214" i="1"/>
  <c r="AE213" i="1"/>
  <c r="AI212" i="1"/>
  <c r="AJ212" i="1"/>
  <c r="AH212" i="1"/>
  <c r="AJ221" i="4" l="1"/>
  <c r="AH221" i="4"/>
  <c r="AF221" i="4"/>
  <c r="B228" i="4"/>
  <c r="P228" i="4" s="1"/>
  <c r="AA223" i="4"/>
  <c r="G228" i="4"/>
  <c r="A229" i="4"/>
  <c r="AB222" i="4"/>
  <c r="AE222" i="4"/>
  <c r="J124" i="1"/>
  <c r="AG125" i="1" s="1"/>
  <c r="AC125" i="1" s="1"/>
  <c r="E124" i="1"/>
  <c r="AA215" i="1"/>
  <c r="A215" i="1"/>
  <c r="F214" i="1"/>
  <c r="O219" i="1" s="1"/>
  <c r="B214" i="1"/>
  <c r="P219" i="1" s="1"/>
  <c r="I125" i="1"/>
  <c r="C125" i="1"/>
  <c r="AK125" i="1"/>
  <c r="AJ213" i="1"/>
  <c r="AH213" i="1"/>
  <c r="AI213" i="1"/>
  <c r="AE214" i="1"/>
  <c r="AJ222" i="4" l="1"/>
  <c r="AH222" i="4"/>
  <c r="AF222" i="4"/>
  <c r="B229" i="4"/>
  <c r="P229" i="4" s="1"/>
  <c r="AA224" i="4"/>
  <c r="G229" i="4"/>
  <c r="A230" i="4"/>
  <c r="AB223" i="4"/>
  <c r="AE223" i="4"/>
  <c r="D125" i="1"/>
  <c r="G125" i="1" s="1"/>
  <c r="H125" i="1"/>
  <c r="K125" i="1"/>
  <c r="A216" i="1"/>
  <c r="F215" i="1"/>
  <c r="O220" i="1" s="1"/>
  <c r="B215" i="1"/>
  <c r="P220" i="1" s="1"/>
  <c r="AA216" i="1"/>
  <c r="AE215" i="1"/>
  <c r="AI214" i="1"/>
  <c r="AJ214" i="1"/>
  <c r="AH214" i="1"/>
  <c r="AJ223" i="4" l="1"/>
  <c r="AH223" i="4"/>
  <c r="AF223" i="4"/>
  <c r="B230" i="4"/>
  <c r="P230" i="4" s="1"/>
  <c r="AA225" i="4"/>
  <c r="G230" i="4"/>
  <c r="A231" i="4"/>
  <c r="AB224" i="4"/>
  <c r="AE224" i="4"/>
  <c r="J125" i="1"/>
  <c r="AG126" i="1" s="1"/>
  <c r="AC126" i="1" s="1"/>
  <c r="AJ215" i="1"/>
  <c r="AH215" i="1"/>
  <c r="AI215" i="1"/>
  <c r="AE216" i="1"/>
  <c r="AA217" i="1"/>
  <c r="A217" i="1"/>
  <c r="F216" i="1"/>
  <c r="O221" i="1" s="1"/>
  <c r="B216" i="1"/>
  <c r="P221" i="1" s="1"/>
  <c r="E125" i="1"/>
  <c r="I126" i="1"/>
  <c r="C126" i="1"/>
  <c r="AK126" i="1"/>
  <c r="AJ224" i="4" l="1"/>
  <c r="AH224" i="4"/>
  <c r="AF224" i="4"/>
  <c r="B231" i="4"/>
  <c r="P231" i="4" s="1"/>
  <c r="AA226" i="4"/>
  <c r="G231" i="4"/>
  <c r="A232" i="4"/>
  <c r="AB225" i="4"/>
  <c r="AE225" i="4"/>
  <c r="A218" i="1"/>
  <c r="F217" i="1"/>
  <c r="O222" i="1" s="1"/>
  <c r="B217" i="1"/>
  <c r="P222" i="1" s="1"/>
  <c r="AA218" i="1"/>
  <c r="AE217" i="1"/>
  <c r="D126" i="1"/>
  <c r="G126" i="1" s="1"/>
  <c r="H126" i="1"/>
  <c r="K126" i="1"/>
  <c r="AI216" i="1"/>
  <c r="AJ216" i="1"/>
  <c r="AH216" i="1"/>
  <c r="B232" i="4" l="1"/>
  <c r="P232" i="4" s="1"/>
  <c r="AA227" i="4"/>
  <c r="G232" i="4"/>
  <c r="A233" i="4"/>
  <c r="AB226" i="4"/>
  <c r="AE226" i="4"/>
  <c r="AJ225" i="4"/>
  <c r="AH225" i="4"/>
  <c r="AF225" i="4"/>
  <c r="J126" i="1"/>
  <c r="AG127" i="1" s="1"/>
  <c r="AC127" i="1" s="1"/>
  <c r="E126" i="1"/>
  <c r="AJ217" i="1"/>
  <c r="AH217" i="1"/>
  <c r="AI217" i="1"/>
  <c r="AE218" i="1"/>
  <c r="AA219" i="1"/>
  <c r="A219" i="1"/>
  <c r="F218" i="1"/>
  <c r="O223" i="1" s="1"/>
  <c r="B218" i="1"/>
  <c r="P223" i="1" s="1"/>
  <c r="I127" i="1"/>
  <c r="C127" i="1"/>
  <c r="AK127" i="1"/>
  <c r="AJ226" i="4" l="1"/>
  <c r="AH226" i="4"/>
  <c r="AF226" i="4"/>
  <c r="B233" i="4"/>
  <c r="P233" i="4" s="1"/>
  <c r="AA228" i="4"/>
  <c r="G233" i="4"/>
  <c r="A234" i="4"/>
  <c r="AB227" i="4"/>
  <c r="AE227" i="4"/>
  <c r="AA220" i="1"/>
  <c r="F219" i="1"/>
  <c r="O224" i="1" s="1"/>
  <c r="B219" i="1"/>
  <c r="P224" i="1" s="1"/>
  <c r="A220" i="1"/>
  <c r="AE219" i="1"/>
  <c r="D127" i="1"/>
  <c r="G127" i="1" s="1"/>
  <c r="H127" i="1"/>
  <c r="K127" i="1"/>
  <c r="AI218" i="1"/>
  <c r="AJ218" i="1"/>
  <c r="AH218" i="1"/>
  <c r="AJ227" i="4" l="1"/>
  <c r="AH227" i="4"/>
  <c r="AF227" i="4"/>
  <c r="B234" i="4"/>
  <c r="P234" i="4" s="1"/>
  <c r="AA229" i="4"/>
  <c r="G234" i="4"/>
  <c r="A235" i="4"/>
  <c r="AB228" i="4"/>
  <c r="AE228" i="4"/>
  <c r="J127" i="1"/>
  <c r="AG128" i="1" s="1"/>
  <c r="AC128" i="1" s="1"/>
  <c r="E127" i="1"/>
  <c r="I128" i="1"/>
  <c r="C128" i="1"/>
  <c r="AK128" i="1"/>
  <c r="AI219" i="1"/>
  <c r="AJ219" i="1"/>
  <c r="AH219" i="1"/>
  <c r="AF219" i="1"/>
  <c r="AA221" i="1"/>
  <c r="F220" i="1"/>
  <c r="O225" i="1" s="1"/>
  <c r="B220" i="1"/>
  <c r="P225" i="1" s="1"/>
  <c r="A221" i="1"/>
  <c r="AE220" i="1"/>
  <c r="AJ228" i="4" l="1"/>
  <c r="AH228" i="4"/>
  <c r="AF228" i="4"/>
  <c r="B235" i="4"/>
  <c r="P235" i="4" s="1"/>
  <c r="AA230" i="4"/>
  <c r="G235" i="4"/>
  <c r="A236" i="4"/>
  <c r="AB229" i="4"/>
  <c r="AE229" i="4"/>
  <c r="AI220" i="1"/>
  <c r="AJ220" i="1"/>
  <c r="AH220" i="1"/>
  <c r="AF220" i="1"/>
  <c r="D128" i="1"/>
  <c r="G128" i="1" s="1"/>
  <c r="H128" i="1"/>
  <c r="K128" i="1"/>
  <c r="AA222" i="1"/>
  <c r="F221" i="1"/>
  <c r="O226" i="1" s="1"/>
  <c r="B221" i="1"/>
  <c r="P226" i="1" s="1"/>
  <c r="A222" i="1"/>
  <c r="AE221" i="1"/>
  <c r="AJ229" i="4" l="1"/>
  <c r="AH229" i="4"/>
  <c r="AF229" i="4"/>
  <c r="B236" i="4"/>
  <c r="P236" i="4" s="1"/>
  <c r="AA231" i="4"/>
  <c r="G236" i="4"/>
  <c r="A237" i="4"/>
  <c r="AB230" i="4"/>
  <c r="AE230" i="4"/>
  <c r="J128" i="1"/>
  <c r="AG129" i="1" s="1"/>
  <c r="AC129" i="1" s="1"/>
  <c r="E128" i="1"/>
  <c r="AA223" i="1"/>
  <c r="F222" i="1"/>
  <c r="O227" i="1" s="1"/>
  <c r="B222" i="1"/>
  <c r="P227" i="1" s="1"/>
  <c r="A223" i="1"/>
  <c r="AE222" i="1"/>
  <c r="AI221" i="1"/>
  <c r="AJ221" i="1"/>
  <c r="AH221" i="1"/>
  <c r="AF221" i="1"/>
  <c r="I129" i="1"/>
  <c r="C129" i="1"/>
  <c r="AK129" i="1"/>
  <c r="AJ230" i="4" l="1"/>
  <c r="AH230" i="4"/>
  <c r="AF230" i="4"/>
  <c r="B237" i="4"/>
  <c r="P237" i="4" s="1"/>
  <c r="AA232" i="4"/>
  <c r="G237" i="4"/>
  <c r="A238" i="4"/>
  <c r="AB231" i="4"/>
  <c r="AE231" i="4"/>
  <c r="AA224" i="1"/>
  <c r="F223" i="1"/>
  <c r="O228" i="1" s="1"/>
  <c r="B223" i="1"/>
  <c r="P228" i="1" s="1"/>
  <c r="A224" i="1"/>
  <c r="AE223" i="1"/>
  <c r="D129" i="1"/>
  <c r="G129" i="1" s="1"/>
  <c r="H129" i="1"/>
  <c r="K129" i="1"/>
  <c r="AI222" i="1"/>
  <c r="AJ222" i="1"/>
  <c r="AH222" i="1"/>
  <c r="AF222" i="1"/>
  <c r="AJ231" i="4" l="1"/>
  <c r="AH231" i="4"/>
  <c r="AF231" i="4"/>
  <c r="B238" i="4"/>
  <c r="P238" i="4" s="1"/>
  <c r="AA233" i="4"/>
  <c r="G238" i="4"/>
  <c r="A239" i="4"/>
  <c r="AB232" i="4"/>
  <c r="AE232" i="4"/>
  <c r="J129" i="1"/>
  <c r="AG130" i="1" s="1"/>
  <c r="AC130" i="1" s="1"/>
  <c r="I130" i="1"/>
  <c r="C130" i="1"/>
  <c r="AK130" i="1"/>
  <c r="AA225" i="1"/>
  <c r="F224" i="1"/>
  <c r="O229" i="1" s="1"/>
  <c r="B224" i="1"/>
  <c r="P229" i="1" s="1"/>
  <c r="A225" i="1"/>
  <c r="AE224" i="1"/>
  <c r="E129" i="1"/>
  <c r="AI223" i="1"/>
  <c r="AJ223" i="1"/>
  <c r="AH223" i="1"/>
  <c r="AF223" i="1"/>
  <c r="AJ232" i="4" l="1"/>
  <c r="AH232" i="4"/>
  <c r="AF232" i="4"/>
  <c r="B239" i="4"/>
  <c r="P239" i="4" s="1"/>
  <c r="AA234" i="4"/>
  <c r="G239" i="4"/>
  <c r="A240" i="4"/>
  <c r="AB233" i="4"/>
  <c r="AE233" i="4"/>
  <c r="AA226" i="1"/>
  <c r="F225" i="1"/>
  <c r="O230" i="1" s="1"/>
  <c r="B225" i="1"/>
  <c r="P230" i="1" s="1"/>
  <c r="A226" i="1"/>
  <c r="AE225" i="1"/>
  <c r="D130" i="1"/>
  <c r="G130" i="1" s="1"/>
  <c r="H130" i="1"/>
  <c r="K130" i="1"/>
  <c r="AI224" i="1"/>
  <c r="AJ224" i="1"/>
  <c r="AH224" i="1"/>
  <c r="AF224" i="1"/>
  <c r="B240" i="4" l="1"/>
  <c r="P240" i="4" s="1"/>
  <c r="AA235" i="4"/>
  <c r="G240" i="4"/>
  <c r="A241" i="4"/>
  <c r="AB234" i="4"/>
  <c r="AE234" i="4"/>
  <c r="AJ233" i="4"/>
  <c r="AH233" i="4"/>
  <c r="AF233" i="4"/>
  <c r="J130" i="1"/>
  <c r="AG131" i="1" s="1"/>
  <c r="AC131" i="1" s="1"/>
  <c r="E130" i="1"/>
  <c r="AI225" i="1"/>
  <c r="AJ225" i="1"/>
  <c r="AH225" i="1"/>
  <c r="AF225" i="1"/>
  <c r="I131" i="1"/>
  <c r="C131" i="1"/>
  <c r="AK131" i="1"/>
  <c r="AA227" i="1"/>
  <c r="F226" i="1"/>
  <c r="O231" i="1" s="1"/>
  <c r="B226" i="1"/>
  <c r="P231" i="1" s="1"/>
  <c r="A227" i="1"/>
  <c r="AE226" i="1"/>
  <c r="AJ234" i="4" l="1"/>
  <c r="AH234" i="4"/>
  <c r="AF234" i="4"/>
  <c r="B241" i="4"/>
  <c r="P241" i="4" s="1"/>
  <c r="AA236" i="4"/>
  <c r="G241" i="4"/>
  <c r="A242" i="4"/>
  <c r="AB235" i="4"/>
  <c r="AE235" i="4"/>
  <c r="AI226" i="1"/>
  <c r="AJ226" i="1"/>
  <c r="AH226" i="1"/>
  <c r="AF226" i="1"/>
  <c r="AA228" i="1"/>
  <c r="F227" i="1"/>
  <c r="O232" i="1" s="1"/>
  <c r="B227" i="1"/>
  <c r="P232" i="1" s="1"/>
  <c r="A228" i="1"/>
  <c r="AE227" i="1"/>
  <c r="D131" i="1"/>
  <c r="G131" i="1" s="1"/>
  <c r="H131" i="1"/>
  <c r="K131" i="1"/>
  <c r="AJ235" i="4" l="1"/>
  <c r="AH235" i="4"/>
  <c r="AF235" i="4"/>
  <c r="A243" i="4"/>
  <c r="B242" i="4"/>
  <c r="P242" i="4" s="1"/>
  <c r="AA237" i="4"/>
  <c r="G242" i="4"/>
  <c r="AB236" i="4"/>
  <c r="AE236" i="4"/>
  <c r="J131" i="1"/>
  <c r="AG132" i="1" s="1"/>
  <c r="AC132" i="1" s="1"/>
  <c r="I132" i="1"/>
  <c r="C132" i="1"/>
  <c r="AK132" i="1"/>
  <c r="AA229" i="1"/>
  <c r="F228" i="1"/>
  <c r="O233" i="1" s="1"/>
  <c r="B228" i="1"/>
  <c r="P233" i="1" s="1"/>
  <c r="A229" i="1"/>
  <c r="AE228" i="1"/>
  <c r="E131" i="1"/>
  <c r="AI227" i="1"/>
  <c r="AJ227" i="1"/>
  <c r="AH227" i="1"/>
  <c r="AF227" i="1"/>
  <c r="AB237" i="4" l="1"/>
  <c r="AE237" i="4"/>
  <c r="A244" i="4"/>
  <c r="G243" i="4"/>
  <c r="B243" i="4"/>
  <c r="P243" i="4" s="1"/>
  <c r="AA238" i="4"/>
  <c r="AJ236" i="4"/>
  <c r="AH236" i="4"/>
  <c r="AF236" i="4"/>
  <c r="AI228" i="1"/>
  <c r="AJ228" i="1"/>
  <c r="AH228" i="1"/>
  <c r="AF228" i="1"/>
  <c r="AA230" i="1"/>
  <c r="F229" i="1"/>
  <c r="O234" i="1" s="1"/>
  <c r="B229" i="1"/>
  <c r="P234" i="1" s="1"/>
  <c r="A230" i="1"/>
  <c r="AE229" i="1"/>
  <c r="D132" i="1"/>
  <c r="G132" i="1" s="1"/>
  <c r="H132" i="1"/>
  <c r="K132" i="1"/>
  <c r="AB238" i="4" l="1"/>
  <c r="AE238" i="4"/>
  <c r="A245" i="4"/>
  <c r="G244" i="4"/>
  <c r="B244" i="4"/>
  <c r="P244" i="4" s="1"/>
  <c r="AA239" i="4"/>
  <c r="AJ237" i="4"/>
  <c r="AH237" i="4"/>
  <c r="AF237" i="4"/>
  <c r="J132" i="1"/>
  <c r="AG133" i="1" s="1"/>
  <c r="AC133" i="1" s="1"/>
  <c r="E132" i="1"/>
  <c r="I133" i="1"/>
  <c r="C133" i="1"/>
  <c r="AK133" i="1"/>
  <c r="AA231" i="1"/>
  <c r="F230" i="1"/>
  <c r="O235" i="1" s="1"/>
  <c r="B230" i="1"/>
  <c r="P235" i="1" s="1"/>
  <c r="A231" i="1"/>
  <c r="AE230" i="1"/>
  <c r="AI229" i="1"/>
  <c r="AJ229" i="1"/>
  <c r="AH229" i="1"/>
  <c r="AF229" i="1"/>
  <c r="AB239" i="4" l="1"/>
  <c r="AE239" i="4"/>
  <c r="A246" i="4"/>
  <c r="G245" i="4"/>
  <c r="B245" i="4"/>
  <c r="P245" i="4" s="1"/>
  <c r="AA240" i="4"/>
  <c r="AJ238" i="4"/>
  <c r="AH238" i="4"/>
  <c r="AF238" i="4"/>
  <c r="AA232" i="1"/>
  <c r="F231" i="1"/>
  <c r="O236" i="1" s="1"/>
  <c r="B231" i="1"/>
  <c r="P236" i="1" s="1"/>
  <c r="A232" i="1"/>
  <c r="AE231" i="1"/>
  <c r="D133" i="1"/>
  <c r="G133" i="1" s="1"/>
  <c r="H133" i="1"/>
  <c r="K133" i="1"/>
  <c r="AI230" i="1"/>
  <c r="AJ230" i="1"/>
  <c r="AH230" i="1"/>
  <c r="AF230" i="1"/>
  <c r="AB240" i="4" l="1"/>
  <c r="AE240" i="4"/>
  <c r="A247" i="4"/>
  <c r="G246" i="4"/>
  <c r="B246" i="4"/>
  <c r="P246" i="4" s="1"/>
  <c r="AA241" i="4"/>
  <c r="AJ239" i="4"/>
  <c r="AH239" i="4"/>
  <c r="AF239" i="4"/>
  <c r="J133" i="1"/>
  <c r="AG134" i="1" s="1"/>
  <c r="AC134" i="1" s="1"/>
  <c r="E133" i="1"/>
  <c r="AI231" i="1"/>
  <c r="AJ231" i="1"/>
  <c r="AH231" i="1"/>
  <c r="AF231" i="1"/>
  <c r="I134" i="1"/>
  <c r="C134" i="1"/>
  <c r="AK134" i="1"/>
  <c r="AA233" i="1"/>
  <c r="F232" i="1"/>
  <c r="O237" i="1" s="1"/>
  <c r="B232" i="1"/>
  <c r="P237" i="1" s="1"/>
  <c r="A233" i="1"/>
  <c r="AE232" i="1"/>
  <c r="AJ240" i="4" l="1"/>
  <c r="AH240" i="4"/>
  <c r="AF240" i="4"/>
  <c r="AB241" i="4"/>
  <c r="AE241" i="4"/>
  <c r="A248" i="4"/>
  <c r="G247" i="4"/>
  <c r="B247" i="4"/>
  <c r="P247" i="4" s="1"/>
  <c r="AA242" i="4"/>
  <c r="AI232" i="1"/>
  <c r="AJ232" i="1"/>
  <c r="AH232" i="1"/>
  <c r="AF232" i="1"/>
  <c r="AA234" i="1"/>
  <c r="F233" i="1"/>
  <c r="O238" i="1" s="1"/>
  <c r="B233" i="1"/>
  <c r="P238" i="1" s="1"/>
  <c r="A234" i="1"/>
  <c r="AE233" i="1"/>
  <c r="D134" i="1"/>
  <c r="G134" i="1" s="1"/>
  <c r="H134" i="1"/>
  <c r="K134" i="1"/>
  <c r="AB242" i="4" l="1"/>
  <c r="AE242" i="4"/>
  <c r="A249" i="4"/>
  <c r="G248" i="4"/>
  <c r="B248" i="4"/>
  <c r="P248" i="4" s="1"/>
  <c r="AA243" i="4"/>
  <c r="AJ241" i="4"/>
  <c r="AH241" i="4"/>
  <c r="AF241" i="4"/>
  <c r="J134" i="1"/>
  <c r="AG135" i="1" s="1"/>
  <c r="AC135" i="1" s="1"/>
  <c r="AI233" i="1"/>
  <c r="AJ233" i="1"/>
  <c r="AH233" i="1"/>
  <c r="AF233" i="1"/>
  <c r="I135" i="1"/>
  <c r="C135" i="1"/>
  <c r="AK135" i="1"/>
  <c r="E134" i="1"/>
  <c r="AA235" i="1"/>
  <c r="F234" i="1"/>
  <c r="O239" i="1" s="1"/>
  <c r="B234" i="1"/>
  <c r="P239" i="1" s="1"/>
  <c r="A235" i="1"/>
  <c r="AE234" i="1"/>
  <c r="AE243" i="4" l="1"/>
  <c r="AB243" i="4"/>
  <c r="A250" i="4"/>
  <c r="G249" i="4"/>
  <c r="B249" i="4"/>
  <c r="P249" i="4" s="1"/>
  <c r="AA244" i="4"/>
  <c r="AJ242" i="4"/>
  <c r="AH242" i="4"/>
  <c r="AF242" i="4"/>
  <c r="AI234" i="1"/>
  <c r="AJ234" i="1"/>
  <c r="AH234" i="1"/>
  <c r="AF234" i="1"/>
  <c r="D135" i="1"/>
  <c r="G135" i="1" s="1"/>
  <c r="H135" i="1"/>
  <c r="K135" i="1"/>
  <c r="AA236" i="1"/>
  <c r="F235" i="1"/>
  <c r="O240" i="1" s="1"/>
  <c r="B235" i="1"/>
  <c r="P240" i="1" s="1"/>
  <c r="A236" i="1"/>
  <c r="AE235" i="1"/>
  <c r="AJ243" i="4" l="1"/>
  <c r="AF243" i="4"/>
  <c r="AH243" i="4"/>
  <c r="AE244" i="4"/>
  <c r="AB244" i="4"/>
  <c r="A251" i="4"/>
  <c r="G250" i="4"/>
  <c r="B250" i="4"/>
  <c r="P250" i="4" s="1"/>
  <c r="AA245" i="4"/>
  <c r="J135" i="1"/>
  <c r="AG136" i="1" s="1"/>
  <c r="AC136" i="1" s="1"/>
  <c r="AI235" i="1"/>
  <c r="AJ235" i="1"/>
  <c r="AH235" i="1"/>
  <c r="AF235" i="1"/>
  <c r="I136" i="1"/>
  <c r="C136" i="1"/>
  <c r="AK136" i="1"/>
  <c r="AA237" i="1"/>
  <c r="F236" i="1"/>
  <c r="O241" i="1" s="1"/>
  <c r="B236" i="1"/>
  <c r="P241" i="1" s="1"/>
  <c r="A237" i="1"/>
  <c r="AE236" i="1"/>
  <c r="E135" i="1"/>
  <c r="AJ244" i="4" l="1"/>
  <c r="AF244" i="4"/>
  <c r="AH244" i="4"/>
  <c r="AE245" i="4"/>
  <c r="AB245" i="4"/>
  <c r="A252" i="4"/>
  <c r="G251" i="4"/>
  <c r="B251" i="4"/>
  <c r="P251" i="4" s="1"/>
  <c r="AA246" i="4"/>
  <c r="AI236" i="1"/>
  <c r="AJ236" i="1"/>
  <c r="AH236" i="1"/>
  <c r="AF236" i="1"/>
  <c r="D136" i="1"/>
  <c r="G136" i="1" s="1"/>
  <c r="H136" i="1"/>
  <c r="K136" i="1"/>
  <c r="AA238" i="1"/>
  <c r="F237" i="1"/>
  <c r="O242" i="1" s="1"/>
  <c r="B237" i="1"/>
  <c r="P242" i="1" s="1"/>
  <c r="A238" i="1"/>
  <c r="AE237" i="1"/>
  <c r="AE246" i="4" l="1"/>
  <c r="AB246" i="4"/>
  <c r="A253" i="4"/>
  <c r="G252" i="4"/>
  <c r="B252" i="4"/>
  <c r="P252" i="4" s="1"/>
  <c r="AA247" i="4"/>
  <c r="AJ245" i="4"/>
  <c r="AF245" i="4"/>
  <c r="AH245" i="4"/>
  <c r="J136" i="1"/>
  <c r="AG137" i="1" s="1"/>
  <c r="AC137" i="1" s="1"/>
  <c r="AA239" i="1"/>
  <c r="F238" i="1"/>
  <c r="O243" i="1" s="1"/>
  <c r="B238" i="1"/>
  <c r="P243" i="1" s="1"/>
  <c r="A239" i="1"/>
  <c r="AE238" i="1"/>
  <c r="AI237" i="1"/>
  <c r="AJ237" i="1"/>
  <c r="AH237" i="1"/>
  <c r="AF237" i="1"/>
  <c r="I137" i="1"/>
  <c r="C137" i="1"/>
  <c r="AK137" i="1"/>
  <c r="E136" i="1"/>
  <c r="AJ246" i="4" l="1"/>
  <c r="AF246" i="4"/>
  <c r="AH246" i="4"/>
  <c r="AE247" i="4"/>
  <c r="AB247" i="4"/>
  <c r="A254" i="4"/>
  <c r="G253" i="4"/>
  <c r="B253" i="4"/>
  <c r="P253" i="4" s="1"/>
  <c r="AA248" i="4"/>
  <c r="AI238" i="1"/>
  <c r="AJ238" i="1"/>
  <c r="AH238" i="1"/>
  <c r="AF238" i="1"/>
  <c r="D137" i="1"/>
  <c r="G137" i="1" s="1"/>
  <c r="H137" i="1"/>
  <c r="K137" i="1"/>
  <c r="AA240" i="1"/>
  <c r="F239" i="1"/>
  <c r="O244" i="1" s="1"/>
  <c r="B239" i="1"/>
  <c r="P244" i="1" s="1"/>
  <c r="A240" i="1"/>
  <c r="AE239" i="1"/>
  <c r="AE248" i="4" l="1"/>
  <c r="AB248" i="4"/>
  <c r="AJ247" i="4"/>
  <c r="AF247" i="4"/>
  <c r="AH247" i="4"/>
  <c r="A255" i="4"/>
  <c r="G254" i="4"/>
  <c r="B254" i="4"/>
  <c r="P254" i="4" s="1"/>
  <c r="AA249" i="4"/>
  <c r="J137" i="1"/>
  <c r="AG138" i="1" s="1"/>
  <c r="AC138" i="1" s="1"/>
  <c r="AI239" i="1"/>
  <c r="AJ239" i="1"/>
  <c r="AH239" i="1"/>
  <c r="AF239" i="1"/>
  <c r="I138" i="1"/>
  <c r="C138" i="1"/>
  <c r="AK138" i="1"/>
  <c r="AA241" i="1"/>
  <c r="F240" i="1"/>
  <c r="O245" i="1" s="1"/>
  <c r="B240" i="1"/>
  <c r="P245" i="1" s="1"/>
  <c r="A241" i="1"/>
  <c r="AE240" i="1"/>
  <c r="E137" i="1"/>
  <c r="AE249" i="4" l="1"/>
  <c r="AB249" i="4"/>
  <c r="A256" i="4"/>
  <c r="G255" i="4"/>
  <c r="B255" i="4"/>
  <c r="P255" i="4" s="1"/>
  <c r="AA250" i="4"/>
  <c r="AJ248" i="4"/>
  <c r="AF248" i="4"/>
  <c r="AH248" i="4"/>
  <c r="AA242" i="1"/>
  <c r="F241" i="1"/>
  <c r="O246" i="1" s="1"/>
  <c r="B241" i="1"/>
  <c r="P246" i="1" s="1"/>
  <c r="A242" i="1"/>
  <c r="AE241" i="1"/>
  <c r="D138" i="1"/>
  <c r="G138" i="1" s="1"/>
  <c r="H138" i="1"/>
  <c r="K138" i="1"/>
  <c r="AI240" i="1"/>
  <c r="AJ240" i="1"/>
  <c r="AH240" i="1"/>
  <c r="AF240" i="1"/>
  <c r="AJ249" i="4" l="1"/>
  <c r="AF249" i="4"/>
  <c r="AH249" i="4"/>
  <c r="AE250" i="4"/>
  <c r="AB250" i="4"/>
  <c r="A257" i="4"/>
  <c r="G256" i="4"/>
  <c r="B256" i="4"/>
  <c r="P256" i="4" s="1"/>
  <c r="AA251" i="4"/>
  <c r="J138" i="1"/>
  <c r="AG139" i="1" s="1"/>
  <c r="AC139" i="1" s="1"/>
  <c r="E138" i="1"/>
  <c r="AI241" i="1"/>
  <c r="AJ241" i="1"/>
  <c r="AH241" i="1"/>
  <c r="AF241" i="1"/>
  <c r="I139" i="1"/>
  <c r="C139" i="1"/>
  <c r="AK139" i="1"/>
  <c r="AA243" i="1"/>
  <c r="F242" i="1"/>
  <c r="O247" i="1" s="1"/>
  <c r="B242" i="1"/>
  <c r="P247" i="1" s="1"/>
  <c r="A243" i="1"/>
  <c r="AE242" i="1"/>
  <c r="AE251" i="4" l="1"/>
  <c r="AB251" i="4"/>
  <c r="A258" i="4"/>
  <c r="G257" i="4"/>
  <c r="B257" i="4"/>
  <c r="P257" i="4" s="1"/>
  <c r="AA252" i="4"/>
  <c r="AJ250" i="4"/>
  <c r="AF250" i="4"/>
  <c r="AH250" i="4"/>
  <c r="AA244" i="1"/>
  <c r="F243" i="1"/>
  <c r="O248" i="1" s="1"/>
  <c r="B243" i="1"/>
  <c r="P248" i="1" s="1"/>
  <c r="A244" i="1"/>
  <c r="AE243" i="1"/>
  <c r="AI242" i="1"/>
  <c r="AJ242" i="1"/>
  <c r="AH242" i="1"/>
  <c r="AF242" i="1"/>
  <c r="D139" i="1"/>
  <c r="G139" i="1" s="1"/>
  <c r="H139" i="1"/>
  <c r="K139" i="1"/>
  <c r="AE252" i="4" l="1"/>
  <c r="AB252" i="4"/>
  <c r="A259" i="4"/>
  <c r="G258" i="4"/>
  <c r="B258" i="4"/>
  <c r="P258" i="4" s="1"/>
  <c r="AA253" i="4"/>
  <c r="AJ251" i="4"/>
  <c r="AF251" i="4"/>
  <c r="AH251" i="4"/>
  <c r="J139" i="1"/>
  <c r="AG140" i="1" s="1"/>
  <c r="AC140" i="1" s="1"/>
  <c r="E139" i="1"/>
  <c r="AI243" i="1"/>
  <c r="AJ243" i="1"/>
  <c r="AH243" i="1"/>
  <c r="AF243" i="1"/>
  <c r="I140" i="1"/>
  <c r="C140" i="1"/>
  <c r="AK140" i="1"/>
  <c r="AA245" i="1"/>
  <c r="F244" i="1"/>
  <c r="O249" i="1" s="1"/>
  <c r="B244" i="1"/>
  <c r="P249" i="1" s="1"/>
  <c r="A245" i="1"/>
  <c r="AE244" i="1"/>
  <c r="AE253" i="4" l="1"/>
  <c r="AB253" i="4"/>
  <c r="A260" i="4"/>
  <c r="G259" i="4"/>
  <c r="B259" i="4"/>
  <c r="P259" i="4" s="1"/>
  <c r="AA254" i="4"/>
  <c r="AJ252" i="4"/>
  <c r="AF252" i="4"/>
  <c r="AH252" i="4"/>
  <c r="AI244" i="1"/>
  <c r="AJ244" i="1"/>
  <c r="AH244" i="1"/>
  <c r="AF244" i="1"/>
  <c r="D140" i="1"/>
  <c r="G140" i="1" s="1"/>
  <c r="H140" i="1"/>
  <c r="K140" i="1"/>
  <c r="AA246" i="1"/>
  <c r="F245" i="1"/>
  <c r="B245" i="1"/>
  <c r="P250" i="1" s="1"/>
  <c r="A246" i="1"/>
  <c r="AE245" i="1"/>
  <c r="AE254" i="4" l="1"/>
  <c r="AB254" i="4"/>
  <c r="A261" i="4"/>
  <c r="G260" i="4"/>
  <c r="B260" i="4"/>
  <c r="P260" i="4" s="1"/>
  <c r="AA255" i="4"/>
  <c r="AJ253" i="4"/>
  <c r="AF253" i="4"/>
  <c r="AH253" i="4"/>
  <c r="J140" i="1"/>
  <c r="AG141" i="1" s="1"/>
  <c r="AC141" i="1" s="1"/>
  <c r="AA247" i="1"/>
  <c r="F246" i="1"/>
  <c r="O251" i="1" s="1"/>
  <c r="B246" i="1"/>
  <c r="P251" i="1" s="1"/>
  <c r="A247" i="1"/>
  <c r="AE246" i="1"/>
  <c r="AI245" i="1"/>
  <c r="AJ245" i="1"/>
  <c r="AH245" i="1"/>
  <c r="AF245" i="1"/>
  <c r="O250" i="1"/>
  <c r="P39" i="1" s="1"/>
  <c r="Q39" i="1" s="1"/>
  <c r="F278" i="1"/>
  <c r="I141" i="1"/>
  <c r="C141" i="1"/>
  <c r="AK141" i="1"/>
  <c r="E140" i="1"/>
  <c r="AE255" i="4" l="1"/>
  <c r="AB255" i="4"/>
  <c r="A262" i="4"/>
  <c r="G261" i="4"/>
  <c r="B261" i="4"/>
  <c r="P261" i="4" s="1"/>
  <c r="AA256" i="4"/>
  <c r="AJ254" i="4"/>
  <c r="AF254" i="4"/>
  <c r="AH254" i="4"/>
  <c r="AI246" i="1"/>
  <c r="AJ246" i="1"/>
  <c r="AH246" i="1"/>
  <c r="AF246" i="1"/>
  <c r="D141" i="1"/>
  <c r="G141" i="1" s="1"/>
  <c r="H141" i="1"/>
  <c r="K141" i="1"/>
  <c r="AA248" i="1"/>
  <c r="F247" i="1"/>
  <c r="O252" i="1" s="1"/>
  <c r="B247" i="1"/>
  <c r="P252" i="1" s="1"/>
  <c r="A248" i="1"/>
  <c r="AE247" i="1"/>
  <c r="AE256" i="4" l="1"/>
  <c r="AB256" i="4"/>
  <c r="A263" i="4"/>
  <c r="G262" i="4"/>
  <c r="B262" i="4"/>
  <c r="P262" i="4" s="1"/>
  <c r="AA257" i="4"/>
  <c r="AJ255" i="4"/>
  <c r="AF255" i="4"/>
  <c r="AH255" i="4"/>
  <c r="J141" i="1"/>
  <c r="AG142" i="1" s="1"/>
  <c r="AC142" i="1" s="1"/>
  <c r="AI247" i="1"/>
  <c r="AJ247" i="1"/>
  <c r="AH247" i="1"/>
  <c r="AF247" i="1"/>
  <c r="I142" i="1"/>
  <c r="C142" i="1"/>
  <c r="AK142" i="1"/>
  <c r="AA249" i="1"/>
  <c r="F248" i="1"/>
  <c r="O253" i="1" s="1"/>
  <c r="B248" i="1"/>
  <c r="P253" i="1" s="1"/>
  <c r="A249" i="1"/>
  <c r="AE248" i="1"/>
  <c r="E141" i="1"/>
  <c r="AE257" i="4" l="1"/>
  <c r="AB257" i="4"/>
  <c r="A264" i="4"/>
  <c r="G263" i="4"/>
  <c r="B263" i="4"/>
  <c r="P263" i="4" s="1"/>
  <c r="AA258" i="4"/>
  <c r="AJ256" i="4"/>
  <c r="AF256" i="4"/>
  <c r="AH256" i="4"/>
  <c r="AI248" i="1"/>
  <c r="AJ248" i="1"/>
  <c r="AH248" i="1"/>
  <c r="AF248" i="1"/>
  <c r="D142" i="1"/>
  <c r="E142" i="1" s="1"/>
  <c r="H142" i="1"/>
  <c r="K142" i="1"/>
  <c r="AA250" i="1"/>
  <c r="F249" i="1"/>
  <c r="O254" i="1" s="1"/>
  <c r="B249" i="1"/>
  <c r="P254" i="1" s="1"/>
  <c r="A250" i="1"/>
  <c r="AE249" i="1"/>
  <c r="AE258" i="4" l="1"/>
  <c r="AB258" i="4"/>
  <c r="A265" i="4"/>
  <c r="G264" i="4"/>
  <c r="B264" i="4"/>
  <c r="P264" i="4" s="1"/>
  <c r="AA259" i="4"/>
  <c r="AJ257" i="4"/>
  <c r="AF257" i="4"/>
  <c r="AH257" i="4"/>
  <c r="AA251" i="1"/>
  <c r="F250" i="1"/>
  <c r="O255" i="1" s="1"/>
  <c r="B250" i="1"/>
  <c r="P255" i="1" s="1"/>
  <c r="A251" i="1"/>
  <c r="AE250" i="1"/>
  <c r="I143" i="1"/>
  <c r="C143" i="1"/>
  <c r="AK143" i="1"/>
  <c r="AI249" i="1"/>
  <c r="AJ249" i="1"/>
  <c r="AH249" i="1"/>
  <c r="AF249" i="1"/>
  <c r="G142" i="1"/>
  <c r="AE259" i="4" l="1"/>
  <c r="AB259" i="4"/>
  <c r="A266" i="4"/>
  <c r="G265" i="4"/>
  <c r="AA260" i="4"/>
  <c r="B265" i="4"/>
  <c r="P265" i="4" s="1"/>
  <c r="AJ258" i="4"/>
  <c r="AF258" i="4"/>
  <c r="AH258" i="4"/>
  <c r="J142" i="1"/>
  <c r="AI250" i="1"/>
  <c r="AJ250" i="1"/>
  <c r="AH250" i="1"/>
  <c r="AF250" i="1"/>
  <c r="D143" i="1"/>
  <c r="E143" i="1" s="1"/>
  <c r="H143" i="1"/>
  <c r="K143" i="1"/>
  <c r="AA252" i="1"/>
  <c r="F251" i="1"/>
  <c r="O256" i="1" s="1"/>
  <c r="B251" i="1"/>
  <c r="P256" i="1" s="1"/>
  <c r="A252" i="1"/>
  <c r="AE251" i="1"/>
  <c r="A267" i="4" l="1"/>
  <c r="G266" i="4"/>
  <c r="AA261" i="4"/>
  <c r="B266" i="4"/>
  <c r="P266" i="4" s="1"/>
  <c r="AE260" i="4"/>
  <c r="AB260" i="4"/>
  <c r="AJ259" i="4"/>
  <c r="AF259" i="4"/>
  <c r="AH259" i="4"/>
  <c r="AA253" i="1"/>
  <c r="F252" i="1"/>
  <c r="O257" i="1" s="1"/>
  <c r="B252" i="1"/>
  <c r="P257" i="1" s="1"/>
  <c r="A253" i="1"/>
  <c r="AE252" i="1"/>
  <c r="AG143" i="1"/>
  <c r="AC143" i="1" s="1"/>
  <c r="AI251" i="1"/>
  <c r="AJ251" i="1"/>
  <c r="AH251" i="1"/>
  <c r="AF251" i="1"/>
  <c r="I144" i="1"/>
  <c r="C144" i="1"/>
  <c r="AK144" i="1"/>
  <c r="G143" i="1"/>
  <c r="J143" i="1" s="1"/>
  <c r="AE261" i="4" l="1"/>
  <c r="AB261" i="4"/>
  <c r="AJ260" i="4"/>
  <c r="AF260" i="4"/>
  <c r="AH260" i="4"/>
  <c r="A268" i="4"/>
  <c r="G267" i="4"/>
  <c r="AA262" i="4"/>
  <c r="B267" i="4"/>
  <c r="P267" i="4" s="1"/>
  <c r="AG144" i="1"/>
  <c r="AC144" i="1" s="1"/>
  <c r="AA254" i="1"/>
  <c r="F253" i="1"/>
  <c r="O258" i="1" s="1"/>
  <c r="B253" i="1"/>
  <c r="P258" i="1" s="1"/>
  <c r="A254" i="1"/>
  <c r="AE253" i="1"/>
  <c r="D144" i="1"/>
  <c r="G144" i="1" s="1"/>
  <c r="H144" i="1"/>
  <c r="K144" i="1"/>
  <c r="AI252" i="1"/>
  <c r="AJ252" i="1"/>
  <c r="AH252" i="1"/>
  <c r="AF252" i="1"/>
  <c r="AE262" i="4" l="1"/>
  <c r="AB262" i="4"/>
  <c r="A269" i="4"/>
  <c r="G268" i="4"/>
  <c r="AA263" i="4"/>
  <c r="B268" i="4"/>
  <c r="P268" i="4" s="1"/>
  <c r="AJ261" i="4"/>
  <c r="AF261" i="4"/>
  <c r="AH261" i="4"/>
  <c r="J144" i="1"/>
  <c r="AG145" i="1" s="1"/>
  <c r="AC145" i="1" s="1"/>
  <c r="E144" i="1"/>
  <c r="I145" i="1"/>
  <c r="C145" i="1"/>
  <c r="AK145" i="1"/>
  <c r="AA255" i="1"/>
  <c r="F254" i="1"/>
  <c r="O259" i="1" s="1"/>
  <c r="B254" i="1"/>
  <c r="P259" i="1" s="1"/>
  <c r="A255" i="1"/>
  <c r="AE254" i="1"/>
  <c r="AI253" i="1"/>
  <c r="AJ253" i="1"/>
  <c r="AH253" i="1"/>
  <c r="AF253" i="1"/>
  <c r="AE263" i="4" l="1"/>
  <c r="AB263" i="4"/>
  <c r="A270" i="4"/>
  <c r="G269" i="4"/>
  <c r="AA264" i="4"/>
  <c r="B269" i="4"/>
  <c r="P269" i="4" s="1"/>
  <c r="AJ262" i="4"/>
  <c r="AF262" i="4"/>
  <c r="AH262" i="4"/>
  <c r="AA256" i="1"/>
  <c r="F255" i="1"/>
  <c r="O260" i="1" s="1"/>
  <c r="B255" i="1"/>
  <c r="P260" i="1" s="1"/>
  <c r="A256" i="1"/>
  <c r="AE255" i="1"/>
  <c r="D145" i="1"/>
  <c r="G145" i="1" s="1"/>
  <c r="H145" i="1"/>
  <c r="K145" i="1"/>
  <c r="AI254" i="1"/>
  <c r="AJ254" i="1"/>
  <c r="AH254" i="1"/>
  <c r="AF254" i="1"/>
  <c r="A271" i="4" l="1"/>
  <c r="G270" i="4"/>
  <c r="AA265" i="4"/>
  <c r="B270" i="4"/>
  <c r="P270" i="4" s="1"/>
  <c r="AE264" i="4"/>
  <c r="AB264" i="4"/>
  <c r="AJ263" i="4"/>
  <c r="AF263" i="4"/>
  <c r="AH263" i="4"/>
  <c r="J145" i="1"/>
  <c r="AG146" i="1" s="1"/>
  <c r="AC146" i="1" s="1"/>
  <c r="I146" i="1"/>
  <c r="C146" i="1"/>
  <c r="AK146" i="1"/>
  <c r="AA257" i="1"/>
  <c r="F256" i="1"/>
  <c r="O261" i="1" s="1"/>
  <c r="B256" i="1"/>
  <c r="P261" i="1" s="1"/>
  <c r="A257" i="1"/>
  <c r="AE256" i="1"/>
  <c r="E145" i="1"/>
  <c r="AI255" i="1"/>
  <c r="AJ255" i="1"/>
  <c r="AH255" i="1"/>
  <c r="AF255" i="1"/>
  <c r="AE265" i="4" l="1"/>
  <c r="AB265" i="4"/>
  <c r="AH264" i="4"/>
  <c r="AJ264" i="4"/>
  <c r="AF264" i="4"/>
  <c r="A272" i="4"/>
  <c r="G271" i="4"/>
  <c r="AA266" i="4"/>
  <c r="B271" i="4"/>
  <c r="P271" i="4" s="1"/>
  <c r="AA258" i="1"/>
  <c r="F257" i="1"/>
  <c r="O262" i="1" s="1"/>
  <c r="B257" i="1"/>
  <c r="P262" i="1" s="1"/>
  <c r="A258" i="1"/>
  <c r="AE257" i="1"/>
  <c r="D146" i="1"/>
  <c r="G146" i="1" s="1"/>
  <c r="H146" i="1"/>
  <c r="K146" i="1"/>
  <c r="AI256" i="1"/>
  <c r="AJ256" i="1"/>
  <c r="AH256" i="1"/>
  <c r="AF256" i="1"/>
  <c r="AE266" i="4" l="1"/>
  <c r="AB266" i="4"/>
  <c r="A273" i="4"/>
  <c r="G272" i="4"/>
  <c r="AA267" i="4"/>
  <c r="B272" i="4"/>
  <c r="P272" i="4" s="1"/>
  <c r="AH265" i="4"/>
  <c r="AJ265" i="4"/>
  <c r="AF265" i="4"/>
  <c r="J146" i="1"/>
  <c r="AG147" i="1" s="1"/>
  <c r="AC147" i="1" s="1"/>
  <c r="E146" i="1"/>
  <c r="AI257" i="1"/>
  <c r="AJ257" i="1"/>
  <c r="AH257" i="1"/>
  <c r="AF257" i="1"/>
  <c r="I147" i="1"/>
  <c r="C147" i="1"/>
  <c r="AK147" i="1"/>
  <c r="AA259" i="1"/>
  <c r="F258" i="1"/>
  <c r="O263" i="1" s="1"/>
  <c r="B258" i="1"/>
  <c r="P263" i="1" s="1"/>
  <c r="A259" i="1"/>
  <c r="AE258" i="1"/>
  <c r="A274" i="4" l="1"/>
  <c r="G273" i="4"/>
  <c r="AA268" i="4"/>
  <c r="B273" i="4"/>
  <c r="P273" i="4" s="1"/>
  <c r="AE267" i="4"/>
  <c r="AB267" i="4"/>
  <c r="AH266" i="4"/>
  <c r="AJ266" i="4"/>
  <c r="AF266" i="4"/>
  <c r="AI258" i="1"/>
  <c r="AJ258" i="1"/>
  <c r="AH258" i="1"/>
  <c r="AF258" i="1"/>
  <c r="AA260" i="1"/>
  <c r="F259" i="1"/>
  <c r="O264" i="1" s="1"/>
  <c r="B259" i="1"/>
  <c r="P264" i="1" s="1"/>
  <c r="A260" i="1"/>
  <c r="AE259" i="1"/>
  <c r="D147" i="1"/>
  <c r="G147" i="1" s="1"/>
  <c r="H147" i="1"/>
  <c r="K147" i="1"/>
  <c r="AE268" i="4" l="1"/>
  <c r="AB268" i="4"/>
  <c r="AH267" i="4"/>
  <c r="AJ267" i="4"/>
  <c r="AF267" i="4"/>
  <c r="G274" i="4"/>
  <c r="A275" i="4"/>
  <c r="AA269" i="4"/>
  <c r="B274" i="4"/>
  <c r="P274" i="4" s="1"/>
  <c r="J147" i="1"/>
  <c r="AG148" i="1" s="1"/>
  <c r="AC148" i="1" s="1"/>
  <c r="E147" i="1"/>
  <c r="AI259" i="1"/>
  <c r="AJ259" i="1"/>
  <c r="AH259" i="1"/>
  <c r="AF259" i="1"/>
  <c r="I148" i="1"/>
  <c r="C148" i="1"/>
  <c r="AK148" i="1"/>
  <c r="AA261" i="1"/>
  <c r="F260" i="1"/>
  <c r="O265" i="1" s="1"/>
  <c r="B260" i="1"/>
  <c r="P265" i="1" s="1"/>
  <c r="A261" i="1"/>
  <c r="AE260" i="1"/>
  <c r="B275" i="4" l="1"/>
  <c r="P275" i="4" s="1"/>
  <c r="G275" i="4"/>
  <c r="AA270" i="4"/>
  <c r="A276" i="4"/>
  <c r="AE269" i="4"/>
  <c r="AB269" i="4"/>
  <c r="AH268" i="4"/>
  <c r="AJ268" i="4"/>
  <c r="AF268" i="4"/>
  <c r="AI260" i="1"/>
  <c r="AJ260" i="1"/>
  <c r="AH260" i="1"/>
  <c r="AF260" i="1"/>
  <c r="AA262" i="1"/>
  <c r="F261" i="1"/>
  <c r="O266" i="1" s="1"/>
  <c r="B261" i="1"/>
  <c r="P266" i="1" s="1"/>
  <c r="A262" i="1"/>
  <c r="AE261" i="1"/>
  <c r="D148" i="1"/>
  <c r="G148" i="1" s="1"/>
  <c r="H148" i="1"/>
  <c r="K148" i="1"/>
  <c r="AH269" i="4" l="1"/>
  <c r="AJ269" i="4"/>
  <c r="AF269" i="4"/>
  <c r="B276" i="4"/>
  <c r="P276" i="4" s="1"/>
  <c r="G276" i="4"/>
  <c r="A277" i="4"/>
  <c r="AA271" i="4"/>
  <c r="AE270" i="4"/>
  <c r="AB270" i="4"/>
  <c r="J148" i="1"/>
  <c r="AG149" i="1" s="1"/>
  <c r="AC149" i="1" s="1"/>
  <c r="AI261" i="1"/>
  <c r="AJ261" i="1"/>
  <c r="AH261" i="1"/>
  <c r="AF261" i="1"/>
  <c r="I149" i="1"/>
  <c r="C149" i="1"/>
  <c r="AK149" i="1"/>
  <c r="E148" i="1"/>
  <c r="AA263" i="1"/>
  <c r="F262" i="1"/>
  <c r="O267" i="1" s="1"/>
  <c r="B262" i="1"/>
  <c r="P267" i="1" s="1"/>
  <c r="A263" i="1"/>
  <c r="AE262" i="1"/>
  <c r="AE271" i="4" l="1"/>
  <c r="AB271" i="4"/>
  <c r="B277" i="4"/>
  <c r="P277" i="4" s="1"/>
  <c r="G277" i="4"/>
  <c r="AA272" i="4"/>
  <c r="A278" i="4"/>
  <c r="AH270" i="4"/>
  <c r="AJ270" i="4"/>
  <c r="AF270" i="4"/>
  <c r="AI262" i="1"/>
  <c r="AJ262" i="1"/>
  <c r="AH262" i="1"/>
  <c r="AF262" i="1"/>
  <c r="D149" i="1"/>
  <c r="G149" i="1" s="1"/>
  <c r="H149" i="1"/>
  <c r="K149" i="1"/>
  <c r="AA264" i="1"/>
  <c r="F263" i="1"/>
  <c r="O268" i="1" s="1"/>
  <c r="B263" i="1"/>
  <c r="P268" i="1" s="1"/>
  <c r="A264" i="1"/>
  <c r="AE263" i="1"/>
  <c r="AE272" i="4" l="1"/>
  <c r="AB272" i="4"/>
  <c r="B278" i="4"/>
  <c r="P278" i="4" s="1"/>
  <c r="A279" i="4"/>
  <c r="G278" i="4"/>
  <c r="AA273" i="4"/>
  <c r="AH271" i="4"/>
  <c r="AJ271" i="4"/>
  <c r="AF271" i="4"/>
  <c r="J149" i="1"/>
  <c r="AG150" i="1" s="1"/>
  <c r="AC150" i="1" s="1"/>
  <c r="AA265" i="1"/>
  <c r="F264" i="1"/>
  <c r="O269" i="1" s="1"/>
  <c r="B264" i="1"/>
  <c r="P269" i="1" s="1"/>
  <c r="A265" i="1"/>
  <c r="AE264" i="1"/>
  <c r="I150" i="1"/>
  <c r="C150" i="1"/>
  <c r="AK150" i="1"/>
  <c r="AI263" i="1"/>
  <c r="AJ263" i="1"/>
  <c r="AH263" i="1"/>
  <c r="AF263" i="1"/>
  <c r="E149" i="1"/>
  <c r="A280" i="4" l="1"/>
  <c r="B279" i="4"/>
  <c r="P279" i="4" s="1"/>
  <c r="AA274" i="4"/>
  <c r="G279" i="4"/>
  <c r="AE273" i="4"/>
  <c r="AB273" i="4"/>
  <c r="AH272" i="4"/>
  <c r="AJ272" i="4"/>
  <c r="AF272" i="4"/>
  <c r="D150" i="1"/>
  <c r="G150" i="1" s="1"/>
  <c r="H150" i="1"/>
  <c r="K150" i="1"/>
  <c r="AA266" i="1"/>
  <c r="F265" i="1"/>
  <c r="O270" i="1" s="1"/>
  <c r="B265" i="1"/>
  <c r="P270" i="1" s="1"/>
  <c r="A266" i="1"/>
  <c r="AE265" i="1"/>
  <c r="AI264" i="1"/>
  <c r="AJ264" i="1"/>
  <c r="AH264" i="1"/>
  <c r="AF264" i="1"/>
  <c r="AH273" i="4" l="1"/>
  <c r="AJ273" i="4"/>
  <c r="AF273" i="4"/>
  <c r="AE274" i="4"/>
  <c r="AB274" i="4"/>
  <c r="G280" i="4"/>
  <c r="AA275" i="4"/>
  <c r="A281" i="4"/>
  <c r="B280" i="4"/>
  <c r="P280" i="4" s="1"/>
  <c r="J150" i="1"/>
  <c r="AG151" i="1" s="1"/>
  <c r="AC151" i="1" s="1"/>
  <c r="E150" i="1"/>
  <c r="AI265" i="1"/>
  <c r="AJ265" i="1"/>
  <c r="AH265" i="1"/>
  <c r="AF265" i="1"/>
  <c r="I151" i="1"/>
  <c r="C151" i="1"/>
  <c r="AK151" i="1"/>
  <c r="AA267" i="1"/>
  <c r="F266" i="1"/>
  <c r="O271" i="1" s="1"/>
  <c r="B266" i="1"/>
  <c r="P271" i="1" s="1"/>
  <c r="A267" i="1"/>
  <c r="AE266" i="1"/>
  <c r="AJ274" i="4" l="1"/>
  <c r="AH274" i="4"/>
  <c r="AF274" i="4"/>
  <c r="AB275" i="4"/>
  <c r="AE275" i="4"/>
  <c r="A282" i="4"/>
  <c r="A283" i="4" s="1"/>
  <c r="B281" i="4"/>
  <c r="P281" i="4" s="1"/>
  <c r="AA276" i="4"/>
  <c r="G281" i="4"/>
  <c r="AI266" i="1"/>
  <c r="AJ266" i="1"/>
  <c r="AH266" i="1"/>
  <c r="AF266" i="1"/>
  <c r="AA268" i="1"/>
  <c r="F267" i="1"/>
  <c r="O272" i="1" s="1"/>
  <c r="B267" i="1"/>
  <c r="P272" i="1" s="1"/>
  <c r="A268" i="1"/>
  <c r="AE267" i="1"/>
  <c r="D151" i="1"/>
  <c r="G151" i="1" s="1"/>
  <c r="H151" i="1"/>
  <c r="K151" i="1"/>
  <c r="A284" i="4" l="1"/>
  <c r="G283" i="4"/>
  <c r="B283" i="4"/>
  <c r="AB276" i="4"/>
  <c r="AE276" i="4"/>
  <c r="G282" i="4"/>
  <c r="AA277" i="4"/>
  <c r="B282" i="4"/>
  <c r="P282" i="4" s="1"/>
  <c r="AJ275" i="4"/>
  <c r="AH275" i="4"/>
  <c r="AF275" i="4"/>
  <c r="J151" i="1"/>
  <c r="AG152" i="1" s="1"/>
  <c r="AC152" i="1" s="1"/>
  <c r="I152" i="1"/>
  <c r="C152" i="1"/>
  <c r="AK152" i="1"/>
  <c r="AA269" i="1"/>
  <c r="F268" i="1"/>
  <c r="O273" i="1" s="1"/>
  <c r="B268" i="1"/>
  <c r="P273" i="1" s="1"/>
  <c r="A269" i="1"/>
  <c r="AE268" i="1"/>
  <c r="E151" i="1"/>
  <c r="AI267" i="1"/>
  <c r="AJ267" i="1"/>
  <c r="AH267" i="1"/>
  <c r="AF267" i="1"/>
  <c r="P283" i="4" l="1"/>
  <c r="G284" i="4"/>
  <c r="A285" i="4"/>
  <c r="B284" i="4"/>
  <c r="P284" i="4" s="1"/>
  <c r="AB277" i="4"/>
  <c r="AE277" i="4"/>
  <c r="AA278" i="4"/>
  <c r="AJ276" i="4"/>
  <c r="AH276" i="4"/>
  <c r="AF276" i="4"/>
  <c r="AI268" i="1"/>
  <c r="AJ268" i="1"/>
  <c r="AH268" i="1"/>
  <c r="AF268" i="1"/>
  <c r="D152" i="1"/>
  <c r="G152" i="1" s="1"/>
  <c r="H152" i="1"/>
  <c r="K152" i="1"/>
  <c r="AA270" i="1"/>
  <c r="F269" i="1"/>
  <c r="O274" i="1" s="1"/>
  <c r="B269" i="1"/>
  <c r="P274" i="1" s="1"/>
  <c r="A270" i="1"/>
  <c r="AE269" i="1"/>
  <c r="A286" i="4" l="1"/>
  <c r="G285" i="4"/>
  <c r="B285" i="4"/>
  <c r="P285" i="4" s="1"/>
  <c r="AI51" i="4"/>
  <c r="K56" i="4"/>
  <c r="O56" i="4"/>
  <c r="AB278" i="4"/>
  <c r="AE278" i="4"/>
  <c r="AJ277" i="4"/>
  <c r="AH277" i="4"/>
  <c r="AF277" i="4"/>
  <c r="J152" i="1"/>
  <c r="AG153" i="1" s="1"/>
  <c r="AC153" i="1" s="1"/>
  <c r="AA271" i="1"/>
  <c r="F270" i="1"/>
  <c r="O275" i="1" s="1"/>
  <c r="B270" i="1"/>
  <c r="P275" i="1" s="1"/>
  <c r="A271" i="1"/>
  <c r="AE270" i="1"/>
  <c r="I153" i="1"/>
  <c r="C153" i="1"/>
  <c r="AK153" i="1"/>
  <c r="E152" i="1"/>
  <c r="AI269" i="1"/>
  <c r="AJ269" i="1"/>
  <c r="AH269" i="1"/>
  <c r="AF269" i="1"/>
  <c r="A287" i="4" l="1"/>
  <c r="G286" i="4"/>
  <c r="B286" i="4"/>
  <c r="P286" i="4" s="1"/>
  <c r="AN50" i="4"/>
  <c r="C57" i="4"/>
  <c r="I57" i="4"/>
  <c r="AK51" i="4"/>
  <c r="AJ278" i="4"/>
  <c r="AH278" i="4"/>
  <c r="AF278" i="4"/>
  <c r="AI270" i="1"/>
  <c r="AJ270" i="1"/>
  <c r="AH270" i="1"/>
  <c r="AF270" i="1"/>
  <c r="D153" i="1"/>
  <c r="G153" i="1" s="1"/>
  <c r="H153" i="1"/>
  <c r="K153" i="1"/>
  <c r="AA272" i="1"/>
  <c r="F271" i="1"/>
  <c r="O276" i="1" s="1"/>
  <c r="B271" i="1"/>
  <c r="P276" i="1" s="1"/>
  <c r="A272" i="1"/>
  <c r="AE271" i="1"/>
  <c r="A288" i="4" l="1"/>
  <c r="G287" i="4"/>
  <c r="B287" i="4"/>
  <c r="P287" i="4" s="1"/>
  <c r="D57" i="4"/>
  <c r="K57" i="4" s="1"/>
  <c r="H57" i="4"/>
  <c r="AI83" i="4"/>
  <c r="O88" i="4"/>
  <c r="J153" i="1"/>
  <c r="AG154" i="1" s="1"/>
  <c r="AC154" i="1" s="1"/>
  <c r="E153" i="1"/>
  <c r="AA273" i="1"/>
  <c r="F272" i="1"/>
  <c r="O277" i="1" s="1"/>
  <c r="B272" i="1"/>
  <c r="P277" i="1" s="1"/>
  <c r="A273" i="1"/>
  <c r="AE272" i="1"/>
  <c r="AI271" i="1"/>
  <c r="AJ271" i="1"/>
  <c r="AH271" i="1"/>
  <c r="AF271" i="1"/>
  <c r="I154" i="1"/>
  <c r="C154" i="1"/>
  <c r="AK154" i="1"/>
  <c r="A289" i="4" l="1"/>
  <c r="B288" i="4"/>
  <c r="P288" i="4" s="1"/>
  <c r="G288" i="4"/>
  <c r="E57" i="4"/>
  <c r="J57" i="4"/>
  <c r="AG52" i="4" s="1"/>
  <c r="AC52" i="4" s="1"/>
  <c r="I58" i="4"/>
  <c r="AK52" i="4"/>
  <c r="AN51" i="4"/>
  <c r="C58" i="4"/>
  <c r="AI272" i="1"/>
  <c r="AJ272" i="1"/>
  <c r="AH272" i="1"/>
  <c r="AF272" i="1"/>
  <c r="D154" i="1"/>
  <c r="G154" i="1" s="1"/>
  <c r="H154" i="1"/>
  <c r="K154" i="1"/>
  <c r="AA274" i="1"/>
  <c r="F273" i="1"/>
  <c r="B273" i="1"/>
  <c r="A274" i="1"/>
  <c r="AE273" i="1"/>
  <c r="G289" i="4" l="1"/>
  <c r="B289" i="4"/>
  <c r="P289" i="4" s="1"/>
  <c r="A290" i="4"/>
  <c r="D58" i="4"/>
  <c r="K58" i="4" s="1"/>
  <c r="H58" i="4"/>
  <c r="J58" i="4" s="1"/>
  <c r="O89" i="4"/>
  <c r="AI84" i="4"/>
  <c r="J154" i="1"/>
  <c r="AG155" i="1" s="1"/>
  <c r="AC155" i="1" s="1"/>
  <c r="E154" i="1"/>
  <c r="AI273" i="1"/>
  <c r="AJ273" i="1"/>
  <c r="AH273" i="1"/>
  <c r="AF273" i="1"/>
  <c r="AE274" i="1"/>
  <c r="I155" i="1"/>
  <c r="C155" i="1"/>
  <c r="AK155" i="1"/>
  <c r="AA275" i="1"/>
  <c r="F274" i="1"/>
  <c r="B274" i="1"/>
  <c r="A275" i="1"/>
  <c r="B290" i="4" l="1"/>
  <c r="P290" i="4" s="1"/>
  <c r="G290" i="4"/>
  <c r="A291" i="4"/>
  <c r="E58" i="4"/>
  <c r="AG53" i="4"/>
  <c r="AC53" i="4" s="1"/>
  <c r="C59" i="4"/>
  <c r="AK53" i="4"/>
  <c r="AN52" i="4"/>
  <c r="I59" i="4"/>
  <c r="AE275" i="1"/>
  <c r="AI274" i="1"/>
  <c r="AJ274" i="1"/>
  <c r="AH274" i="1"/>
  <c r="AF274" i="1"/>
  <c r="AA276" i="1"/>
  <c r="F275" i="1"/>
  <c r="B275" i="1"/>
  <c r="A276" i="1"/>
  <c r="D155" i="1"/>
  <c r="G155" i="1" s="1"/>
  <c r="H155" i="1"/>
  <c r="K155" i="1"/>
  <c r="A292" i="4" l="1"/>
  <c r="G291" i="4"/>
  <c r="B291" i="4"/>
  <c r="P291" i="4" s="1"/>
  <c r="H59" i="4"/>
  <c r="J59" i="4" s="1"/>
  <c r="D59" i="4"/>
  <c r="K59" i="4" s="1"/>
  <c r="J155" i="1"/>
  <c r="AG156" i="1" s="1"/>
  <c r="AC156" i="1" s="1"/>
  <c r="E155" i="1"/>
  <c r="AE276" i="1"/>
  <c r="I156" i="1"/>
  <c r="C156" i="1"/>
  <c r="AK156" i="1"/>
  <c r="AA277" i="1"/>
  <c r="F276" i="1"/>
  <c r="B276" i="1"/>
  <c r="A277" i="1"/>
  <c r="AI275" i="1"/>
  <c r="AJ275" i="1"/>
  <c r="AH275" i="1"/>
  <c r="AF275" i="1"/>
  <c r="A293" i="4" l="1"/>
  <c r="G292" i="4"/>
  <c r="B292" i="4"/>
  <c r="P292" i="4" s="1"/>
  <c r="E59" i="4"/>
  <c r="AG54" i="4"/>
  <c r="AC54" i="4" s="1"/>
  <c r="I60" i="4"/>
  <c r="AK54" i="4"/>
  <c r="AN53" i="4"/>
  <c r="C60" i="4"/>
  <c r="O90" i="4"/>
  <c r="AI85" i="4"/>
  <c r="F277" i="1"/>
  <c r="B277" i="1"/>
  <c r="I25" i="1" s="1"/>
  <c r="AA278" i="1"/>
  <c r="D156" i="1"/>
  <c r="G156" i="1" s="1"/>
  <c r="H156" i="1"/>
  <c r="K156" i="1"/>
  <c r="AI276" i="1"/>
  <c r="AJ276" i="1"/>
  <c r="AH276" i="1"/>
  <c r="AF276" i="1"/>
  <c r="AE277" i="1"/>
  <c r="G293" i="4" l="1"/>
  <c r="A294" i="4"/>
  <c r="B293" i="4"/>
  <c r="P293" i="4" s="1"/>
  <c r="D60" i="4"/>
  <c r="E60" i="4" s="1"/>
  <c r="H60" i="4"/>
  <c r="J60" i="4" s="1"/>
  <c r="AG55" i="4" s="1"/>
  <c r="AC55" i="4" s="1"/>
  <c r="K60" i="4"/>
  <c r="J156" i="1"/>
  <c r="AG157" i="1" s="1"/>
  <c r="AC157" i="1" s="1"/>
  <c r="AI277" i="1"/>
  <c r="AJ277" i="1"/>
  <c r="AH277" i="1"/>
  <c r="AF277" i="1"/>
  <c r="I157" i="1"/>
  <c r="C157" i="1"/>
  <c r="AK157" i="1"/>
  <c r="E156" i="1"/>
  <c r="AE278" i="1"/>
  <c r="B294" i="4" l="1"/>
  <c r="P294" i="4" s="1"/>
  <c r="G294" i="4"/>
  <c r="A295" i="4"/>
  <c r="I61" i="4"/>
  <c r="AK55" i="4"/>
  <c r="AN54" i="4"/>
  <c r="C61" i="4"/>
  <c r="O91" i="4"/>
  <c r="AI86" i="4"/>
  <c r="AJ278" i="1"/>
  <c r="AH278" i="1"/>
  <c r="AF278" i="1"/>
  <c r="AI278" i="1"/>
  <c r="D157" i="1"/>
  <c r="G157" i="1" s="1"/>
  <c r="H157" i="1"/>
  <c r="K157" i="1"/>
  <c r="G295" i="4" l="1"/>
  <c r="B295" i="4"/>
  <c r="P295" i="4" s="1"/>
  <c r="A296" i="4"/>
  <c r="D61" i="4"/>
  <c r="K61" i="4" s="1"/>
  <c r="H61" i="4"/>
  <c r="J61" i="4" s="1"/>
  <c r="O92" i="4"/>
  <c r="AI87" i="4"/>
  <c r="J157" i="1"/>
  <c r="AG158" i="1" s="1"/>
  <c r="AC158" i="1" s="1"/>
  <c r="E157" i="1"/>
  <c r="I158" i="1"/>
  <c r="C158" i="1"/>
  <c r="AK158" i="1"/>
  <c r="B296" i="4" l="1"/>
  <c r="P296" i="4" s="1"/>
  <c r="A297" i="4"/>
  <c r="G296" i="4"/>
  <c r="E61" i="4"/>
  <c r="AG56" i="4"/>
  <c r="AC56" i="4" s="1"/>
  <c r="I62" i="4"/>
  <c r="AK56" i="4"/>
  <c r="AN55" i="4"/>
  <c r="C62" i="4"/>
  <c r="D158" i="1"/>
  <c r="G158" i="1" s="1"/>
  <c r="H158" i="1"/>
  <c r="K158" i="1"/>
  <c r="A298" i="4" l="1"/>
  <c r="B297" i="4"/>
  <c r="P297" i="4" s="1"/>
  <c r="G297" i="4"/>
  <c r="H62" i="4"/>
  <c r="J62" i="4" s="1"/>
  <c r="AG57" i="4" s="1"/>
  <c r="AC57" i="4" s="1"/>
  <c r="D62" i="4"/>
  <c r="E62" i="4" s="1"/>
  <c r="K62" i="4"/>
  <c r="J158" i="1"/>
  <c r="AG159" i="1" s="1"/>
  <c r="AC159" i="1" s="1"/>
  <c r="I159" i="1"/>
  <c r="C159" i="1"/>
  <c r="AK159" i="1"/>
  <c r="E158" i="1"/>
  <c r="G298" i="4" l="1"/>
  <c r="A299" i="4"/>
  <c r="B298" i="4"/>
  <c r="P298" i="4" s="1"/>
  <c r="I63" i="4"/>
  <c r="AK57" i="4"/>
  <c r="AN56" i="4"/>
  <c r="C63" i="4"/>
  <c r="O93" i="4"/>
  <c r="AI88" i="4"/>
  <c r="D159" i="1"/>
  <c r="G159" i="1" s="1"/>
  <c r="H159" i="1"/>
  <c r="K159" i="1"/>
  <c r="G299" i="4" l="1"/>
  <c r="B299" i="4"/>
  <c r="P299" i="4" s="1"/>
  <c r="A300" i="4"/>
  <c r="D63" i="4"/>
  <c r="K63" i="4" s="1"/>
  <c r="H63" i="4"/>
  <c r="J63" i="4" s="1"/>
  <c r="O94" i="4"/>
  <c r="AI89" i="4"/>
  <c r="J159" i="1"/>
  <c r="AG160" i="1" s="1"/>
  <c r="AC160" i="1" s="1"/>
  <c r="I160" i="1"/>
  <c r="C160" i="1"/>
  <c r="AK160" i="1"/>
  <c r="E159" i="1"/>
  <c r="G300" i="4" l="1"/>
  <c r="A301" i="4"/>
  <c r="B300" i="4"/>
  <c r="P300" i="4" s="1"/>
  <c r="E63" i="4"/>
  <c r="AG58" i="4"/>
  <c r="AC58" i="4" s="1"/>
  <c r="AN57" i="4"/>
  <c r="C64" i="4"/>
  <c r="I64" i="4"/>
  <c r="AK58" i="4"/>
  <c r="D160" i="1"/>
  <c r="G160" i="1" s="1"/>
  <c r="H160" i="1"/>
  <c r="K160" i="1"/>
  <c r="G301" i="4" l="1"/>
  <c r="B301" i="4"/>
  <c r="P301" i="4" s="1"/>
  <c r="A302" i="4"/>
  <c r="H64" i="4"/>
  <c r="J64" i="4" s="1"/>
  <c r="D64" i="4"/>
  <c r="K64" i="4" s="1"/>
  <c r="AI90" i="4"/>
  <c r="O95" i="4"/>
  <c r="J160" i="1"/>
  <c r="AG161" i="1" s="1"/>
  <c r="AC161" i="1" s="1"/>
  <c r="I161" i="1"/>
  <c r="C161" i="1"/>
  <c r="AK161" i="1"/>
  <c r="E160" i="1"/>
  <c r="G302" i="4" l="1"/>
  <c r="B302" i="4"/>
  <c r="P302" i="4" s="1"/>
  <c r="A303" i="4"/>
  <c r="E64" i="4"/>
  <c r="AG59" i="4"/>
  <c r="AC59" i="4" s="1"/>
  <c r="AN58" i="4"/>
  <c r="C65" i="4"/>
  <c r="I65" i="4"/>
  <c r="AK59" i="4"/>
  <c r="D161" i="1"/>
  <c r="G161" i="1" s="1"/>
  <c r="H161" i="1"/>
  <c r="K161" i="1"/>
  <c r="G303" i="4" l="1"/>
  <c r="B303" i="4"/>
  <c r="P303" i="4" s="1"/>
  <c r="A304" i="4"/>
  <c r="H65" i="4"/>
  <c r="J65" i="4" s="1"/>
  <c r="D65" i="4"/>
  <c r="E65" i="4" s="1"/>
  <c r="K65" i="4"/>
  <c r="J161" i="1"/>
  <c r="AG162" i="1" s="1"/>
  <c r="AC162" i="1" s="1"/>
  <c r="I162" i="1"/>
  <c r="C162" i="1"/>
  <c r="AK162" i="1"/>
  <c r="E161" i="1"/>
  <c r="G304" i="4" l="1"/>
  <c r="B304" i="4"/>
  <c r="P304" i="4" s="1"/>
  <c r="A305" i="4"/>
  <c r="AG60" i="4"/>
  <c r="AC60" i="4" s="1"/>
  <c r="I66" i="4"/>
  <c r="AK60" i="4"/>
  <c r="AN59" i="4"/>
  <c r="C66" i="4"/>
  <c r="O96" i="4"/>
  <c r="AI91" i="4"/>
  <c r="D162" i="1"/>
  <c r="G162" i="1" s="1"/>
  <c r="H162" i="1"/>
  <c r="K162" i="1"/>
  <c r="G305" i="4" l="1"/>
  <c r="B305" i="4"/>
  <c r="P305" i="4" s="1"/>
  <c r="A306" i="4"/>
  <c r="D66" i="4"/>
  <c r="K66" i="4" s="1"/>
  <c r="H66" i="4"/>
  <c r="O97" i="4"/>
  <c r="AI92" i="4"/>
  <c r="J162" i="1"/>
  <c r="AG163" i="1" s="1"/>
  <c r="AC163" i="1" s="1"/>
  <c r="E162" i="1"/>
  <c r="I163" i="1"/>
  <c r="C163" i="1"/>
  <c r="AK163" i="1"/>
  <c r="G306" i="4" l="1"/>
  <c r="A307" i="4"/>
  <c r="B306" i="4"/>
  <c r="P306" i="4" s="1"/>
  <c r="E66" i="4"/>
  <c r="J66" i="4"/>
  <c r="AG61" i="4" s="1"/>
  <c r="AC61" i="4" s="1"/>
  <c r="AN60" i="4"/>
  <c r="C67" i="4"/>
  <c r="I67" i="4"/>
  <c r="AK61" i="4"/>
  <c r="D163" i="1"/>
  <c r="G163" i="1" s="1"/>
  <c r="H163" i="1"/>
  <c r="K163" i="1"/>
  <c r="G307" i="4" l="1"/>
  <c r="A308" i="4"/>
  <c r="B307" i="4"/>
  <c r="P307" i="4" s="1"/>
  <c r="D67" i="4"/>
  <c r="K67" i="4" s="1"/>
  <c r="H67" i="4"/>
  <c r="J67" i="4" s="1"/>
  <c r="O98" i="4"/>
  <c r="AI93" i="4"/>
  <c r="J163" i="1"/>
  <c r="AG164" i="1" s="1"/>
  <c r="AC164" i="1" s="1"/>
  <c r="E163" i="1"/>
  <c r="I164" i="1"/>
  <c r="C164" i="1"/>
  <c r="AK164" i="1"/>
  <c r="G308" i="4" l="1"/>
  <c r="B308" i="4"/>
  <c r="P308" i="4" s="1"/>
  <c r="A309" i="4"/>
  <c r="E67" i="4"/>
  <c r="AG62" i="4"/>
  <c r="AC62" i="4" s="1"/>
  <c r="I68" i="4"/>
  <c r="AK62" i="4"/>
  <c r="AN61" i="4"/>
  <c r="C68" i="4"/>
  <c r="D164" i="1"/>
  <c r="G164" i="1" s="1"/>
  <c r="H164" i="1"/>
  <c r="K164" i="1"/>
  <c r="G309" i="4" l="1"/>
  <c r="A310" i="4"/>
  <c r="B309" i="4"/>
  <c r="P309" i="4" s="1"/>
  <c r="D68" i="4"/>
  <c r="E68" i="4" s="1"/>
  <c r="H68" i="4"/>
  <c r="J68" i="4" s="1"/>
  <c r="AG63" i="4" s="1"/>
  <c r="AC63" i="4" s="1"/>
  <c r="K68" i="4"/>
  <c r="J164" i="1"/>
  <c r="AG165" i="1" s="1"/>
  <c r="AC165" i="1" s="1"/>
  <c r="E164" i="1"/>
  <c r="I165" i="1"/>
  <c r="C165" i="1"/>
  <c r="AK165" i="1"/>
  <c r="A311" i="4" l="1"/>
  <c r="B310" i="4"/>
  <c r="P310" i="4" s="1"/>
  <c r="G310" i="4"/>
  <c r="O99" i="4"/>
  <c r="AI94" i="4"/>
  <c r="AN62" i="4"/>
  <c r="C69" i="4"/>
  <c r="I69" i="4"/>
  <c r="AK63" i="4"/>
  <c r="D165" i="1"/>
  <c r="G165" i="1" s="1"/>
  <c r="H165" i="1"/>
  <c r="K165" i="1"/>
  <c r="G311" i="4" l="1"/>
  <c r="A312" i="4"/>
  <c r="B311" i="4"/>
  <c r="P311" i="4" s="1"/>
  <c r="D69" i="4"/>
  <c r="K69" i="4" s="1"/>
  <c r="H69" i="4"/>
  <c r="J69" i="4" s="1"/>
  <c r="AG64" i="4" s="1"/>
  <c r="AC64" i="4" s="1"/>
  <c r="J165" i="1"/>
  <c r="AG166" i="1" s="1"/>
  <c r="AC166" i="1" s="1"/>
  <c r="I166" i="1"/>
  <c r="C166" i="1"/>
  <c r="AK166" i="1"/>
  <c r="E165" i="1"/>
  <c r="B312" i="4" l="1"/>
  <c r="P312" i="4" s="1"/>
  <c r="G312" i="4"/>
  <c r="A313" i="4"/>
  <c r="E69" i="4"/>
  <c r="AI95" i="4"/>
  <c r="O100" i="4"/>
  <c r="AN63" i="4"/>
  <c r="C70" i="4"/>
  <c r="I70" i="4"/>
  <c r="AK64" i="4"/>
  <c r="D166" i="1"/>
  <c r="G166" i="1" s="1"/>
  <c r="H166" i="1"/>
  <c r="K166" i="1"/>
  <c r="A314" i="4" l="1"/>
  <c r="B313" i="4"/>
  <c r="P313" i="4" s="1"/>
  <c r="G313" i="4"/>
  <c r="H70" i="4"/>
  <c r="D70" i="4"/>
  <c r="E70" i="4" s="1"/>
  <c r="K70" i="4"/>
  <c r="AI96" i="4"/>
  <c r="O101" i="4"/>
  <c r="J166" i="1"/>
  <c r="AG167" i="1" s="1"/>
  <c r="AC167" i="1" s="1"/>
  <c r="I167" i="1"/>
  <c r="C167" i="1"/>
  <c r="AK167" i="1"/>
  <c r="E166" i="1"/>
  <c r="G314" i="4" l="1"/>
  <c r="A315" i="4"/>
  <c r="B314" i="4"/>
  <c r="P314" i="4" s="1"/>
  <c r="J70" i="4"/>
  <c r="AG65" i="4" s="1"/>
  <c r="AC65" i="4" s="1"/>
  <c r="I71" i="4"/>
  <c r="AK65" i="4"/>
  <c r="AN64" i="4"/>
  <c r="C71" i="4"/>
  <c r="D167" i="1"/>
  <c r="G167" i="1" s="1"/>
  <c r="H167" i="1"/>
  <c r="K167" i="1"/>
  <c r="G315" i="4" l="1"/>
  <c r="B315" i="4"/>
  <c r="P315" i="4" s="1"/>
  <c r="A316" i="4"/>
  <c r="H71" i="4"/>
  <c r="J71" i="4" s="1"/>
  <c r="AG66" i="4" s="1"/>
  <c r="AC66" i="4" s="1"/>
  <c r="D71" i="4"/>
  <c r="E71" i="4" s="1"/>
  <c r="K71" i="4"/>
  <c r="J167" i="1"/>
  <c r="AG168" i="1" s="1"/>
  <c r="AC168" i="1" s="1"/>
  <c r="I168" i="1"/>
  <c r="C168" i="1"/>
  <c r="AK168" i="1"/>
  <c r="E167" i="1"/>
  <c r="A317" i="4" l="1"/>
  <c r="B316" i="4"/>
  <c r="P316" i="4" s="1"/>
  <c r="G316" i="4"/>
  <c r="I72" i="4"/>
  <c r="AK66" i="4"/>
  <c r="AN65" i="4"/>
  <c r="C72" i="4"/>
  <c r="O102" i="4"/>
  <c r="AI97" i="4"/>
  <c r="D168" i="1"/>
  <c r="G168" i="1" s="1"/>
  <c r="H168" i="1"/>
  <c r="K168" i="1"/>
  <c r="B317" i="4" l="1"/>
  <c r="P317" i="4" s="1"/>
  <c r="A318" i="4"/>
  <c r="G317" i="4"/>
  <c r="D72" i="4"/>
  <c r="K72" i="4" s="1"/>
  <c r="H72" i="4"/>
  <c r="J72" i="4" s="1"/>
  <c r="AG67" i="4" s="1"/>
  <c r="AC67" i="4" s="1"/>
  <c r="J168" i="1"/>
  <c r="AG169" i="1" s="1"/>
  <c r="AC169" i="1" s="1"/>
  <c r="I169" i="1"/>
  <c r="C169" i="1"/>
  <c r="AK169" i="1"/>
  <c r="E168" i="1"/>
  <c r="G318" i="4" l="1"/>
  <c r="A319" i="4"/>
  <c r="B318" i="4"/>
  <c r="P318" i="4" s="1"/>
  <c r="E72" i="4"/>
  <c r="AI98" i="4"/>
  <c r="O103" i="4"/>
  <c r="AN66" i="4"/>
  <c r="C73" i="4"/>
  <c r="I73" i="4"/>
  <c r="AK67" i="4"/>
  <c r="D169" i="1"/>
  <c r="G169" i="1" s="1"/>
  <c r="H169" i="1"/>
  <c r="K169" i="1"/>
  <c r="A320" i="4" l="1"/>
  <c r="B319" i="4"/>
  <c r="P319" i="4" s="1"/>
  <c r="G319" i="4"/>
  <c r="H73" i="4"/>
  <c r="D73" i="4"/>
  <c r="K73" i="4" s="1"/>
  <c r="O104" i="4"/>
  <c r="AI99" i="4"/>
  <c r="J169" i="1"/>
  <c r="AG170" i="1" s="1"/>
  <c r="AC170" i="1" s="1"/>
  <c r="I170" i="1"/>
  <c r="C170" i="1"/>
  <c r="AK170" i="1"/>
  <c r="E169" i="1"/>
  <c r="B320" i="4" l="1"/>
  <c r="P320" i="4" s="1"/>
  <c r="A321" i="4"/>
  <c r="G320" i="4"/>
  <c r="E73" i="4"/>
  <c r="J73" i="4"/>
  <c r="AG68" i="4" s="1"/>
  <c r="AC68" i="4" s="1"/>
  <c r="AN67" i="4"/>
  <c r="C74" i="4"/>
  <c r="I74" i="4"/>
  <c r="AK68" i="4"/>
  <c r="D170" i="1"/>
  <c r="G170" i="1" s="1"/>
  <c r="H170" i="1"/>
  <c r="K170" i="1"/>
  <c r="B321" i="4" l="1"/>
  <c r="P321" i="4" s="1"/>
  <c r="G321" i="4"/>
  <c r="A322" i="4"/>
  <c r="H74" i="4"/>
  <c r="J74" i="4" s="1"/>
  <c r="D74" i="4"/>
  <c r="E74" i="4" s="1"/>
  <c r="K74" i="4"/>
  <c r="J170" i="1"/>
  <c r="AG171" i="1" s="1"/>
  <c r="AC171" i="1" s="1"/>
  <c r="I171" i="1"/>
  <c r="C171" i="1"/>
  <c r="AK171" i="1"/>
  <c r="E170" i="1"/>
  <c r="B322" i="4" l="1"/>
  <c r="P322" i="4" s="1"/>
  <c r="A323" i="4"/>
  <c r="G322" i="4"/>
  <c r="AG69" i="4"/>
  <c r="AC69" i="4" s="1"/>
  <c r="I75" i="4"/>
  <c r="AK69" i="4"/>
  <c r="AN68" i="4"/>
  <c r="C75" i="4"/>
  <c r="O105" i="4"/>
  <c r="AI100" i="4"/>
  <c r="D171" i="1"/>
  <c r="G171" i="1" s="1"/>
  <c r="H171" i="1"/>
  <c r="K171" i="1"/>
  <c r="A324" i="4" l="1"/>
  <c r="G323" i="4"/>
  <c r="B323" i="4"/>
  <c r="P323" i="4" s="1"/>
  <c r="D75" i="4"/>
  <c r="E75" i="4" s="1"/>
  <c r="H75" i="4"/>
  <c r="J75" i="4" s="1"/>
  <c r="AG70" i="4" s="1"/>
  <c r="AC70" i="4" s="1"/>
  <c r="K75" i="4"/>
  <c r="J171" i="1"/>
  <c r="AG172" i="1" s="1"/>
  <c r="AC172" i="1" s="1"/>
  <c r="I172" i="1"/>
  <c r="C172" i="1"/>
  <c r="AK172" i="1"/>
  <c r="E171" i="1"/>
  <c r="G324" i="4" l="1"/>
  <c r="B324" i="4"/>
  <c r="P324" i="4" s="1"/>
  <c r="A325" i="4"/>
  <c r="AI101" i="4"/>
  <c r="O106" i="4"/>
  <c r="I76" i="4"/>
  <c r="AK70" i="4"/>
  <c r="AN69" i="4"/>
  <c r="C76" i="4"/>
  <c r="D172" i="1"/>
  <c r="G172" i="1" s="1"/>
  <c r="H172" i="1"/>
  <c r="K172" i="1"/>
  <c r="G325" i="4" l="1"/>
  <c r="A326" i="4"/>
  <c r="B325" i="4"/>
  <c r="P325" i="4" s="1"/>
  <c r="D76" i="4"/>
  <c r="E76" i="4" s="1"/>
  <c r="H76" i="4"/>
  <c r="K76" i="4"/>
  <c r="AI102" i="4"/>
  <c r="O107" i="4"/>
  <c r="J172" i="1"/>
  <c r="AG173" i="1" s="1"/>
  <c r="AC173" i="1" s="1"/>
  <c r="I173" i="1"/>
  <c r="C173" i="1"/>
  <c r="AK173" i="1"/>
  <c r="E172" i="1"/>
  <c r="A327" i="4" l="1"/>
  <c r="G326" i="4"/>
  <c r="B326" i="4"/>
  <c r="P326" i="4" s="1"/>
  <c r="J76" i="4"/>
  <c r="AG71" i="4" s="1"/>
  <c r="AC71" i="4" s="1"/>
  <c r="AN70" i="4"/>
  <c r="C77" i="4"/>
  <c r="I77" i="4"/>
  <c r="AK71" i="4"/>
  <c r="D173" i="1"/>
  <c r="G173" i="1" s="1"/>
  <c r="H173" i="1"/>
  <c r="K173" i="1"/>
  <c r="B327" i="4" l="1"/>
  <c r="P327" i="4" s="1"/>
  <c r="G327" i="4"/>
  <c r="A328" i="4"/>
  <c r="D77" i="4"/>
  <c r="K77" i="4" s="1"/>
  <c r="H77" i="4"/>
  <c r="J77" i="4" s="1"/>
  <c r="AG72" i="4" s="1"/>
  <c r="AC72" i="4" s="1"/>
  <c r="J173" i="1"/>
  <c r="AG174" i="1" s="1"/>
  <c r="AC174" i="1" s="1"/>
  <c r="I174" i="1"/>
  <c r="C174" i="1"/>
  <c r="AK174" i="1"/>
  <c r="E173" i="1"/>
  <c r="G328" i="4" l="1"/>
  <c r="B328" i="4"/>
  <c r="P328" i="4" s="1"/>
  <c r="A329" i="4"/>
  <c r="E77" i="4"/>
  <c r="O108" i="4"/>
  <c r="AI103" i="4"/>
  <c r="AN71" i="4"/>
  <c r="C78" i="4"/>
  <c r="I78" i="4"/>
  <c r="AK72" i="4"/>
  <c r="D174" i="1"/>
  <c r="G174" i="1" s="1"/>
  <c r="H174" i="1"/>
  <c r="K174" i="1"/>
  <c r="B329" i="4" l="1"/>
  <c r="P329" i="4" s="1"/>
  <c r="A330" i="4"/>
  <c r="G329" i="4"/>
  <c r="H78" i="4"/>
  <c r="D78" i="4"/>
  <c r="E78" i="4" s="1"/>
  <c r="K78" i="4"/>
  <c r="O109" i="4"/>
  <c r="AI104" i="4"/>
  <c r="J174" i="1"/>
  <c r="AG175" i="1" s="1"/>
  <c r="AC175" i="1" s="1"/>
  <c r="I175" i="1"/>
  <c r="C175" i="1"/>
  <c r="AK175" i="1"/>
  <c r="E174" i="1"/>
  <c r="B330" i="4" l="1"/>
  <c r="P330" i="4" s="1"/>
  <c r="G330" i="4"/>
  <c r="A331" i="4"/>
  <c r="J78" i="4"/>
  <c r="AG73" i="4" s="1"/>
  <c r="AC73" i="4" s="1"/>
  <c r="I79" i="4"/>
  <c r="AK73" i="4"/>
  <c r="AN72" i="4"/>
  <c r="C79" i="4"/>
  <c r="D175" i="1"/>
  <c r="G175" i="1" s="1"/>
  <c r="H175" i="1"/>
  <c r="K175" i="1"/>
  <c r="G331" i="4" l="1"/>
  <c r="B331" i="4"/>
  <c r="P331" i="4" s="1"/>
  <c r="A332" i="4"/>
  <c r="H79" i="4"/>
  <c r="D79" i="4"/>
  <c r="E79" i="4" s="1"/>
  <c r="K79" i="4"/>
  <c r="O110" i="4"/>
  <c r="AI105" i="4"/>
  <c r="J175" i="1"/>
  <c r="AG176" i="1" s="1"/>
  <c r="AC176" i="1" s="1"/>
  <c r="E175" i="1"/>
  <c r="I176" i="1"/>
  <c r="C176" i="1"/>
  <c r="AK176" i="1"/>
  <c r="G332" i="4" l="1"/>
  <c r="A333" i="4"/>
  <c r="B332" i="4"/>
  <c r="P332" i="4" s="1"/>
  <c r="J79" i="4"/>
  <c r="AG74" i="4" s="1"/>
  <c r="AC74" i="4" s="1"/>
  <c r="AN73" i="4"/>
  <c r="C80" i="4"/>
  <c r="I80" i="4"/>
  <c r="AK74" i="4"/>
  <c r="D176" i="1"/>
  <c r="G176" i="1" s="1"/>
  <c r="H176" i="1"/>
  <c r="K176" i="1"/>
  <c r="G333" i="4" l="1"/>
  <c r="B333" i="4"/>
  <c r="P333" i="4" s="1"/>
  <c r="A334" i="4"/>
  <c r="D80" i="4"/>
  <c r="E80" i="4" s="1"/>
  <c r="H80" i="4"/>
  <c r="J80" i="4" s="1"/>
  <c r="K80" i="4"/>
  <c r="O111" i="4"/>
  <c r="AI106" i="4"/>
  <c r="J176" i="1"/>
  <c r="AG177" i="1" s="1"/>
  <c r="AC177" i="1" s="1"/>
  <c r="I177" i="1"/>
  <c r="C177" i="1"/>
  <c r="AK177" i="1"/>
  <c r="E176" i="1"/>
  <c r="G334" i="4" l="1"/>
  <c r="A335" i="4"/>
  <c r="B334" i="4"/>
  <c r="P334" i="4" s="1"/>
  <c r="AG75" i="4"/>
  <c r="AC75" i="4" s="1"/>
  <c r="I81" i="4"/>
  <c r="AK75" i="4"/>
  <c r="AN74" i="4"/>
  <c r="C81" i="4"/>
  <c r="D177" i="1"/>
  <c r="G177" i="1" s="1"/>
  <c r="H177" i="1"/>
  <c r="K177" i="1"/>
  <c r="G335" i="4" l="1"/>
  <c r="B335" i="4"/>
  <c r="P335" i="4" s="1"/>
  <c r="A336" i="4"/>
  <c r="H81" i="4"/>
  <c r="D81" i="4"/>
  <c r="E81" i="4" s="1"/>
  <c r="K81" i="4"/>
  <c r="O112" i="4"/>
  <c r="AI107" i="4"/>
  <c r="J177" i="1"/>
  <c r="AG178" i="1" s="1"/>
  <c r="AC178" i="1" s="1"/>
  <c r="I178" i="1"/>
  <c r="C178" i="1"/>
  <c r="AK178" i="1"/>
  <c r="E177" i="1"/>
  <c r="G336" i="4" l="1"/>
  <c r="A337" i="4"/>
  <c r="B336" i="4"/>
  <c r="P336" i="4" s="1"/>
  <c r="J81" i="4"/>
  <c r="AG76" i="4" s="1"/>
  <c r="AC76" i="4" s="1"/>
  <c r="I82" i="4"/>
  <c r="AK76" i="4"/>
  <c r="AN75" i="4"/>
  <c r="C82" i="4"/>
  <c r="D178" i="1"/>
  <c r="G178" i="1" s="1"/>
  <c r="H178" i="1"/>
  <c r="K178" i="1"/>
  <c r="G337" i="4" l="1"/>
  <c r="A338" i="4"/>
  <c r="B337" i="4"/>
  <c r="P337" i="4" s="1"/>
  <c r="D82" i="4"/>
  <c r="E82" i="4" s="1"/>
  <c r="H82" i="4"/>
  <c r="K82" i="4"/>
  <c r="O113" i="4"/>
  <c r="AI108" i="4"/>
  <c r="J178" i="1"/>
  <c r="AG179" i="1" s="1"/>
  <c r="AC179" i="1" s="1"/>
  <c r="C179" i="1"/>
  <c r="I179" i="1"/>
  <c r="AK179" i="1"/>
  <c r="E178" i="1"/>
  <c r="G338" i="4" l="1"/>
  <c r="A339" i="4"/>
  <c r="B338" i="4"/>
  <c r="P338" i="4" s="1"/>
  <c r="J82" i="4"/>
  <c r="AG77" i="4" s="1"/>
  <c r="AC77" i="4" s="1"/>
  <c r="AN76" i="4"/>
  <c r="C83" i="4"/>
  <c r="I83" i="4"/>
  <c r="AK77" i="4"/>
  <c r="D179" i="1"/>
  <c r="G179" i="1" s="1"/>
  <c r="H179" i="1"/>
  <c r="K179" i="1"/>
  <c r="G339" i="4" l="1"/>
  <c r="B339" i="4"/>
  <c r="P339" i="4" s="1"/>
  <c r="A340" i="4"/>
  <c r="D83" i="4"/>
  <c r="K83" i="4" s="1"/>
  <c r="H83" i="4"/>
  <c r="J83" i="4" s="1"/>
  <c r="AI109" i="4"/>
  <c r="O114" i="4"/>
  <c r="J179" i="1"/>
  <c r="AG180" i="1" s="1"/>
  <c r="AC180" i="1" s="1"/>
  <c r="I180" i="1"/>
  <c r="C180" i="1"/>
  <c r="AK180" i="1"/>
  <c r="E179" i="1"/>
  <c r="G340" i="4" l="1"/>
  <c r="B340" i="4"/>
  <c r="P340" i="4" s="1"/>
  <c r="A341" i="4"/>
  <c r="E83" i="4"/>
  <c r="AG78" i="4"/>
  <c r="AC78" i="4" s="1"/>
  <c r="AN77" i="4"/>
  <c r="C84" i="4"/>
  <c r="I84" i="4"/>
  <c r="AK78" i="4"/>
  <c r="D180" i="1"/>
  <c r="G180" i="1" s="1"/>
  <c r="H180" i="1"/>
  <c r="K180" i="1"/>
  <c r="G341" i="4" l="1"/>
  <c r="B341" i="4"/>
  <c r="P341" i="4" s="1"/>
  <c r="A342" i="4"/>
  <c r="D84" i="4"/>
  <c r="E84" i="4" s="1"/>
  <c r="H84" i="4"/>
  <c r="K84" i="4"/>
  <c r="AI110" i="4"/>
  <c r="O115" i="4"/>
  <c r="J180" i="1"/>
  <c r="AG181" i="1" s="1"/>
  <c r="AC181" i="1" s="1"/>
  <c r="E180" i="1"/>
  <c r="I181" i="1"/>
  <c r="C181" i="1"/>
  <c r="AK181" i="1"/>
  <c r="G342" i="4" l="1"/>
  <c r="A343" i="4"/>
  <c r="B342" i="4"/>
  <c r="P342" i="4" s="1"/>
  <c r="J84" i="4"/>
  <c r="AG79" i="4" s="1"/>
  <c r="AC79" i="4" s="1"/>
  <c r="AN78" i="4"/>
  <c r="C85" i="4"/>
  <c r="I85" i="4"/>
  <c r="AK79" i="4"/>
  <c r="D181" i="1"/>
  <c r="G181" i="1" s="1"/>
  <c r="H181" i="1"/>
  <c r="K181" i="1"/>
  <c r="G343" i="4" l="1"/>
  <c r="B343" i="4"/>
  <c r="P343" i="4" s="1"/>
  <c r="A344" i="4"/>
  <c r="D85" i="4"/>
  <c r="E85" i="4" s="1"/>
  <c r="H85" i="4"/>
  <c r="K85" i="4"/>
  <c r="AI111" i="4"/>
  <c r="O116" i="4"/>
  <c r="J181" i="1"/>
  <c r="AG182" i="1" s="1"/>
  <c r="AC182" i="1" s="1"/>
  <c r="I182" i="1"/>
  <c r="C182" i="1"/>
  <c r="AK182" i="1"/>
  <c r="E181" i="1"/>
  <c r="G344" i="4" l="1"/>
  <c r="B344" i="4"/>
  <c r="P344" i="4" s="1"/>
  <c r="A345" i="4"/>
  <c r="J85" i="4"/>
  <c r="AG80" i="4" s="1"/>
  <c r="AC80" i="4" s="1"/>
  <c r="I86" i="4"/>
  <c r="AK80" i="4"/>
  <c r="AN79" i="4"/>
  <c r="C86" i="4"/>
  <c r="D182" i="1"/>
  <c r="G182" i="1" s="1"/>
  <c r="H182" i="1"/>
  <c r="K182" i="1"/>
  <c r="G345" i="4" l="1"/>
  <c r="B345" i="4"/>
  <c r="P345" i="4" s="1"/>
  <c r="A346" i="4"/>
  <c r="H86" i="4"/>
  <c r="J86" i="4" s="1"/>
  <c r="AG81" i="4" s="1"/>
  <c r="AC81" i="4" s="1"/>
  <c r="D86" i="4"/>
  <c r="K86" i="4" s="1"/>
  <c r="J182" i="1"/>
  <c r="AG183" i="1" s="1"/>
  <c r="AC183" i="1" s="1"/>
  <c r="I183" i="1"/>
  <c r="C183" i="1"/>
  <c r="AK183" i="1"/>
  <c r="E182" i="1"/>
  <c r="G346" i="4" l="1"/>
  <c r="A347" i="4"/>
  <c r="B346" i="4"/>
  <c r="P346" i="4" s="1"/>
  <c r="E86" i="4"/>
  <c r="O117" i="4"/>
  <c r="AI112" i="4"/>
  <c r="AN80" i="4"/>
  <c r="C87" i="4"/>
  <c r="I87" i="4"/>
  <c r="AK81" i="4"/>
  <c r="D183" i="1"/>
  <c r="G183" i="1" s="1"/>
  <c r="H183" i="1"/>
  <c r="K183" i="1"/>
  <c r="G347" i="4" l="1"/>
  <c r="A348" i="4"/>
  <c r="B347" i="4"/>
  <c r="P347" i="4" s="1"/>
  <c r="H87" i="4"/>
  <c r="J87" i="4" s="1"/>
  <c r="D87" i="4"/>
  <c r="K87" i="4" s="1"/>
  <c r="O118" i="4"/>
  <c r="AI113" i="4"/>
  <c r="J183" i="1"/>
  <c r="AG184" i="1" s="1"/>
  <c r="AC184" i="1" s="1"/>
  <c r="E183" i="1"/>
  <c r="I184" i="1"/>
  <c r="C184" i="1"/>
  <c r="AK184" i="1"/>
  <c r="G348" i="4" l="1"/>
  <c r="A349" i="4"/>
  <c r="B348" i="4"/>
  <c r="P348" i="4" s="1"/>
  <c r="E87" i="4"/>
  <c r="AG82" i="4"/>
  <c r="AC82" i="4" s="1"/>
  <c r="AN81" i="4"/>
  <c r="C88" i="4"/>
  <c r="I88" i="4"/>
  <c r="AK82" i="4"/>
  <c r="D184" i="1"/>
  <c r="G184" i="1" s="1"/>
  <c r="H184" i="1"/>
  <c r="K184" i="1"/>
  <c r="A350" i="4" l="1"/>
  <c r="B349" i="4"/>
  <c r="P349" i="4" s="1"/>
  <c r="G349" i="4"/>
  <c r="H88" i="4"/>
  <c r="D88" i="4"/>
  <c r="K88" i="4" s="1"/>
  <c r="O119" i="4"/>
  <c r="AI114" i="4"/>
  <c r="J184" i="1"/>
  <c r="AG185" i="1" s="1"/>
  <c r="AC185" i="1" s="1"/>
  <c r="I185" i="1"/>
  <c r="C185" i="1"/>
  <c r="AK185" i="1"/>
  <c r="E184" i="1"/>
  <c r="A351" i="4" l="1"/>
  <c r="G350" i="4"/>
  <c r="B350" i="4"/>
  <c r="P350" i="4" s="1"/>
  <c r="E88" i="4"/>
  <c r="J88" i="4"/>
  <c r="AG83" i="4" s="1"/>
  <c r="AC83" i="4" s="1"/>
  <c r="AN82" i="4"/>
  <c r="C89" i="4"/>
  <c r="I89" i="4"/>
  <c r="AK83" i="4"/>
  <c r="D185" i="1"/>
  <c r="G185" i="1" s="1"/>
  <c r="H185" i="1"/>
  <c r="K185" i="1"/>
  <c r="B351" i="4" l="1"/>
  <c r="P351" i="4" s="1"/>
  <c r="A352" i="4"/>
  <c r="G351" i="4"/>
  <c r="H89" i="4"/>
  <c r="J89" i="4" s="1"/>
  <c r="D89" i="4"/>
  <c r="K89" i="4" s="1"/>
  <c r="O120" i="4"/>
  <c r="AI115" i="4"/>
  <c r="J185" i="1"/>
  <c r="AG186" i="1" s="1"/>
  <c r="AC186" i="1" s="1"/>
  <c r="E185" i="1"/>
  <c r="I186" i="1"/>
  <c r="C186" i="1"/>
  <c r="AK186" i="1"/>
  <c r="B352" i="4" l="1"/>
  <c r="P352" i="4" s="1"/>
  <c r="G352" i="4"/>
  <c r="A353" i="4"/>
  <c r="E89" i="4"/>
  <c r="AG84" i="4"/>
  <c r="AC84" i="4" s="1"/>
  <c r="AN83" i="4"/>
  <c r="C90" i="4"/>
  <c r="I90" i="4"/>
  <c r="AK84" i="4"/>
  <c r="D186" i="1"/>
  <c r="G186" i="1" s="1"/>
  <c r="H186" i="1"/>
  <c r="K186" i="1"/>
  <c r="G353" i="4" l="1"/>
  <c r="A354" i="4"/>
  <c r="B353" i="4"/>
  <c r="P353" i="4" s="1"/>
  <c r="D90" i="4"/>
  <c r="K90" i="4" s="1"/>
  <c r="H90" i="4"/>
  <c r="AI116" i="4"/>
  <c r="O121" i="4"/>
  <c r="J186" i="1"/>
  <c r="AG187" i="1" s="1"/>
  <c r="AC187" i="1" s="1"/>
  <c r="I187" i="1"/>
  <c r="C187" i="1"/>
  <c r="AK187" i="1"/>
  <c r="E186" i="1"/>
  <c r="B354" i="4" l="1"/>
  <c r="P354" i="4" s="1"/>
  <c r="A355" i="4"/>
  <c r="G354" i="4"/>
  <c r="E90" i="4"/>
  <c r="J90" i="4"/>
  <c r="AG85" i="4" s="1"/>
  <c r="AC85" i="4" s="1"/>
  <c r="AN84" i="4"/>
  <c r="C91" i="4"/>
  <c r="I91" i="4"/>
  <c r="AK85" i="4"/>
  <c r="D187" i="1"/>
  <c r="G187" i="1" s="1"/>
  <c r="H187" i="1"/>
  <c r="K187" i="1"/>
  <c r="B355" i="4" l="1"/>
  <c r="P355" i="4" s="1"/>
  <c r="G355" i="4"/>
  <c r="A356" i="4"/>
  <c r="D91" i="4"/>
  <c r="K91" i="4" s="1"/>
  <c r="H91" i="4"/>
  <c r="O122" i="4"/>
  <c r="AI117" i="4"/>
  <c r="J187" i="1"/>
  <c r="AG188" i="1" s="1"/>
  <c r="AC188" i="1" s="1"/>
  <c r="E187" i="1"/>
  <c r="I188" i="1"/>
  <c r="C188" i="1"/>
  <c r="AK188" i="1"/>
  <c r="B356" i="4" l="1"/>
  <c r="P356" i="4" s="1"/>
  <c r="A357" i="4"/>
  <c r="G356" i="4"/>
  <c r="E91" i="4"/>
  <c r="J91" i="4"/>
  <c r="AG86" i="4" s="1"/>
  <c r="AC86" i="4" s="1"/>
  <c r="I92" i="4"/>
  <c r="AK86" i="4"/>
  <c r="AN85" i="4"/>
  <c r="C92" i="4"/>
  <c r="D188" i="1"/>
  <c r="G188" i="1" s="1"/>
  <c r="H188" i="1"/>
  <c r="K188" i="1"/>
  <c r="G357" i="4" l="1"/>
  <c r="A358" i="4"/>
  <c r="B357" i="4"/>
  <c r="P357" i="4" s="1"/>
  <c r="H92" i="4"/>
  <c r="D92" i="4"/>
  <c r="K92" i="4" s="1"/>
  <c r="O123" i="4"/>
  <c r="AI118" i="4"/>
  <c r="J188" i="1"/>
  <c r="AG189" i="1" s="1"/>
  <c r="AC189" i="1" s="1"/>
  <c r="I189" i="1"/>
  <c r="C189" i="1"/>
  <c r="AK189" i="1"/>
  <c r="E188" i="1"/>
  <c r="A359" i="4" l="1"/>
  <c r="B358" i="4"/>
  <c r="P358" i="4" s="1"/>
  <c r="G358" i="4"/>
  <c r="E92" i="4"/>
  <c r="J92" i="4"/>
  <c r="AG87" i="4" s="1"/>
  <c r="AC87" i="4" s="1"/>
  <c r="I93" i="4"/>
  <c r="AK87" i="4"/>
  <c r="AN86" i="4"/>
  <c r="C93" i="4"/>
  <c r="D189" i="1"/>
  <c r="G189" i="1" s="1"/>
  <c r="H189" i="1"/>
  <c r="K189" i="1"/>
  <c r="A360" i="4" l="1"/>
  <c r="G359" i="4"/>
  <c r="B359" i="4"/>
  <c r="P359" i="4" s="1"/>
  <c r="H93" i="4"/>
  <c r="J93" i="4" s="1"/>
  <c r="D93" i="4"/>
  <c r="E93" i="4" s="1"/>
  <c r="K93" i="4"/>
  <c r="J189" i="1"/>
  <c r="AG190" i="1" s="1"/>
  <c r="AC190" i="1" s="1"/>
  <c r="E189" i="1"/>
  <c r="I190" i="1"/>
  <c r="C190" i="1"/>
  <c r="AK190" i="1"/>
  <c r="A361" i="4" l="1"/>
  <c r="B360" i="4"/>
  <c r="P360" i="4" s="1"/>
  <c r="G360" i="4"/>
  <c r="AG88" i="4"/>
  <c r="AC88" i="4" s="1"/>
  <c r="AN87" i="4"/>
  <c r="C94" i="4"/>
  <c r="I94" i="4"/>
  <c r="AK88" i="4"/>
  <c r="AI119" i="4"/>
  <c r="O124" i="4"/>
  <c r="D190" i="1"/>
  <c r="G190" i="1" s="1"/>
  <c r="H190" i="1"/>
  <c r="K190" i="1"/>
  <c r="G361" i="4" l="1"/>
  <c r="A362" i="4"/>
  <c r="B361" i="4"/>
  <c r="P361" i="4" s="1"/>
  <c r="D94" i="4"/>
  <c r="K94" i="4" s="1"/>
  <c r="H94" i="4"/>
  <c r="AI120" i="4"/>
  <c r="O125" i="4"/>
  <c r="J190" i="1"/>
  <c r="AG191" i="1" s="1"/>
  <c r="AC191" i="1" s="1"/>
  <c r="I191" i="1"/>
  <c r="C191" i="1"/>
  <c r="AK191" i="1"/>
  <c r="E190" i="1"/>
  <c r="A363" i="4" l="1"/>
  <c r="G362" i="4"/>
  <c r="B362" i="4"/>
  <c r="P362" i="4" s="1"/>
  <c r="E94" i="4"/>
  <c r="J94" i="4"/>
  <c r="AG89" i="4" s="1"/>
  <c r="AC89" i="4" s="1"/>
  <c r="I95" i="4"/>
  <c r="AK89" i="4"/>
  <c r="AN88" i="4"/>
  <c r="C95" i="4"/>
  <c r="D191" i="1"/>
  <c r="G191" i="1" s="1"/>
  <c r="H191" i="1"/>
  <c r="K191" i="1"/>
  <c r="A364" i="4" l="1"/>
  <c r="G363" i="4"/>
  <c r="B363" i="4"/>
  <c r="P363" i="4" s="1"/>
  <c r="H95" i="4"/>
  <c r="D95" i="4"/>
  <c r="K95" i="4" s="1"/>
  <c r="O126" i="4"/>
  <c r="AI121" i="4"/>
  <c r="J191" i="1"/>
  <c r="AG192" i="1" s="1"/>
  <c r="AC192" i="1" s="1"/>
  <c r="E191" i="1"/>
  <c r="I192" i="1"/>
  <c r="C192" i="1"/>
  <c r="AK192" i="1"/>
  <c r="A365" i="4" l="1"/>
  <c r="B364" i="4"/>
  <c r="P364" i="4" s="1"/>
  <c r="G364" i="4"/>
  <c r="E95" i="4"/>
  <c r="J95" i="4"/>
  <c r="AG90" i="4" s="1"/>
  <c r="AC90" i="4" s="1"/>
  <c r="AN89" i="4"/>
  <c r="C96" i="4"/>
  <c r="I96" i="4"/>
  <c r="AK90" i="4"/>
  <c r="D192" i="1"/>
  <c r="G192" i="1" s="1"/>
  <c r="H192" i="1"/>
  <c r="K192" i="1"/>
  <c r="G365" i="4" l="1"/>
  <c r="A366" i="4"/>
  <c r="B365" i="4"/>
  <c r="P365" i="4" s="1"/>
  <c r="H96" i="4"/>
  <c r="D96" i="4"/>
  <c r="E96" i="4" s="1"/>
  <c r="K96" i="4"/>
  <c r="O127" i="4"/>
  <c r="AI122" i="4"/>
  <c r="J192" i="1"/>
  <c r="AG193" i="1" s="1"/>
  <c r="AC193" i="1" s="1"/>
  <c r="E192" i="1"/>
  <c r="I193" i="1"/>
  <c r="C193" i="1"/>
  <c r="AK193" i="1"/>
  <c r="A367" i="4" l="1"/>
  <c r="G366" i="4"/>
  <c r="B366" i="4"/>
  <c r="P366" i="4" s="1"/>
  <c r="J96" i="4"/>
  <c r="AG91" i="4" s="1"/>
  <c r="AC91" i="4" s="1"/>
  <c r="AN90" i="4"/>
  <c r="C97" i="4"/>
  <c r="I97" i="4"/>
  <c r="AK91" i="4"/>
  <c r="D193" i="1"/>
  <c r="G193" i="1" s="1"/>
  <c r="H193" i="1"/>
  <c r="K193" i="1"/>
  <c r="A368" i="4" l="1"/>
  <c r="B367" i="4"/>
  <c r="P367" i="4" s="1"/>
  <c r="G367" i="4"/>
  <c r="D97" i="4"/>
  <c r="E97" i="4" s="1"/>
  <c r="H97" i="4"/>
  <c r="J97" i="4" s="1"/>
  <c r="K97" i="4"/>
  <c r="O128" i="4"/>
  <c r="AI123" i="4"/>
  <c r="J193" i="1"/>
  <c r="AG194" i="1" s="1"/>
  <c r="AC194" i="1" s="1"/>
  <c r="E193" i="1"/>
  <c r="I194" i="1"/>
  <c r="C194" i="1"/>
  <c r="AK194" i="1"/>
  <c r="A369" i="4" l="1"/>
  <c r="G368" i="4"/>
  <c r="B368" i="4"/>
  <c r="P368" i="4" s="1"/>
  <c r="AG92" i="4"/>
  <c r="AC92" i="4" s="1"/>
  <c r="AN91" i="4"/>
  <c r="C98" i="4"/>
  <c r="I98" i="4"/>
  <c r="AK92" i="4"/>
  <c r="D194" i="1"/>
  <c r="G194" i="1" s="1"/>
  <c r="H194" i="1"/>
  <c r="K194" i="1"/>
  <c r="G369" i="4" l="1"/>
  <c r="A370" i="4"/>
  <c r="B369" i="4"/>
  <c r="P369" i="4" s="1"/>
  <c r="H98" i="4"/>
  <c r="D98" i="4"/>
  <c r="K98" i="4" s="1"/>
  <c r="AI124" i="4"/>
  <c r="O129" i="4"/>
  <c r="J194" i="1"/>
  <c r="AG195" i="1" s="1"/>
  <c r="AC195" i="1" s="1"/>
  <c r="I195" i="1"/>
  <c r="C195" i="1"/>
  <c r="AK195" i="1"/>
  <c r="E194" i="1"/>
  <c r="A371" i="4" l="1"/>
  <c r="B370" i="4"/>
  <c r="P370" i="4" s="1"/>
  <c r="G370" i="4"/>
  <c r="E98" i="4"/>
  <c r="J98" i="4"/>
  <c r="AG93" i="4" s="1"/>
  <c r="AC93" i="4" s="1"/>
  <c r="AN92" i="4"/>
  <c r="C99" i="4"/>
  <c r="I99" i="4"/>
  <c r="AK93" i="4"/>
  <c r="D195" i="1"/>
  <c r="G195" i="1" s="1"/>
  <c r="H195" i="1"/>
  <c r="K195" i="1"/>
  <c r="B371" i="4" l="1"/>
  <c r="P371" i="4" s="1"/>
  <c r="A372" i="4"/>
  <c r="G371" i="4"/>
  <c r="H99" i="4"/>
  <c r="D99" i="4"/>
  <c r="E99" i="4" s="1"/>
  <c r="K99" i="4"/>
  <c r="O130" i="4"/>
  <c r="AI125" i="4"/>
  <c r="J195" i="1"/>
  <c r="AG196" i="1" s="1"/>
  <c r="AC196" i="1" s="1"/>
  <c r="I196" i="1"/>
  <c r="C196" i="1"/>
  <c r="AK196" i="1"/>
  <c r="E195" i="1"/>
  <c r="A373" i="4" l="1"/>
  <c r="G372" i="4"/>
  <c r="B372" i="4"/>
  <c r="P372" i="4" s="1"/>
  <c r="J99" i="4"/>
  <c r="AG94" i="4" s="1"/>
  <c r="AC94" i="4" s="1"/>
  <c r="I100" i="4"/>
  <c r="AK94" i="4"/>
  <c r="AN93" i="4"/>
  <c r="C100" i="4"/>
  <c r="D196" i="1"/>
  <c r="G196" i="1" s="1"/>
  <c r="H196" i="1"/>
  <c r="K196" i="1"/>
  <c r="G373" i="4" l="1"/>
  <c r="B373" i="4"/>
  <c r="P373" i="4" s="1"/>
  <c r="A374" i="4"/>
  <c r="D100" i="4"/>
  <c r="K100" i="4" s="1"/>
  <c r="H100" i="4"/>
  <c r="O131" i="4"/>
  <c r="AI126" i="4"/>
  <c r="J196" i="1"/>
  <c r="AG197" i="1" s="1"/>
  <c r="AC197" i="1" s="1"/>
  <c r="E196" i="1"/>
  <c r="I197" i="1"/>
  <c r="C197" i="1"/>
  <c r="AK197" i="1"/>
  <c r="A375" i="4" l="1"/>
  <c r="G374" i="4"/>
  <c r="B374" i="4"/>
  <c r="P374" i="4" s="1"/>
  <c r="E100" i="4"/>
  <c r="J100" i="4"/>
  <c r="AG95" i="4" s="1"/>
  <c r="AC95" i="4" s="1"/>
  <c r="I101" i="4"/>
  <c r="AK95" i="4"/>
  <c r="AN94" i="4"/>
  <c r="C101" i="4"/>
  <c r="D197" i="1"/>
  <c r="G197" i="1" s="1"/>
  <c r="H197" i="1"/>
  <c r="K197" i="1"/>
  <c r="B375" i="4" l="1"/>
  <c r="P375" i="4" s="1"/>
  <c r="A376" i="4"/>
  <c r="G375" i="4"/>
  <c r="D101" i="4"/>
  <c r="K101" i="4" s="1"/>
  <c r="H101" i="4"/>
  <c r="J101" i="4" s="1"/>
  <c r="O132" i="4"/>
  <c r="AI127" i="4"/>
  <c r="J197" i="1"/>
  <c r="AG198" i="1" s="1"/>
  <c r="AC198" i="1" s="1"/>
  <c r="I198" i="1"/>
  <c r="C198" i="1"/>
  <c r="AK198" i="1"/>
  <c r="E197" i="1"/>
  <c r="B376" i="4" l="1"/>
  <c r="P376" i="4" s="1"/>
  <c r="G376" i="4"/>
  <c r="A377" i="4"/>
  <c r="E101" i="4"/>
  <c r="AG96" i="4"/>
  <c r="AC96" i="4" s="1"/>
  <c r="I102" i="4"/>
  <c r="AK96" i="4"/>
  <c r="AN95" i="4"/>
  <c r="C102" i="4"/>
  <c r="D198" i="1"/>
  <c r="G198" i="1" s="1"/>
  <c r="H198" i="1"/>
  <c r="K198" i="1"/>
  <c r="G377" i="4" l="1"/>
  <c r="A378" i="4"/>
  <c r="B377" i="4"/>
  <c r="P377" i="4" s="1"/>
  <c r="H102" i="4"/>
  <c r="D102" i="4"/>
  <c r="E102" i="4" s="1"/>
  <c r="K102" i="4"/>
  <c r="J198" i="1"/>
  <c r="AG199" i="1" s="1"/>
  <c r="AC199" i="1" s="1"/>
  <c r="I199" i="1"/>
  <c r="C199" i="1"/>
  <c r="AK199" i="1"/>
  <c r="E198" i="1"/>
  <c r="G378" i="4" l="1"/>
  <c r="A379" i="4"/>
  <c r="B378" i="4"/>
  <c r="P378" i="4" s="1"/>
  <c r="J102" i="4"/>
  <c r="AG97" i="4" s="1"/>
  <c r="AC97" i="4" s="1"/>
  <c r="AN96" i="4"/>
  <c r="C103" i="4"/>
  <c r="I103" i="4"/>
  <c r="AK97" i="4"/>
  <c r="O133" i="4"/>
  <c r="AI128" i="4"/>
  <c r="D199" i="1"/>
  <c r="G199" i="1" s="1"/>
  <c r="H199" i="1"/>
  <c r="K199" i="1"/>
  <c r="B379" i="4" l="1"/>
  <c r="P379" i="4" s="1"/>
  <c r="A380" i="4"/>
  <c r="G379" i="4"/>
  <c r="D103" i="4"/>
  <c r="E103" i="4" s="1"/>
  <c r="H103" i="4"/>
  <c r="K103" i="4"/>
  <c r="AI129" i="4"/>
  <c r="O134" i="4"/>
  <c r="J199" i="1"/>
  <c r="AG200" i="1" s="1"/>
  <c r="AC200" i="1" s="1"/>
  <c r="E199" i="1"/>
  <c r="I200" i="1"/>
  <c r="C200" i="1"/>
  <c r="AK200" i="1"/>
  <c r="B380" i="4" l="1"/>
  <c r="P380" i="4" s="1"/>
  <c r="G380" i="4"/>
  <c r="A381" i="4"/>
  <c r="J103" i="4"/>
  <c r="AG98" i="4" s="1"/>
  <c r="AC98" i="4" s="1"/>
  <c r="AN97" i="4"/>
  <c r="C104" i="4"/>
  <c r="I104" i="4"/>
  <c r="AK98" i="4"/>
  <c r="D200" i="1"/>
  <c r="G200" i="1" s="1"/>
  <c r="H200" i="1"/>
  <c r="K200" i="1"/>
  <c r="G381" i="4" l="1"/>
  <c r="A382" i="4"/>
  <c r="B381" i="4"/>
  <c r="P381" i="4" s="1"/>
  <c r="H104" i="4"/>
  <c r="D104" i="4"/>
  <c r="K104" i="4" s="1"/>
  <c r="O135" i="4"/>
  <c r="AI130" i="4"/>
  <c r="J200" i="1"/>
  <c r="AG201" i="1" s="1"/>
  <c r="AC201" i="1" s="1"/>
  <c r="I201" i="1"/>
  <c r="C201" i="1"/>
  <c r="AK201" i="1"/>
  <c r="E200" i="1"/>
  <c r="G382" i="4" l="1"/>
  <c r="A383" i="4"/>
  <c r="B382" i="4"/>
  <c r="P382" i="4" s="1"/>
  <c r="E104" i="4"/>
  <c r="J104" i="4"/>
  <c r="AG99" i="4" s="1"/>
  <c r="AC99" i="4" s="1"/>
  <c r="AN98" i="4"/>
  <c r="C105" i="4"/>
  <c r="I105" i="4"/>
  <c r="AK99" i="4"/>
  <c r="D201" i="1"/>
  <c r="G201" i="1" s="1"/>
  <c r="H201" i="1"/>
  <c r="K201" i="1"/>
  <c r="B383" i="4" l="1"/>
  <c r="P383" i="4" s="1"/>
  <c r="A384" i="4"/>
  <c r="G383" i="4"/>
  <c r="H105" i="4"/>
  <c r="J105" i="4" s="1"/>
  <c r="D105" i="4"/>
  <c r="K105" i="4" s="1"/>
  <c r="AI131" i="4"/>
  <c r="O136" i="4"/>
  <c r="J201" i="1"/>
  <c r="AG202" i="1" s="1"/>
  <c r="AC202" i="1" s="1"/>
  <c r="E201" i="1"/>
  <c r="I202" i="1"/>
  <c r="C202" i="1"/>
  <c r="AK202" i="1"/>
  <c r="B384" i="4" l="1"/>
  <c r="P384" i="4" s="1"/>
  <c r="G384" i="4"/>
  <c r="A385" i="4"/>
  <c r="E105" i="4"/>
  <c r="AG100" i="4"/>
  <c r="AC100" i="4" s="1"/>
  <c r="AN99" i="4"/>
  <c r="C106" i="4"/>
  <c r="I106" i="4"/>
  <c r="AK100" i="4"/>
  <c r="D202" i="1"/>
  <c r="G202" i="1" s="1"/>
  <c r="H202" i="1"/>
  <c r="K202" i="1"/>
  <c r="G385" i="4" l="1"/>
  <c r="A386" i="4"/>
  <c r="B385" i="4"/>
  <c r="P385" i="4" s="1"/>
  <c r="H106" i="4"/>
  <c r="D106" i="4"/>
  <c r="K106" i="4" s="1"/>
  <c r="O137" i="4"/>
  <c r="AI132" i="4"/>
  <c r="J202" i="1"/>
  <c r="AG203" i="1" s="1"/>
  <c r="AC203" i="1" s="1"/>
  <c r="E202" i="1"/>
  <c r="I203" i="1"/>
  <c r="C203" i="1"/>
  <c r="AK203" i="1"/>
  <c r="B386" i="4" l="1"/>
  <c r="P386" i="4" s="1"/>
  <c r="A387" i="4"/>
  <c r="G386" i="4"/>
  <c r="J106" i="4"/>
  <c r="AG101" i="4" s="1"/>
  <c r="AC101" i="4" s="1"/>
  <c r="I107" i="4"/>
  <c r="AK101" i="4"/>
  <c r="AN100" i="4"/>
  <c r="C107" i="4"/>
  <c r="E106" i="4"/>
  <c r="D203" i="1"/>
  <c r="G203" i="1" s="1"/>
  <c r="H203" i="1"/>
  <c r="K203" i="1"/>
  <c r="B387" i="4" l="1"/>
  <c r="P387" i="4" s="1"/>
  <c r="A388" i="4"/>
  <c r="G387" i="4"/>
  <c r="D107" i="4"/>
  <c r="K107" i="4" s="1"/>
  <c r="H107" i="4"/>
  <c r="J107" i="4" s="1"/>
  <c r="J203" i="1"/>
  <c r="AG204" i="1" s="1"/>
  <c r="AC204" i="1" s="1"/>
  <c r="I204" i="1"/>
  <c r="C204" i="1"/>
  <c r="AK204" i="1"/>
  <c r="E203" i="1"/>
  <c r="A389" i="4" l="1"/>
  <c r="G388" i="4"/>
  <c r="B388" i="4"/>
  <c r="P388" i="4" s="1"/>
  <c r="E107" i="4"/>
  <c r="AG102" i="4"/>
  <c r="AC102" i="4" s="1"/>
  <c r="O138" i="4"/>
  <c r="AI133" i="4"/>
  <c r="AN101" i="4"/>
  <c r="C108" i="4"/>
  <c r="I108" i="4"/>
  <c r="AK102" i="4"/>
  <c r="D204" i="1"/>
  <c r="G204" i="1" s="1"/>
  <c r="H204" i="1"/>
  <c r="K204" i="1"/>
  <c r="G389" i="4" l="1"/>
  <c r="A390" i="4"/>
  <c r="B389" i="4"/>
  <c r="P389" i="4" s="1"/>
  <c r="H108" i="4"/>
  <c r="D108" i="4"/>
  <c r="E108" i="4" s="1"/>
  <c r="K108" i="4"/>
  <c r="O139" i="4"/>
  <c r="AI134" i="4"/>
  <c r="J204" i="1"/>
  <c r="AG205" i="1" s="1"/>
  <c r="AC205" i="1" s="1"/>
  <c r="E204" i="1"/>
  <c r="I205" i="1"/>
  <c r="C205" i="1"/>
  <c r="AK205" i="1"/>
  <c r="B390" i="4" l="1"/>
  <c r="P390" i="4" s="1"/>
  <c r="A391" i="4"/>
  <c r="G390" i="4"/>
  <c r="J108" i="4"/>
  <c r="AG103" i="4" s="1"/>
  <c r="AC103" i="4" s="1"/>
  <c r="AN102" i="4"/>
  <c r="C109" i="4"/>
  <c r="I109" i="4"/>
  <c r="AK103" i="4"/>
  <c r="D205" i="1"/>
  <c r="G205" i="1" s="1"/>
  <c r="H205" i="1"/>
  <c r="K205" i="1"/>
  <c r="B391" i="4" l="1"/>
  <c r="P391" i="4" s="1"/>
  <c r="G391" i="4"/>
  <c r="A392" i="4"/>
  <c r="H109" i="4"/>
  <c r="J109" i="4" s="1"/>
  <c r="AG104" i="4" s="1"/>
  <c r="AC104" i="4" s="1"/>
  <c r="D109" i="4"/>
  <c r="E109" i="4" s="1"/>
  <c r="K109" i="4"/>
  <c r="J205" i="1"/>
  <c r="AG206" i="1" s="1"/>
  <c r="AC206" i="1" s="1"/>
  <c r="I206" i="1"/>
  <c r="C206" i="1"/>
  <c r="AK206" i="1"/>
  <c r="E205" i="1"/>
  <c r="A393" i="4" l="1"/>
  <c r="G392" i="4"/>
  <c r="B392" i="4"/>
  <c r="P392" i="4" s="1"/>
  <c r="AN103" i="4"/>
  <c r="C110" i="4"/>
  <c r="I110" i="4"/>
  <c r="AK104" i="4"/>
  <c r="O140" i="4"/>
  <c r="AI135" i="4"/>
  <c r="D206" i="1"/>
  <c r="G206" i="1" s="1"/>
  <c r="H206" i="1"/>
  <c r="K206" i="1"/>
  <c r="G393" i="4" l="1"/>
  <c r="A394" i="4"/>
  <c r="B393" i="4"/>
  <c r="P393" i="4" s="1"/>
  <c r="H110" i="4"/>
  <c r="D110" i="4"/>
  <c r="E110" i="4" s="1"/>
  <c r="K110" i="4"/>
  <c r="J206" i="1"/>
  <c r="AG207" i="1" s="1"/>
  <c r="AC207" i="1" s="1"/>
  <c r="E206" i="1"/>
  <c r="I207" i="1"/>
  <c r="C207" i="1"/>
  <c r="AK207" i="1"/>
  <c r="A395" i="4" l="1"/>
  <c r="B394" i="4"/>
  <c r="P394" i="4" s="1"/>
  <c r="G394" i="4"/>
  <c r="J110" i="4"/>
  <c r="AG105" i="4" s="1"/>
  <c r="AC105" i="4" s="1"/>
  <c r="AN104" i="4"/>
  <c r="C111" i="4"/>
  <c r="I111" i="4"/>
  <c r="AK105" i="4"/>
  <c r="O141" i="4"/>
  <c r="AI136" i="4"/>
  <c r="D207" i="1"/>
  <c r="G207" i="1" s="1"/>
  <c r="H207" i="1"/>
  <c r="K207" i="1"/>
  <c r="A396" i="4" l="1"/>
  <c r="G395" i="4"/>
  <c r="B395" i="4"/>
  <c r="P395" i="4" s="1"/>
  <c r="H111" i="4"/>
  <c r="J111" i="4" s="1"/>
  <c r="D111" i="4"/>
  <c r="E111" i="4" s="1"/>
  <c r="K111" i="4"/>
  <c r="J207" i="1"/>
  <c r="AG208" i="1" s="1"/>
  <c r="AC208" i="1" s="1"/>
  <c r="E207" i="1"/>
  <c r="I208" i="1"/>
  <c r="C208" i="1"/>
  <c r="AK208" i="1"/>
  <c r="A397" i="4" l="1"/>
  <c r="G396" i="4"/>
  <c r="B396" i="4"/>
  <c r="P396" i="4" s="1"/>
  <c r="AG106" i="4"/>
  <c r="AC106" i="4" s="1"/>
  <c r="AN105" i="4"/>
  <c r="C112" i="4"/>
  <c r="I112" i="4"/>
  <c r="AK106" i="4"/>
  <c r="O142" i="4"/>
  <c r="AI137" i="4"/>
  <c r="D208" i="1"/>
  <c r="G208" i="1" s="1"/>
  <c r="H208" i="1"/>
  <c r="K208" i="1"/>
  <c r="G397" i="4" l="1"/>
  <c r="A398" i="4"/>
  <c r="B397" i="4"/>
  <c r="P397" i="4" s="1"/>
  <c r="D112" i="4"/>
  <c r="E112" i="4" s="1"/>
  <c r="H112" i="4"/>
  <c r="K112" i="4"/>
  <c r="O143" i="4"/>
  <c r="AI138" i="4"/>
  <c r="J208" i="1"/>
  <c r="AG209" i="1" s="1"/>
  <c r="AC209" i="1" s="1"/>
  <c r="E208" i="1"/>
  <c r="I209" i="1"/>
  <c r="C209" i="1"/>
  <c r="AK209" i="1"/>
  <c r="A399" i="4" l="1"/>
  <c r="G398" i="4"/>
  <c r="B398" i="4"/>
  <c r="P398" i="4" s="1"/>
  <c r="J112" i="4"/>
  <c r="AG107" i="4" s="1"/>
  <c r="AC107" i="4" s="1"/>
  <c r="AN106" i="4"/>
  <c r="C113" i="4"/>
  <c r="I113" i="4"/>
  <c r="AK107" i="4"/>
  <c r="D209" i="1"/>
  <c r="G209" i="1" s="1"/>
  <c r="H209" i="1"/>
  <c r="K209" i="1"/>
  <c r="A400" i="4" l="1"/>
  <c r="G399" i="4"/>
  <c r="B399" i="4"/>
  <c r="P399" i="4" s="1"/>
  <c r="D113" i="4"/>
  <c r="K113" i="4" s="1"/>
  <c r="H113" i="4"/>
  <c r="J113" i="4" s="1"/>
  <c r="O144" i="4"/>
  <c r="AI139" i="4"/>
  <c r="J209" i="1"/>
  <c r="AG210" i="1" s="1"/>
  <c r="AC210" i="1" s="1"/>
  <c r="E209" i="1"/>
  <c r="I210" i="1"/>
  <c r="C210" i="1"/>
  <c r="AK210" i="1"/>
  <c r="A401" i="4" l="1"/>
  <c r="G400" i="4"/>
  <c r="B400" i="4"/>
  <c r="P400" i="4" s="1"/>
  <c r="E113" i="4"/>
  <c r="AG108" i="4"/>
  <c r="AC108" i="4" s="1"/>
  <c r="AN107" i="4"/>
  <c r="C114" i="4"/>
  <c r="I114" i="4"/>
  <c r="AK108" i="4"/>
  <c r="D210" i="1"/>
  <c r="G210" i="1" s="1"/>
  <c r="H210" i="1"/>
  <c r="K210" i="1"/>
  <c r="A402" i="4" l="1"/>
  <c r="G401" i="4"/>
  <c r="B401" i="4"/>
  <c r="P401" i="4" s="1"/>
  <c r="H114" i="4"/>
  <c r="J114" i="4" s="1"/>
  <c r="AG109" i="4" s="1"/>
  <c r="AC109" i="4" s="1"/>
  <c r="D114" i="4"/>
  <c r="K114" i="4" s="1"/>
  <c r="J210" i="1"/>
  <c r="AG211" i="1" s="1"/>
  <c r="AC211" i="1" s="1"/>
  <c r="E210" i="1"/>
  <c r="I211" i="1"/>
  <c r="C211" i="1"/>
  <c r="AK211" i="1"/>
  <c r="A403" i="4" l="1"/>
  <c r="G402" i="4"/>
  <c r="B402" i="4"/>
  <c r="P402" i="4" s="1"/>
  <c r="E114" i="4"/>
  <c r="O145" i="4"/>
  <c r="AI140" i="4"/>
  <c r="AN108" i="4"/>
  <c r="I115" i="4"/>
  <c r="C115" i="4"/>
  <c r="AK109" i="4"/>
  <c r="D211" i="1"/>
  <c r="G211" i="1" s="1"/>
  <c r="H211" i="1"/>
  <c r="K211" i="1"/>
  <c r="G403" i="4" l="1"/>
  <c r="B403" i="4"/>
  <c r="O146" i="4"/>
  <c r="AI141" i="4"/>
  <c r="H115" i="4"/>
  <c r="D115" i="4"/>
  <c r="E115" i="4" s="1"/>
  <c r="K115" i="4"/>
  <c r="J211" i="1"/>
  <c r="AG212" i="1" s="1"/>
  <c r="AC212" i="1" s="1"/>
  <c r="I212" i="1"/>
  <c r="C212" i="1"/>
  <c r="AK212" i="1"/>
  <c r="E211" i="1"/>
  <c r="I25" i="4" l="1"/>
  <c r="P403" i="4"/>
  <c r="J115" i="4"/>
  <c r="AG110" i="4" s="1"/>
  <c r="AC110" i="4" s="1"/>
  <c r="C116" i="4"/>
  <c r="I116" i="4"/>
  <c r="AK110" i="4"/>
  <c r="AN109" i="4"/>
  <c r="D212" i="1"/>
  <c r="G212" i="1" s="1"/>
  <c r="H212" i="1"/>
  <c r="K212" i="1"/>
  <c r="H116" i="4" l="1"/>
  <c r="D116" i="4"/>
  <c r="K116" i="4" s="1"/>
  <c r="J212" i="1"/>
  <c r="AG213" i="1" s="1"/>
  <c r="AC213" i="1" s="1"/>
  <c r="I213" i="1"/>
  <c r="C213" i="1"/>
  <c r="AK213" i="1"/>
  <c r="E212" i="1"/>
  <c r="E116" i="4" l="1"/>
  <c r="J116" i="4"/>
  <c r="AG111" i="4" s="1"/>
  <c r="AC111" i="4" s="1"/>
  <c r="C117" i="4"/>
  <c r="AK111" i="4"/>
  <c r="AN110" i="4"/>
  <c r="I117" i="4"/>
  <c r="AI142" i="4"/>
  <c r="O147" i="4"/>
  <c r="D213" i="1"/>
  <c r="G213" i="1" s="1"/>
  <c r="H213" i="1"/>
  <c r="K213" i="1"/>
  <c r="AI143" i="4" l="1"/>
  <c r="O148" i="4"/>
  <c r="D117" i="4"/>
  <c r="E117" i="4" s="1"/>
  <c r="K117" i="4"/>
  <c r="H117" i="4"/>
  <c r="J213" i="1"/>
  <c r="AG214" i="1" s="1"/>
  <c r="AC214" i="1" s="1"/>
  <c r="I214" i="1"/>
  <c r="C214" i="1"/>
  <c r="AK214" i="1"/>
  <c r="E213" i="1"/>
  <c r="J117" i="4" l="1"/>
  <c r="AG112" i="4" s="1"/>
  <c r="AC112" i="4" s="1"/>
  <c r="AN111" i="4"/>
  <c r="C118" i="4"/>
  <c r="I118" i="4"/>
  <c r="AK112" i="4"/>
  <c r="D214" i="1"/>
  <c r="G214" i="1" s="1"/>
  <c r="H214" i="1"/>
  <c r="K214" i="1"/>
  <c r="H118" i="4" l="1"/>
  <c r="J118" i="4" s="1"/>
  <c r="D118" i="4"/>
  <c r="E118" i="4" s="1"/>
  <c r="K118" i="4"/>
  <c r="AI144" i="4"/>
  <c r="O149" i="4"/>
  <c r="J214" i="1"/>
  <c r="AG215" i="1" s="1"/>
  <c r="AC215" i="1" s="1"/>
  <c r="E214" i="1"/>
  <c r="I215" i="1"/>
  <c r="C215" i="1"/>
  <c r="AK215" i="1"/>
  <c r="AG113" i="4" l="1"/>
  <c r="AC113" i="4" s="1"/>
  <c r="AN112" i="4"/>
  <c r="C119" i="4"/>
  <c r="I119" i="4"/>
  <c r="AK113" i="4"/>
  <c r="D215" i="1"/>
  <c r="G215" i="1" s="1"/>
  <c r="H215" i="1"/>
  <c r="K215" i="1"/>
  <c r="D119" i="4" l="1"/>
  <c r="E119" i="4" s="1"/>
  <c r="K119" i="4"/>
  <c r="H119" i="4"/>
  <c r="AI145" i="4"/>
  <c r="O150" i="4"/>
  <c r="J215" i="1"/>
  <c r="AG216" i="1" s="1"/>
  <c r="AC216" i="1" s="1"/>
  <c r="E215" i="1"/>
  <c r="I216" i="1"/>
  <c r="C216" i="1"/>
  <c r="AK216" i="1"/>
  <c r="J119" i="4" l="1"/>
  <c r="AG114" i="4" s="1"/>
  <c r="AC114" i="4" s="1"/>
  <c r="AN113" i="4"/>
  <c r="C120" i="4"/>
  <c r="I120" i="4"/>
  <c r="AK114" i="4"/>
  <c r="D216" i="1"/>
  <c r="G216" i="1" s="1"/>
  <c r="H216" i="1"/>
  <c r="K216" i="1"/>
  <c r="H120" i="4" l="1"/>
  <c r="J120" i="4" s="1"/>
  <c r="AG115" i="4" s="1"/>
  <c r="AC115" i="4" s="1"/>
  <c r="D120" i="4"/>
  <c r="K120" i="4" s="1"/>
  <c r="J216" i="1"/>
  <c r="AG217" i="1" s="1"/>
  <c r="AC217" i="1" s="1"/>
  <c r="E216" i="1"/>
  <c r="I217" i="1"/>
  <c r="C217" i="1"/>
  <c r="AK217" i="1"/>
  <c r="E120" i="4" l="1"/>
  <c r="O151" i="4"/>
  <c r="AI146" i="4"/>
  <c r="C121" i="4"/>
  <c r="AK115" i="4"/>
  <c r="AN114" i="4"/>
  <c r="I121" i="4"/>
  <c r="D217" i="1"/>
  <c r="E217" i="1" s="1"/>
  <c r="H217" i="1"/>
  <c r="K217" i="1"/>
  <c r="H121" i="4" l="1"/>
  <c r="K121" i="4"/>
  <c r="D121" i="4"/>
  <c r="E121" i="4" s="1"/>
  <c r="AK218" i="1"/>
  <c r="I218" i="1"/>
  <c r="C218" i="1"/>
  <c r="G217" i="1"/>
  <c r="J217" i="1" s="1"/>
  <c r="J121" i="4" l="1"/>
  <c r="AG116" i="4" s="1"/>
  <c r="AC116" i="4" s="1"/>
  <c r="I122" i="4"/>
  <c r="AK116" i="4"/>
  <c r="AN115" i="4"/>
  <c r="C122" i="4"/>
  <c r="O152" i="4"/>
  <c r="AI147" i="4"/>
  <c r="K218" i="1"/>
  <c r="H218" i="1"/>
  <c r="D218" i="1"/>
  <c r="AG218" i="1"/>
  <c r="AC218" i="1" s="1"/>
  <c r="D122" i="4" l="1"/>
  <c r="E122" i="4" s="1"/>
  <c r="K122" i="4"/>
  <c r="H122" i="4"/>
  <c r="O153" i="4"/>
  <c r="AI148" i="4"/>
  <c r="E218" i="1"/>
  <c r="G218" i="1"/>
  <c r="I219" i="1"/>
  <c r="C219" i="1"/>
  <c r="AK219" i="1"/>
  <c r="J122" i="4" l="1"/>
  <c r="AG117" i="4" s="1"/>
  <c r="AC117" i="4" s="1"/>
  <c r="AN116" i="4"/>
  <c r="I123" i="4"/>
  <c r="C123" i="4"/>
  <c r="AK117" i="4"/>
  <c r="K219" i="1"/>
  <c r="D219" i="1"/>
  <c r="E219" i="1" s="1"/>
  <c r="H219" i="1"/>
  <c r="J218" i="1"/>
  <c r="H123" i="4" l="1"/>
  <c r="D123" i="4"/>
  <c r="K123" i="4" s="1"/>
  <c r="AG219" i="1"/>
  <c r="AC219" i="1" s="1"/>
  <c r="I220" i="1"/>
  <c r="C220" i="1"/>
  <c r="AK220" i="1"/>
  <c r="G219" i="1"/>
  <c r="J219" i="1" s="1"/>
  <c r="AG220" i="1" s="1"/>
  <c r="E123" i="4" l="1"/>
  <c r="J123" i="4"/>
  <c r="AG118" i="4" s="1"/>
  <c r="AC118" i="4" s="1"/>
  <c r="AN117" i="4"/>
  <c r="C124" i="4"/>
  <c r="I124" i="4"/>
  <c r="AK118" i="4"/>
  <c r="AI149" i="4"/>
  <c r="O154" i="4"/>
  <c r="AC220" i="1"/>
  <c r="K220" i="1"/>
  <c r="D220" i="1"/>
  <c r="E220" i="1" s="1"/>
  <c r="H220" i="1"/>
  <c r="H124" i="4" l="1"/>
  <c r="J124" i="4" s="1"/>
  <c r="AG119" i="4" s="1"/>
  <c r="AC119" i="4" s="1"/>
  <c r="D124" i="4"/>
  <c r="K124" i="4" s="1"/>
  <c r="G220" i="1"/>
  <c r="J220" i="1" s="1"/>
  <c r="I221" i="1"/>
  <c r="C221" i="1"/>
  <c r="AK221" i="1"/>
  <c r="E124" i="4" l="1"/>
  <c r="O155" i="4"/>
  <c r="AI150" i="4"/>
  <c r="I125" i="4"/>
  <c r="AK119" i="4"/>
  <c r="AN118" i="4"/>
  <c r="C125" i="4"/>
  <c r="AG221" i="1"/>
  <c r="AC221" i="1" s="1"/>
  <c r="K221" i="1"/>
  <c r="D221" i="1"/>
  <c r="H221" i="1"/>
  <c r="D125" i="4" l="1"/>
  <c r="E125" i="4" s="1"/>
  <c r="K125" i="4"/>
  <c r="H125" i="4"/>
  <c r="AI151" i="4"/>
  <c r="O156" i="4"/>
  <c r="I222" i="1"/>
  <c r="C222" i="1"/>
  <c r="AK222" i="1"/>
  <c r="E221" i="1"/>
  <c r="G221" i="1"/>
  <c r="J221" i="1" s="1"/>
  <c r="J125" i="4" l="1"/>
  <c r="AG120" i="4" s="1"/>
  <c r="AC120" i="4" s="1"/>
  <c r="I126" i="4"/>
  <c r="AK120" i="4"/>
  <c r="AN119" i="4"/>
  <c r="C126" i="4"/>
  <c r="AG222" i="1"/>
  <c r="AC222" i="1" s="1"/>
  <c r="K222" i="1"/>
  <c r="D222" i="1"/>
  <c r="H222" i="1"/>
  <c r="D126" i="4" l="1"/>
  <c r="K126" i="4" s="1"/>
  <c r="H126" i="4"/>
  <c r="O157" i="4"/>
  <c r="AI152" i="4"/>
  <c r="I223" i="1"/>
  <c r="C223" i="1"/>
  <c r="AK223" i="1"/>
  <c r="E222" i="1"/>
  <c r="G222" i="1"/>
  <c r="J222" i="1" s="1"/>
  <c r="E126" i="4" l="1"/>
  <c r="J126" i="4"/>
  <c r="AG121" i="4" s="1"/>
  <c r="AC121" i="4" s="1"/>
  <c r="AN120" i="4"/>
  <c r="I127" i="4"/>
  <c r="C127" i="4"/>
  <c r="AK121" i="4"/>
  <c r="AG223" i="1"/>
  <c r="AC223" i="1" s="1"/>
  <c r="K223" i="1"/>
  <c r="H223" i="1"/>
  <c r="D223" i="1"/>
  <c r="D127" i="4" l="1"/>
  <c r="K127" i="4" s="1"/>
  <c r="H127" i="4"/>
  <c r="E223" i="1"/>
  <c r="G223" i="1"/>
  <c r="J223" i="1" s="1"/>
  <c r="AG224" i="1" s="1"/>
  <c r="AC224" i="1" s="1"/>
  <c r="I224" i="1"/>
  <c r="C224" i="1"/>
  <c r="AK224" i="1"/>
  <c r="E127" i="4" l="1"/>
  <c r="J127" i="4"/>
  <c r="AG122" i="4" s="1"/>
  <c r="AC122" i="4" s="1"/>
  <c r="AN121" i="4"/>
  <c r="I128" i="4"/>
  <c r="C128" i="4"/>
  <c r="AK122" i="4"/>
  <c r="AI153" i="4"/>
  <c r="O158" i="4"/>
  <c r="K224" i="1"/>
  <c r="H224" i="1"/>
  <c r="D224" i="1"/>
  <c r="H128" i="4" l="1"/>
  <c r="K128" i="4"/>
  <c r="D128" i="4"/>
  <c r="E128" i="4" s="1"/>
  <c r="E224" i="1"/>
  <c r="G224" i="1"/>
  <c r="J224" i="1" s="1"/>
  <c r="AG225" i="1" s="1"/>
  <c r="AC225" i="1" s="1"/>
  <c r="I225" i="1"/>
  <c r="C225" i="1"/>
  <c r="AK225" i="1"/>
  <c r="J128" i="4" l="1"/>
  <c r="AG123" i="4" s="1"/>
  <c r="AC123" i="4" s="1"/>
  <c r="AN122" i="4"/>
  <c r="I129" i="4"/>
  <c r="C129" i="4"/>
  <c r="AK123" i="4"/>
  <c r="AI154" i="4"/>
  <c r="O159" i="4"/>
  <c r="K225" i="1"/>
  <c r="D225" i="1"/>
  <c r="H225" i="1"/>
  <c r="H129" i="4" l="1"/>
  <c r="D129" i="4"/>
  <c r="K129" i="4" s="1"/>
  <c r="E225" i="1"/>
  <c r="G225" i="1"/>
  <c r="J225" i="1" s="1"/>
  <c r="AG226" i="1" s="1"/>
  <c r="AC226" i="1" s="1"/>
  <c r="I226" i="1"/>
  <c r="C226" i="1"/>
  <c r="AK226" i="1"/>
  <c r="E129" i="4" l="1"/>
  <c r="J129" i="4"/>
  <c r="AG124" i="4" s="1"/>
  <c r="AC124" i="4" s="1"/>
  <c r="C130" i="4"/>
  <c r="AN123" i="4"/>
  <c r="I130" i="4"/>
  <c r="AK124" i="4"/>
  <c r="O160" i="4"/>
  <c r="AI155" i="4"/>
  <c r="K226" i="1"/>
  <c r="H226" i="1"/>
  <c r="D226" i="1"/>
  <c r="O161" i="4" l="1"/>
  <c r="AI156" i="4"/>
  <c r="D130" i="4"/>
  <c r="E130" i="4" s="1"/>
  <c r="H130" i="4"/>
  <c r="K130" i="4"/>
  <c r="E226" i="1"/>
  <c r="G226" i="1"/>
  <c r="J226" i="1" s="1"/>
  <c r="AG227" i="1" s="1"/>
  <c r="AC227" i="1" s="1"/>
  <c r="I227" i="1"/>
  <c r="C227" i="1"/>
  <c r="AK227" i="1"/>
  <c r="J130" i="4" l="1"/>
  <c r="AG125" i="4" s="1"/>
  <c r="AC125" i="4" s="1"/>
  <c r="AN124" i="4"/>
  <c r="C131" i="4"/>
  <c r="I131" i="4"/>
  <c r="AK125" i="4"/>
  <c r="K227" i="1"/>
  <c r="H227" i="1"/>
  <c r="D227" i="1"/>
  <c r="D131" i="4" l="1"/>
  <c r="E131" i="4" s="1"/>
  <c r="H131" i="4"/>
  <c r="K131" i="4"/>
  <c r="O162" i="4"/>
  <c r="AI157" i="4"/>
  <c r="E227" i="1"/>
  <c r="G227" i="1"/>
  <c r="J227" i="1" s="1"/>
  <c r="AG228" i="1" s="1"/>
  <c r="AC228" i="1" s="1"/>
  <c r="I228" i="1"/>
  <c r="C228" i="1"/>
  <c r="AK228" i="1"/>
  <c r="J131" i="4" l="1"/>
  <c r="AG126" i="4" s="1"/>
  <c r="AC126" i="4" s="1"/>
  <c r="AN125" i="4"/>
  <c r="C132" i="4"/>
  <c r="I132" i="4"/>
  <c r="AK126" i="4"/>
  <c r="K228" i="1"/>
  <c r="D228" i="1"/>
  <c r="H228" i="1"/>
  <c r="D132" i="4" l="1"/>
  <c r="E132" i="4" s="1"/>
  <c r="H132" i="4"/>
  <c r="K132" i="4"/>
  <c r="AI158" i="4"/>
  <c r="O163" i="4"/>
  <c r="E228" i="1"/>
  <c r="G228" i="1"/>
  <c r="J228" i="1" s="1"/>
  <c r="AG229" i="1" s="1"/>
  <c r="AC229" i="1" s="1"/>
  <c r="I229" i="1"/>
  <c r="C229" i="1"/>
  <c r="AK229" i="1"/>
  <c r="J132" i="4" l="1"/>
  <c r="AG127" i="4" s="1"/>
  <c r="AC127" i="4" s="1"/>
  <c r="AN126" i="4"/>
  <c r="C133" i="4"/>
  <c r="I133" i="4"/>
  <c r="AK127" i="4"/>
  <c r="K229" i="1"/>
  <c r="D229" i="1"/>
  <c r="H229" i="1"/>
  <c r="D133" i="4" l="1"/>
  <c r="E133" i="4" s="1"/>
  <c r="H133" i="4"/>
  <c r="K133" i="4"/>
  <c r="O164" i="4"/>
  <c r="AI159" i="4"/>
  <c r="E229" i="1"/>
  <c r="G229" i="1"/>
  <c r="J229" i="1" s="1"/>
  <c r="AG230" i="1" s="1"/>
  <c r="AC230" i="1" s="1"/>
  <c r="I230" i="1"/>
  <c r="C230" i="1"/>
  <c r="AK230" i="1"/>
  <c r="J133" i="4" l="1"/>
  <c r="AG128" i="4" s="1"/>
  <c r="AC128" i="4" s="1"/>
  <c r="AN127" i="4"/>
  <c r="I134" i="4"/>
  <c r="C134" i="4"/>
  <c r="AK128" i="4"/>
  <c r="K230" i="1"/>
  <c r="H230" i="1"/>
  <c r="D230" i="1"/>
  <c r="H134" i="4" l="1"/>
  <c r="D134" i="4"/>
  <c r="K134" i="4" s="1"/>
  <c r="E230" i="1"/>
  <c r="G230" i="1"/>
  <c r="J230" i="1" s="1"/>
  <c r="AG231" i="1" s="1"/>
  <c r="AC231" i="1" s="1"/>
  <c r="I231" i="1"/>
  <c r="C231" i="1"/>
  <c r="AK231" i="1"/>
  <c r="J134" i="4" l="1"/>
  <c r="AG129" i="4" s="1"/>
  <c r="AC129" i="4" s="1"/>
  <c r="C135" i="4"/>
  <c r="AN128" i="4"/>
  <c r="I135" i="4"/>
  <c r="AK129" i="4"/>
  <c r="E134" i="4"/>
  <c r="O165" i="4"/>
  <c r="AI160" i="4"/>
  <c r="K231" i="1"/>
  <c r="D231" i="1"/>
  <c r="G231" i="1" s="1"/>
  <c r="H231" i="1"/>
  <c r="H135" i="4" l="1"/>
  <c r="K135" i="4"/>
  <c r="D135" i="4"/>
  <c r="E135" i="4" s="1"/>
  <c r="E231" i="1"/>
  <c r="J231" i="1"/>
  <c r="AG232" i="1" s="1"/>
  <c r="AC232" i="1" s="1"/>
  <c r="I232" i="1"/>
  <c r="C232" i="1"/>
  <c r="AK232" i="1"/>
  <c r="J135" i="4" l="1"/>
  <c r="AG130" i="4" s="1"/>
  <c r="AC130" i="4" s="1"/>
  <c r="AK130" i="4"/>
  <c r="AN129" i="4"/>
  <c r="I136" i="4"/>
  <c r="C136" i="4"/>
  <c r="AI161" i="4"/>
  <c r="O166" i="4"/>
  <c r="K232" i="1"/>
  <c r="D232" i="1"/>
  <c r="G232" i="1" s="1"/>
  <c r="H232" i="1"/>
  <c r="H136" i="4" l="1"/>
  <c r="J136" i="4" s="1"/>
  <c r="AG131" i="4" s="1"/>
  <c r="AC131" i="4" s="1"/>
  <c r="D136" i="4"/>
  <c r="K136" i="4" s="1"/>
  <c r="J232" i="1"/>
  <c r="AG233" i="1" s="1"/>
  <c r="AC233" i="1" s="1"/>
  <c r="E232" i="1"/>
  <c r="I233" i="1"/>
  <c r="C233" i="1"/>
  <c r="AK233" i="1"/>
  <c r="O167" i="4" l="1"/>
  <c r="AI162" i="4"/>
  <c r="C137" i="4"/>
  <c r="AK131" i="4"/>
  <c r="AN130" i="4"/>
  <c r="I137" i="4"/>
  <c r="E136" i="4"/>
  <c r="K233" i="1"/>
  <c r="D233" i="1"/>
  <c r="G233" i="1" s="1"/>
  <c r="H233" i="1"/>
  <c r="H137" i="4" l="1"/>
  <c r="D137" i="4"/>
  <c r="K137" i="4" s="1"/>
  <c r="E233" i="1"/>
  <c r="J233" i="1"/>
  <c r="AG234" i="1" s="1"/>
  <c r="AC234" i="1" s="1"/>
  <c r="I234" i="1"/>
  <c r="C234" i="1"/>
  <c r="AK234" i="1"/>
  <c r="J137" i="4" l="1"/>
  <c r="AG132" i="4" s="1"/>
  <c r="AC132" i="4" s="1"/>
  <c r="AN131" i="4"/>
  <c r="C138" i="4"/>
  <c r="I138" i="4"/>
  <c r="AK132" i="4"/>
  <c r="E137" i="4"/>
  <c r="AI163" i="4"/>
  <c r="O168" i="4"/>
  <c r="K234" i="1"/>
  <c r="H234" i="1"/>
  <c r="D234" i="1"/>
  <c r="H138" i="4" l="1"/>
  <c r="D138" i="4"/>
  <c r="K138" i="4" s="1"/>
  <c r="O169" i="4"/>
  <c r="AI164" i="4"/>
  <c r="E234" i="1"/>
  <c r="G234" i="1"/>
  <c r="J234" i="1" s="1"/>
  <c r="AG235" i="1" s="1"/>
  <c r="AC235" i="1" s="1"/>
  <c r="I235" i="1"/>
  <c r="C235" i="1"/>
  <c r="AK235" i="1"/>
  <c r="J138" i="4" l="1"/>
  <c r="AG133" i="4" s="1"/>
  <c r="AC133" i="4" s="1"/>
  <c r="AN132" i="4"/>
  <c r="C139" i="4"/>
  <c r="I139" i="4"/>
  <c r="AK133" i="4"/>
  <c r="E138" i="4"/>
  <c r="K235" i="1"/>
  <c r="D235" i="1"/>
  <c r="G235" i="1" s="1"/>
  <c r="H235" i="1"/>
  <c r="D139" i="4" l="1"/>
  <c r="E139" i="4" s="1"/>
  <c r="K139" i="4"/>
  <c r="H139" i="4"/>
  <c r="AI165" i="4"/>
  <c r="O170" i="4"/>
  <c r="J235" i="1"/>
  <c r="AG236" i="1" s="1"/>
  <c r="AC236" i="1" s="1"/>
  <c r="E235" i="1"/>
  <c r="I236" i="1"/>
  <c r="C236" i="1"/>
  <c r="AK236" i="1"/>
  <c r="J139" i="4" l="1"/>
  <c r="AG134" i="4" s="1"/>
  <c r="AC134" i="4" s="1"/>
  <c r="AN133" i="4"/>
  <c r="I140" i="4"/>
  <c r="C140" i="4"/>
  <c r="AK134" i="4"/>
  <c r="K236" i="1"/>
  <c r="H236" i="1"/>
  <c r="D236" i="1"/>
  <c r="H140" i="4" l="1"/>
  <c r="K140" i="4"/>
  <c r="D140" i="4"/>
  <c r="E140" i="4" s="1"/>
  <c r="E236" i="1"/>
  <c r="G236" i="1"/>
  <c r="J236" i="1" s="1"/>
  <c r="AG237" i="1" s="1"/>
  <c r="AC237" i="1" s="1"/>
  <c r="I237" i="1"/>
  <c r="C237" i="1"/>
  <c r="AK237" i="1"/>
  <c r="J140" i="4" l="1"/>
  <c r="AG135" i="4" s="1"/>
  <c r="AC135" i="4" s="1"/>
  <c r="AN134" i="4"/>
  <c r="I141" i="4"/>
  <c r="C141" i="4"/>
  <c r="AK135" i="4"/>
  <c r="AI166" i="4"/>
  <c r="O171" i="4"/>
  <c r="K237" i="1"/>
  <c r="D237" i="1"/>
  <c r="H237" i="1"/>
  <c r="O172" i="4" l="1"/>
  <c r="AI167" i="4"/>
  <c r="H141" i="4"/>
  <c r="K141" i="4"/>
  <c r="D141" i="4"/>
  <c r="E141" i="4" s="1"/>
  <c r="E237" i="1"/>
  <c r="G237" i="1"/>
  <c r="J237" i="1" s="1"/>
  <c r="AG238" i="1" s="1"/>
  <c r="AC238" i="1" s="1"/>
  <c r="I238" i="1"/>
  <c r="C238" i="1"/>
  <c r="AK238" i="1"/>
  <c r="J141" i="4" l="1"/>
  <c r="AG136" i="4" s="1"/>
  <c r="AC136" i="4" s="1"/>
  <c r="AK136" i="4"/>
  <c r="AN135" i="4"/>
  <c r="I142" i="4"/>
  <c r="C142" i="4"/>
  <c r="K238" i="1"/>
  <c r="D238" i="1"/>
  <c r="G238" i="1" s="1"/>
  <c r="H238" i="1"/>
  <c r="H142" i="4" l="1"/>
  <c r="D142" i="4"/>
  <c r="E142" i="4" s="1"/>
  <c r="K142" i="4"/>
  <c r="AI168" i="4"/>
  <c r="O173" i="4"/>
  <c r="J238" i="1"/>
  <c r="AG239" i="1" s="1"/>
  <c r="AC239" i="1" s="1"/>
  <c r="E238" i="1"/>
  <c r="I239" i="1"/>
  <c r="C239" i="1"/>
  <c r="AK239" i="1"/>
  <c r="J142" i="4" l="1"/>
  <c r="AG137" i="4" s="1"/>
  <c r="AC137" i="4" s="1"/>
  <c r="AN136" i="4"/>
  <c r="I143" i="4"/>
  <c r="C143" i="4"/>
  <c r="AK137" i="4"/>
  <c r="K239" i="1"/>
  <c r="D239" i="1"/>
  <c r="H239" i="1"/>
  <c r="D143" i="4" l="1"/>
  <c r="E143" i="4" s="1"/>
  <c r="K143" i="4"/>
  <c r="H143" i="4"/>
  <c r="E239" i="1"/>
  <c r="G239" i="1"/>
  <c r="J239" i="1" s="1"/>
  <c r="AG240" i="1" s="1"/>
  <c r="AC240" i="1" s="1"/>
  <c r="I240" i="1"/>
  <c r="C240" i="1"/>
  <c r="AK240" i="1"/>
  <c r="J143" i="4" l="1"/>
  <c r="AG138" i="4" s="1"/>
  <c r="AC138" i="4" s="1"/>
  <c r="AN137" i="4"/>
  <c r="I144" i="4"/>
  <c r="C144" i="4"/>
  <c r="AK138" i="4"/>
  <c r="AI169" i="4"/>
  <c r="O174" i="4"/>
  <c r="K240" i="1"/>
  <c r="D240" i="1"/>
  <c r="H240" i="1"/>
  <c r="O175" i="4" l="1"/>
  <c r="AI170" i="4"/>
  <c r="H144" i="4"/>
  <c r="K144" i="4"/>
  <c r="D144" i="4"/>
  <c r="E144" i="4" s="1"/>
  <c r="E240" i="1"/>
  <c r="G240" i="1"/>
  <c r="J240" i="1" s="1"/>
  <c r="AG241" i="1" s="1"/>
  <c r="AC241" i="1" s="1"/>
  <c r="I241" i="1"/>
  <c r="C241" i="1"/>
  <c r="AK241" i="1"/>
  <c r="J144" i="4" l="1"/>
  <c r="AG139" i="4" s="1"/>
  <c r="AC139" i="4" s="1"/>
  <c r="AN138" i="4"/>
  <c r="I145" i="4"/>
  <c r="C145" i="4"/>
  <c r="AK139" i="4"/>
  <c r="K241" i="1"/>
  <c r="D241" i="1"/>
  <c r="G241" i="1" s="1"/>
  <c r="H241" i="1"/>
  <c r="O176" i="4" l="1"/>
  <c r="AI171" i="4"/>
  <c r="H145" i="4"/>
  <c r="K145" i="4"/>
  <c r="D145" i="4"/>
  <c r="E145" i="4" s="1"/>
  <c r="E241" i="1"/>
  <c r="J241" i="1"/>
  <c r="AG242" i="1" s="1"/>
  <c r="AC242" i="1" s="1"/>
  <c r="I242" i="1"/>
  <c r="C242" i="1"/>
  <c r="AK242" i="1"/>
  <c r="J145" i="4" l="1"/>
  <c r="AG140" i="4" s="1"/>
  <c r="AC140" i="4" s="1"/>
  <c r="AN139" i="4"/>
  <c r="C146" i="4"/>
  <c r="I146" i="4"/>
  <c r="AK140" i="4"/>
  <c r="K242" i="1"/>
  <c r="D242" i="1"/>
  <c r="H242" i="1"/>
  <c r="H146" i="4" l="1"/>
  <c r="J146" i="4" s="1"/>
  <c r="AG141" i="4" s="1"/>
  <c r="AC141" i="4" s="1"/>
  <c r="K146" i="4"/>
  <c r="D146" i="4"/>
  <c r="E146" i="4" s="1"/>
  <c r="E242" i="1"/>
  <c r="G242" i="1"/>
  <c r="J242" i="1" s="1"/>
  <c r="AG243" i="1" s="1"/>
  <c r="AC243" i="1" s="1"/>
  <c r="I243" i="1"/>
  <c r="C243" i="1"/>
  <c r="AK243" i="1"/>
  <c r="AN140" i="4" l="1"/>
  <c r="C147" i="4"/>
  <c r="I147" i="4"/>
  <c r="AK141" i="4"/>
  <c r="AI172" i="4"/>
  <c r="O177" i="4"/>
  <c r="K243" i="1"/>
  <c r="D243" i="1"/>
  <c r="G243" i="1" s="1"/>
  <c r="H243" i="1"/>
  <c r="H147" i="4" l="1"/>
  <c r="K147" i="4"/>
  <c r="D147" i="4"/>
  <c r="E147" i="4" s="1"/>
  <c r="AI173" i="4"/>
  <c r="O178" i="4"/>
  <c r="J243" i="1"/>
  <c r="AG244" i="1" s="1"/>
  <c r="AC244" i="1" s="1"/>
  <c r="E243" i="1"/>
  <c r="I244" i="1"/>
  <c r="C244" i="1"/>
  <c r="AK244" i="1"/>
  <c r="J147" i="4" l="1"/>
  <c r="AG142" i="4" s="1"/>
  <c r="AC142" i="4" s="1"/>
  <c r="I148" i="4"/>
  <c r="AK142" i="4"/>
  <c r="AN141" i="4"/>
  <c r="C148" i="4"/>
  <c r="K244" i="1"/>
  <c r="D244" i="1"/>
  <c r="H244" i="1"/>
  <c r="H148" i="4" l="1"/>
  <c r="J148" i="4" s="1"/>
  <c r="AG143" i="4" s="1"/>
  <c r="AC143" i="4" s="1"/>
  <c r="D148" i="4"/>
  <c r="K148" i="4" s="1"/>
  <c r="E244" i="1"/>
  <c r="G244" i="1"/>
  <c r="J244" i="1" s="1"/>
  <c r="AG245" i="1" s="1"/>
  <c r="AC245" i="1" s="1"/>
  <c r="I245" i="1"/>
  <c r="C245" i="1"/>
  <c r="AK245" i="1"/>
  <c r="E148" i="4" l="1"/>
  <c r="O179" i="4"/>
  <c r="AI174" i="4"/>
  <c r="I149" i="4"/>
  <c r="AK143" i="4"/>
  <c r="C149" i="4"/>
  <c r="AN142" i="4"/>
  <c r="I278" i="1"/>
  <c r="K245" i="1"/>
  <c r="H245" i="1"/>
  <c r="H278" i="1" s="1"/>
  <c r="D245" i="1"/>
  <c r="E245" i="1" s="1"/>
  <c r="H149" i="4" l="1"/>
  <c r="D149" i="4"/>
  <c r="K149" i="4" s="1"/>
  <c r="O180" i="4"/>
  <c r="AI175" i="4"/>
  <c r="G245" i="1"/>
  <c r="G278" i="1" s="1"/>
  <c r="D278" i="1"/>
  <c r="I246" i="1"/>
  <c r="C246" i="1"/>
  <c r="AK246" i="1"/>
  <c r="E149" i="4" l="1"/>
  <c r="J245" i="1"/>
  <c r="J278" i="1" s="1"/>
  <c r="J149" i="4"/>
  <c r="AG144" i="4" s="1"/>
  <c r="AC144" i="4" s="1"/>
  <c r="AN143" i="4"/>
  <c r="C150" i="4"/>
  <c r="I150" i="4"/>
  <c r="AK144" i="4"/>
  <c r="AG246" i="1"/>
  <c r="AC246" i="1" s="1"/>
  <c r="K246" i="1"/>
  <c r="D246" i="1"/>
  <c r="G246" i="1" s="1"/>
  <c r="H246" i="1"/>
  <c r="E246" i="1" l="1"/>
  <c r="H150" i="4"/>
  <c r="D150" i="4"/>
  <c r="K150" i="4" s="1"/>
  <c r="AI176" i="4"/>
  <c r="O181" i="4"/>
  <c r="J246" i="1"/>
  <c r="AG247" i="1" s="1"/>
  <c r="AC247" i="1" s="1"/>
  <c r="I247" i="1"/>
  <c r="C247" i="1"/>
  <c r="AK247" i="1"/>
  <c r="E150" i="4" l="1"/>
  <c r="J150" i="4"/>
  <c r="AG145" i="4" s="1"/>
  <c r="AC145" i="4" s="1"/>
  <c r="C151" i="4"/>
  <c r="AK145" i="4"/>
  <c r="AN144" i="4"/>
  <c r="I151" i="4"/>
  <c r="K247" i="1"/>
  <c r="H247" i="1"/>
  <c r="D247" i="1"/>
  <c r="H151" i="4" l="1"/>
  <c r="D151" i="4"/>
  <c r="K151" i="4" s="1"/>
  <c r="E247" i="1"/>
  <c r="G247" i="1"/>
  <c r="J247" i="1" s="1"/>
  <c r="I248" i="1"/>
  <c r="C248" i="1"/>
  <c r="AK248" i="1"/>
  <c r="E151" i="4" l="1"/>
  <c r="J151" i="4"/>
  <c r="AG146" i="4" s="1"/>
  <c r="AC146" i="4" s="1"/>
  <c r="AN145" i="4"/>
  <c r="C152" i="4"/>
  <c r="I152" i="4"/>
  <c r="AK146" i="4"/>
  <c r="O182" i="4"/>
  <c r="AI177" i="4"/>
  <c r="AG248" i="1"/>
  <c r="AC248" i="1" s="1"/>
  <c r="K248" i="1"/>
  <c r="D248" i="1"/>
  <c r="G248" i="1" s="1"/>
  <c r="H248" i="1"/>
  <c r="E248" i="1" l="1"/>
  <c r="H152" i="4"/>
  <c r="D152" i="4"/>
  <c r="E152" i="4" s="1"/>
  <c r="K152" i="4"/>
  <c r="AI178" i="4"/>
  <c r="O183" i="4"/>
  <c r="J248" i="1"/>
  <c r="I249" i="1"/>
  <c r="C249" i="1"/>
  <c r="AK249" i="1"/>
  <c r="J152" i="4" l="1"/>
  <c r="AG147" i="4" s="1"/>
  <c r="AC147" i="4" s="1"/>
  <c r="AN146" i="4"/>
  <c r="C153" i="4"/>
  <c r="I153" i="4"/>
  <c r="AK147" i="4"/>
  <c r="K249" i="1"/>
  <c r="D249" i="1"/>
  <c r="H249" i="1"/>
  <c r="AG249" i="1"/>
  <c r="AC249" i="1" s="1"/>
  <c r="H153" i="4" l="1"/>
  <c r="K153" i="4"/>
  <c r="D153" i="4"/>
  <c r="E153" i="4" s="1"/>
  <c r="O184" i="4"/>
  <c r="AI179" i="4"/>
  <c r="E249" i="1"/>
  <c r="G249" i="1"/>
  <c r="J249" i="1" s="1"/>
  <c r="I250" i="1"/>
  <c r="C250" i="1"/>
  <c r="AK250" i="1"/>
  <c r="J153" i="4" l="1"/>
  <c r="AG148" i="4" s="1"/>
  <c r="AC148" i="4" s="1"/>
  <c r="AN147" i="4"/>
  <c r="I154" i="4"/>
  <c r="C154" i="4"/>
  <c r="AK148" i="4"/>
  <c r="K250" i="1"/>
  <c r="D250" i="1"/>
  <c r="G250" i="1" s="1"/>
  <c r="H250" i="1"/>
  <c r="AG250" i="1"/>
  <c r="AC250" i="1" s="1"/>
  <c r="AI180" i="4" l="1"/>
  <c r="O185" i="4"/>
  <c r="H154" i="4"/>
  <c r="D154" i="4"/>
  <c r="E154" i="4" s="1"/>
  <c r="K154" i="4"/>
  <c r="J250" i="1"/>
  <c r="AG251" i="1" s="1"/>
  <c r="AC251" i="1" s="1"/>
  <c r="E250" i="1"/>
  <c r="I251" i="1"/>
  <c r="C251" i="1"/>
  <c r="AK251" i="1"/>
  <c r="J154" i="4" l="1"/>
  <c r="AG149" i="4" s="1"/>
  <c r="AC149" i="4" s="1"/>
  <c r="I155" i="4"/>
  <c r="AK149" i="4"/>
  <c r="AN148" i="4"/>
  <c r="C155" i="4"/>
  <c r="K251" i="1"/>
  <c r="D251" i="1"/>
  <c r="H251" i="1"/>
  <c r="H155" i="4" l="1"/>
  <c r="D155" i="4"/>
  <c r="E155" i="4" s="1"/>
  <c r="K155" i="4"/>
  <c r="O186" i="4"/>
  <c r="AI181" i="4"/>
  <c r="E251" i="1"/>
  <c r="G251" i="1"/>
  <c r="J251" i="1" s="1"/>
  <c r="AG252" i="1" s="1"/>
  <c r="AC252" i="1" s="1"/>
  <c r="I252" i="1"/>
  <c r="C252" i="1"/>
  <c r="AK252" i="1"/>
  <c r="J155" i="4" l="1"/>
  <c r="AG150" i="4" s="1"/>
  <c r="AC150" i="4" s="1"/>
  <c r="AN149" i="4"/>
  <c r="I156" i="4"/>
  <c r="C156" i="4"/>
  <c r="AK150" i="4"/>
  <c r="K252" i="1"/>
  <c r="H252" i="1"/>
  <c r="D252" i="1"/>
  <c r="H156" i="4" l="1"/>
  <c r="D156" i="4"/>
  <c r="K156" i="4" s="1"/>
  <c r="E252" i="1"/>
  <c r="G252" i="1"/>
  <c r="J252" i="1" s="1"/>
  <c r="AG253" i="1" s="1"/>
  <c r="AC253" i="1" s="1"/>
  <c r="I253" i="1"/>
  <c r="C253" i="1"/>
  <c r="AK253" i="1"/>
  <c r="E156" i="4" l="1"/>
  <c r="J156" i="4"/>
  <c r="AG151" i="4" s="1"/>
  <c r="AC151" i="4" s="1"/>
  <c r="I157" i="4"/>
  <c r="AK151" i="4"/>
  <c r="AN150" i="4"/>
  <c r="C157" i="4"/>
  <c r="AI182" i="4"/>
  <c r="O187" i="4"/>
  <c r="K253" i="1"/>
  <c r="D253" i="1"/>
  <c r="H253" i="1"/>
  <c r="D157" i="4" l="1"/>
  <c r="E157" i="4" s="1"/>
  <c r="H157" i="4"/>
  <c r="K157" i="4"/>
  <c r="AI183" i="4"/>
  <c r="O188" i="4"/>
  <c r="E253" i="1"/>
  <c r="G253" i="1"/>
  <c r="J253" i="1" s="1"/>
  <c r="AG254" i="1" s="1"/>
  <c r="AC254" i="1" s="1"/>
  <c r="I254" i="1"/>
  <c r="C254" i="1"/>
  <c r="AK254" i="1"/>
  <c r="J157" i="4" l="1"/>
  <c r="AG152" i="4" s="1"/>
  <c r="AC152" i="4" s="1"/>
  <c r="AK152" i="4"/>
  <c r="AN151" i="4"/>
  <c r="C158" i="4"/>
  <c r="I158" i="4"/>
  <c r="K254" i="1"/>
  <c r="H254" i="1"/>
  <c r="D254" i="1"/>
  <c r="H158" i="4" l="1"/>
  <c r="K158" i="4"/>
  <c r="D158" i="4"/>
  <c r="E158" i="4" s="1"/>
  <c r="E254" i="1"/>
  <c r="G254" i="1"/>
  <c r="J254" i="1" s="1"/>
  <c r="AG255" i="1" s="1"/>
  <c r="AC255" i="1" s="1"/>
  <c r="I255" i="1"/>
  <c r="C255" i="1"/>
  <c r="AK255" i="1"/>
  <c r="J158" i="4" l="1"/>
  <c r="AG153" i="4" s="1"/>
  <c r="AC153" i="4" s="1"/>
  <c r="I159" i="4"/>
  <c r="AK153" i="4"/>
  <c r="AN152" i="4"/>
  <c r="C159" i="4"/>
  <c r="O189" i="4"/>
  <c r="AI184" i="4"/>
  <c r="K255" i="1"/>
  <c r="D255" i="1"/>
  <c r="H255" i="1"/>
  <c r="H159" i="4" l="1"/>
  <c r="K159" i="4"/>
  <c r="D159" i="4"/>
  <c r="E159" i="4" s="1"/>
  <c r="O190" i="4"/>
  <c r="AI185" i="4"/>
  <c r="E255" i="1"/>
  <c r="G255" i="1"/>
  <c r="J255" i="1" s="1"/>
  <c r="AG256" i="1" s="1"/>
  <c r="AC256" i="1" s="1"/>
  <c r="I256" i="1"/>
  <c r="C256" i="1"/>
  <c r="AK256" i="1"/>
  <c r="J159" i="4" l="1"/>
  <c r="AG154" i="4" s="1"/>
  <c r="AC154" i="4" s="1"/>
  <c r="I160" i="4"/>
  <c r="AK154" i="4"/>
  <c r="AN153" i="4"/>
  <c r="C160" i="4"/>
  <c r="K256" i="1"/>
  <c r="D256" i="1"/>
  <c r="H256" i="1"/>
  <c r="H160" i="4" l="1"/>
  <c r="J160" i="4" s="1"/>
  <c r="AG155" i="4" s="1"/>
  <c r="AC155" i="4" s="1"/>
  <c r="D160" i="4"/>
  <c r="K160" i="4" s="1"/>
  <c r="E256" i="1"/>
  <c r="G256" i="1"/>
  <c r="J256" i="1" s="1"/>
  <c r="AG257" i="1" s="1"/>
  <c r="AC257" i="1" s="1"/>
  <c r="I257" i="1"/>
  <c r="C257" i="1"/>
  <c r="AK257" i="1"/>
  <c r="E160" i="4" l="1"/>
  <c r="O191" i="4"/>
  <c r="AI186" i="4"/>
  <c r="I161" i="4"/>
  <c r="AK155" i="4"/>
  <c r="AN154" i="4"/>
  <c r="C161" i="4"/>
  <c r="K257" i="1"/>
  <c r="D257" i="1"/>
  <c r="G257" i="1" s="1"/>
  <c r="H257" i="1"/>
  <c r="D161" i="4" l="1"/>
  <c r="K161" i="4" s="1"/>
  <c r="H161" i="4"/>
  <c r="J161" i="4" s="1"/>
  <c r="AG156" i="4" s="1"/>
  <c r="AC156" i="4" s="1"/>
  <c r="E257" i="1"/>
  <c r="J257" i="1"/>
  <c r="AG258" i="1" s="1"/>
  <c r="AC258" i="1" s="1"/>
  <c r="I258" i="1"/>
  <c r="C258" i="1"/>
  <c r="AK258" i="1"/>
  <c r="E161" i="4" l="1"/>
  <c r="O192" i="4"/>
  <c r="AI187" i="4"/>
  <c r="AN155" i="4"/>
  <c r="C162" i="4"/>
  <c r="I162" i="4"/>
  <c r="AK156" i="4"/>
  <c r="K258" i="1"/>
  <c r="D258" i="1"/>
  <c r="G258" i="1" s="1"/>
  <c r="H258" i="1"/>
  <c r="D162" i="4" l="1"/>
  <c r="K162" i="4" s="1"/>
  <c r="H162" i="4"/>
  <c r="J162" i="4" s="1"/>
  <c r="AG157" i="4" s="1"/>
  <c r="AC157" i="4" s="1"/>
  <c r="J258" i="1"/>
  <c r="AG259" i="1" s="1"/>
  <c r="AC259" i="1" s="1"/>
  <c r="E258" i="1"/>
  <c r="I259" i="1"/>
  <c r="C259" i="1"/>
  <c r="AK259" i="1"/>
  <c r="E162" i="4" l="1"/>
  <c r="AI188" i="4"/>
  <c r="O193" i="4"/>
  <c r="AN156" i="4"/>
  <c r="I163" i="4"/>
  <c r="C163" i="4"/>
  <c r="AK157" i="4"/>
  <c r="K259" i="1"/>
  <c r="D259" i="1"/>
  <c r="H259" i="1"/>
  <c r="H163" i="4" l="1"/>
  <c r="D163" i="4"/>
  <c r="K163" i="4" s="1"/>
  <c r="E259" i="1"/>
  <c r="G259" i="1"/>
  <c r="J259" i="1" s="1"/>
  <c r="AG260" i="1" s="1"/>
  <c r="AC260" i="1" s="1"/>
  <c r="I260" i="1"/>
  <c r="C260" i="1"/>
  <c r="AK260" i="1"/>
  <c r="E163" i="4" l="1"/>
  <c r="J163" i="4"/>
  <c r="AG158" i="4" s="1"/>
  <c r="AC158" i="4" s="1"/>
  <c r="I164" i="4"/>
  <c r="AK158" i="4"/>
  <c r="AN157" i="4"/>
  <c r="C164" i="4"/>
  <c r="AI189" i="4"/>
  <c r="O194" i="4"/>
  <c r="K260" i="1"/>
  <c r="D260" i="1"/>
  <c r="G260" i="1" s="1"/>
  <c r="H260" i="1"/>
  <c r="H164" i="4" l="1"/>
  <c r="D164" i="4"/>
  <c r="E164" i="4" s="1"/>
  <c r="K164" i="4"/>
  <c r="O195" i="4"/>
  <c r="AI190" i="4"/>
  <c r="J260" i="1"/>
  <c r="AG261" i="1" s="1"/>
  <c r="AC261" i="1" s="1"/>
  <c r="I261" i="1"/>
  <c r="C261" i="1"/>
  <c r="AK261" i="1"/>
  <c r="E260" i="1"/>
  <c r="J164" i="4" l="1"/>
  <c r="AG159" i="4" s="1"/>
  <c r="AC159" i="4" s="1"/>
  <c r="AN158" i="4"/>
  <c r="C165" i="4"/>
  <c r="I165" i="4"/>
  <c r="AK159" i="4"/>
  <c r="K261" i="1"/>
  <c r="D261" i="1"/>
  <c r="G261" i="1" s="1"/>
  <c r="H261" i="1"/>
  <c r="H165" i="4" l="1"/>
  <c r="K165" i="4"/>
  <c r="D165" i="4"/>
  <c r="E165" i="4" s="1"/>
  <c r="O196" i="4"/>
  <c r="AI191" i="4"/>
  <c r="J261" i="1"/>
  <c r="AG262" i="1" s="1"/>
  <c r="AC262" i="1" s="1"/>
  <c r="E261" i="1"/>
  <c r="I262" i="1"/>
  <c r="C262" i="1"/>
  <c r="AK262" i="1"/>
  <c r="J165" i="4" l="1"/>
  <c r="AG160" i="4" s="1"/>
  <c r="AC160" i="4" s="1"/>
  <c r="I166" i="4"/>
  <c r="AK160" i="4"/>
  <c r="AN159" i="4"/>
  <c r="C166" i="4"/>
  <c r="K262" i="1"/>
  <c r="H262" i="1"/>
  <c r="D262" i="1"/>
  <c r="H166" i="4" l="1"/>
  <c r="J166" i="4" s="1"/>
  <c r="AG161" i="4" s="1"/>
  <c r="AC161" i="4" s="1"/>
  <c r="D166" i="4"/>
  <c r="K166" i="4" s="1"/>
  <c r="E262" i="1"/>
  <c r="G262" i="1"/>
  <c r="J262" i="1" s="1"/>
  <c r="AG263" i="1" s="1"/>
  <c r="AC263" i="1" s="1"/>
  <c r="I263" i="1"/>
  <c r="C263" i="1"/>
  <c r="AK263" i="1"/>
  <c r="E166" i="4" l="1"/>
  <c r="O197" i="4"/>
  <c r="AI192" i="4"/>
  <c r="C167" i="4"/>
  <c r="I167" i="4"/>
  <c r="AK161" i="4"/>
  <c r="AN160" i="4"/>
  <c r="K263" i="1"/>
  <c r="H263" i="1"/>
  <c r="D263" i="1"/>
  <c r="D167" i="4" l="1"/>
  <c r="K167" i="4" s="1"/>
  <c r="H167" i="4"/>
  <c r="E263" i="1"/>
  <c r="G263" i="1"/>
  <c r="J263" i="1" s="1"/>
  <c r="AG264" i="1" s="1"/>
  <c r="AC264" i="1" s="1"/>
  <c r="I264" i="1"/>
  <c r="C264" i="1"/>
  <c r="AK264" i="1"/>
  <c r="E167" i="4" l="1"/>
  <c r="J167" i="4"/>
  <c r="AG162" i="4" s="1"/>
  <c r="AC162" i="4" s="1"/>
  <c r="AN161" i="4"/>
  <c r="I168" i="4"/>
  <c r="C168" i="4"/>
  <c r="AK162" i="4"/>
  <c r="O198" i="4"/>
  <c r="AI193" i="4"/>
  <c r="K264" i="1"/>
  <c r="D264" i="1"/>
  <c r="G264" i="1" s="1"/>
  <c r="H264" i="1"/>
  <c r="H168" i="4" l="1"/>
  <c r="D168" i="4"/>
  <c r="E168" i="4" s="1"/>
  <c r="K168" i="4"/>
  <c r="E264" i="1"/>
  <c r="J264" i="1"/>
  <c r="AG265" i="1" s="1"/>
  <c r="AC265" i="1" s="1"/>
  <c r="I265" i="1"/>
  <c r="C265" i="1"/>
  <c r="AK265" i="1"/>
  <c r="J168" i="4" l="1"/>
  <c r="AG163" i="4" s="1"/>
  <c r="AC163" i="4" s="1"/>
  <c r="AN162" i="4"/>
  <c r="C169" i="4"/>
  <c r="AK163" i="4"/>
  <c r="I169" i="4"/>
  <c r="O199" i="4"/>
  <c r="AI194" i="4"/>
  <c r="K265" i="1"/>
  <c r="D265" i="1"/>
  <c r="G265" i="1" s="1"/>
  <c r="H265" i="1"/>
  <c r="H169" i="4" l="1"/>
  <c r="D169" i="4"/>
  <c r="E169" i="4" s="1"/>
  <c r="K169" i="4"/>
  <c r="J265" i="1"/>
  <c r="AG266" i="1" s="1"/>
  <c r="AC266" i="1" s="1"/>
  <c r="E265" i="1"/>
  <c r="I266" i="1"/>
  <c r="C266" i="1"/>
  <c r="AK266" i="1"/>
  <c r="J169" i="4" l="1"/>
  <c r="AG164" i="4" s="1"/>
  <c r="AC164" i="4" s="1"/>
  <c r="AN163" i="4"/>
  <c r="C170" i="4"/>
  <c r="I170" i="4"/>
  <c r="AK164" i="4"/>
  <c r="AI195" i="4"/>
  <c r="O200" i="4"/>
  <c r="K266" i="1"/>
  <c r="H266" i="1"/>
  <c r="D266" i="1"/>
  <c r="H170" i="4" l="1"/>
  <c r="D170" i="4"/>
  <c r="E170" i="4" s="1"/>
  <c r="K170" i="4"/>
  <c r="O201" i="4"/>
  <c r="AI196" i="4"/>
  <c r="E266" i="1"/>
  <c r="G266" i="1"/>
  <c r="J266" i="1" s="1"/>
  <c r="AG267" i="1" s="1"/>
  <c r="AC267" i="1" s="1"/>
  <c r="I267" i="1"/>
  <c r="C267" i="1"/>
  <c r="AK267" i="1"/>
  <c r="J170" i="4" l="1"/>
  <c r="AG165" i="4" s="1"/>
  <c r="AC165" i="4" s="1"/>
  <c r="I171" i="4"/>
  <c r="AK165" i="4"/>
  <c r="AN164" i="4"/>
  <c r="C171" i="4"/>
  <c r="K267" i="1"/>
  <c r="D267" i="1"/>
  <c r="G267" i="1" s="1"/>
  <c r="H267" i="1"/>
  <c r="H171" i="4" l="1"/>
  <c r="K171" i="4"/>
  <c r="D171" i="4"/>
  <c r="E171" i="4" s="1"/>
  <c r="AI197" i="4"/>
  <c r="O202" i="4"/>
  <c r="J267" i="1"/>
  <c r="AG268" i="1" s="1"/>
  <c r="AC268" i="1" s="1"/>
  <c r="E267" i="1"/>
  <c r="I268" i="1"/>
  <c r="C268" i="1"/>
  <c r="AK268" i="1"/>
  <c r="J171" i="4" l="1"/>
  <c r="AG166" i="4" s="1"/>
  <c r="AC166" i="4" s="1"/>
  <c r="I172" i="4"/>
  <c r="AK166" i="4"/>
  <c r="C172" i="4"/>
  <c r="AN165" i="4"/>
  <c r="K268" i="1"/>
  <c r="D268" i="1"/>
  <c r="G268" i="1" s="1"/>
  <c r="H268" i="1"/>
  <c r="H172" i="4" l="1"/>
  <c r="J172" i="4" s="1"/>
  <c r="AG167" i="4" s="1"/>
  <c r="AC167" i="4" s="1"/>
  <c r="D172" i="4"/>
  <c r="K172" i="4" s="1"/>
  <c r="J268" i="1"/>
  <c r="AG269" i="1" s="1"/>
  <c r="AC269" i="1" s="1"/>
  <c r="E268" i="1"/>
  <c r="I269" i="1"/>
  <c r="C269" i="1"/>
  <c r="AK269" i="1"/>
  <c r="E172" i="4" l="1"/>
  <c r="AI198" i="4"/>
  <c r="O203" i="4"/>
  <c r="AN166" i="4"/>
  <c r="C173" i="4"/>
  <c r="I173" i="4"/>
  <c r="AK167" i="4"/>
  <c r="K269" i="1"/>
  <c r="D269" i="1"/>
  <c r="H269" i="1"/>
  <c r="D173" i="4" l="1"/>
  <c r="E173" i="4" s="1"/>
  <c r="H173" i="4"/>
  <c r="J173" i="4" s="1"/>
  <c r="AG168" i="4" s="1"/>
  <c r="AC168" i="4" s="1"/>
  <c r="E269" i="1"/>
  <c r="G269" i="1"/>
  <c r="J269" i="1" s="1"/>
  <c r="AG270" i="1" s="1"/>
  <c r="AC270" i="1" s="1"/>
  <c r="I270" i="1"/>
  <c r="C270" i="1"/>
  <c r="AK270" i="1"/>
  <c r="K173" i="4" l="1"/>
  <c r="I174" i="4" s="1"/>
  <c r="O204" i="4"/>
  <c r="AI199" i="4"/>
  <c r="K270" i="1"/>
  <c r="H270" i="1"/>
  <c r="D270" i="1"/>
  <c r="AK168" i="4" l="1"/>
  <c r="C174" i="4"/>
  <c r="D174" i="4" s="1"/>
  <c r="E174" i="4" s="1"/>
  <c r="AN167" i="4"/>
  <c r="E270" i="1"/>
  <c r="G270" i="1"/>
  <c r="J270" i="1" s="1"/>
  <c r="AG271" i="1" s="1"/>
  <c r="AC271" i="1" s="1"/>
  <c r="I271" i="1"/>
  <c r="C271" i="1"/>
  <c r="AK271" i="1"/>
  <c r="H174" i="4" l="1"/>
  <c r="J174" i="4" s="1"/>
  <c r="AG169" i="4" s="1"/>
  <c r="AC169" i="4" s="1"/>
  <c r="K174" i="4"/>
  <c r="I175" i="4" s="1"/>
  <c r="O205" i="4"/>
  <c r="AI200" i="4"/>
  <c r="K271" i="1"/>
  <c r="D271" i="1"/>
  <c r="G271" i="1" s="1"/>
  <c r="H271" i="1"/>
  <c r="AK169" i="4" l="1"/>
  <c r="C175" i="4"/>
  <c r="K175" i="4" s="1"/>
  <c r="AN168" i="4"/>
  <c r="AI201" i="4"/>
  <c r="O206" i="4"/>
  <c r="E271" i="1"/>
  <c r="J271" i="1"/>
  <c r="AG272" i="1" s="1"/>
  <c r="AC272" i="1" s="1"/>
  <c r="I272" i="1"/>
  <c r="C272" i="1"/>
  <c r="AK272" i="1"/>
  <c r="D175" i="4" l="1"/>
  <c r="E175" i="4" s="1"/>
  <c r="H175" i="4"/>
  <c r="J175" i="4" s="1"/>
  <c r="AG170" i="4" s="1"/>
  <c r="AC170" i="4" s="1"/>
  <c r="AK170" i="4"/>
  <c r="AN169" i="4"/>
  <c r="C176" i="4"/>
  <c r="I176" i="4"/>
  <c r="K272" i="1"/>
  <c r="H272" i="1"/>
  <c r="D272" i="1"/>
  <c r="O207" i="4" l="1"/>
  <c r="AI202" i="4"/>
  <c r="H176" i="4"/>
  <c r="K176" i="4"/>
  <c r="D176" i="4"/>
  <c r="E272" i="1"/>
  <c r="G272" i="1"/>
  <c r="J272" i="1" s="1"/>
  <c r="AG273" i="1" s="1"/>
  <c r="AC273" i="1" s="1"/>
  <c r="I273" i="1"/>
  <c r="C273" i="1"/>
  <c r="AK273" i="1"/>
  <c r="J176" i="4" l="1"/>
  <c r="AG171" i="4" s="1"/>
  <c r="AC171" i="4" s="1"/>
  <c r="E176" i="4"/>
  <c r="AN170" i="4"/>
  <c r="C177" i="4"/>
  <c r="I177" i="4"/>
  <c r="AK171" i="4"/>
  <c r="K273" i="1"/>
  <c r="D273" i="1"/>
  <c r="G273" i="1" s="1"/>
  <c r="H273" i="1"/>
  <c r="H177" i="4" l="1"/>
  <c r="J177" i="4" s="1"/>
  <c r="D177" i="4"/>
  <c r="K177" i="4"/>
  <c r="AI203" i="4"/>
  <c r="O208" i="4"/>
  <c r="J273" i="1"/>
  <c r="AG274" i="1" s="1"/>
  <c r="AC274" i="1" s="1"/>
  <c r="I274" i="1"/>
  <c r="C274" i="1"/>
  <c r="AK274" i="1"/>
  <c r="E273" i="1"/>
  <c r="AG172" i="4" l="1"/>
  <c r="AC172" i="4" s="1"/>
  <c r="E177" i="4"/>
  <c r="I178" i="4"/>
  <c r="AK172" i="4"/>
  <c r="AN171" i="4"/>
  <c r="C178" i="4"/>
  <c r="K274" i="1"/>
  <c r="H274" i="1"/>
  <c r="D274" i="1"/>
  <c r="H178" i="4" l="1"/>
  <c r="J178" i="4" s="1"/>
  <c r="K178" i="4"/>
  <c r="D178" i="4"/>
  <c r="E178" i="4" s="1"/>
  <c r="O209" i="4"/>
  <c r="AI204" i="4"/>
  <c r="E274" i="1"/>
  <c r="G274" i="1"/>
  <c r="J274" i="1" s="1"/>
  <c r="AG275" i="1" s="1"/>
  <c r="AC275" i="1" s="1"/>
  <c r="I275" i="1"/>
  <c r="C275" i="1"/>
  <c r="AK275" i="1"/>
  <c r="AG173" i="4" l="1"/>
  <c r="AC173" i="4" s="1"/>
  <c r="I179" i="4"/>
  <c r="AK173" i="4"/>
  <c r="C179" i="4"/>
  <c r="AN172" i="4"/>
  <c r="K275" i="1"/>
  <c r="D275" i="1"/>
  <c r="H275" i="1"/>
  <c r="H179" i="4" l="1"/>
  <c r="J179" i="4" s="1"/>
  <c r="K179" i="4"/>
  <c r="D179" i="4"/>
  <c r="E179" i="4" s="1"/>
  <c r="O210" i="4"/>
  <c r="AI205" i="4"/>
  <c r="E275" i="1"/>
  <c r="G275" i="1"/>
  <c r="J275" i="1" s="1"/>
  <c r="AG276" i="1" s="1"/>
  <c r="AC276" i="1" s="1"/>
  <c r="I276" i="1"/>
  <c r="C276" i="1"/>
  <c r="AK276" i="1"/>
  <c r="AG174" i="4" l="1"/>
  <c r="AC174" i="4" s="1"/>
  <c r="I180" i="4"/>
  <c r="AK174" i="4"/>
  <c r="AN173" i="4"/>
  <c r="C180" i="4"/>
  <c r="K276" i="1"/>
  <c r="D276" i="1"/>
  <c r="H276" i="1"/>
  <c r="H180" i="4" l="1"/>
  <c r="J180" i="4" s="1"/>
  <c r="K180" i="4"/>
  <c r="D180" i="4"/>
  <c r="E180" i="4" s="1"/>
  <c r="AI206" i="4"/>
  <c r="O211" i="4"/>
  <c r="E276" i="1"/>
  <c r="G276" i="1"/>
  <c r="J276" i="1" s="1"/>
  <c r="AG277" i="1" s="1"/>
  <c r="AC277" i="1" s="1"/>
  <c r="I277" i="1"/>
  <c r="C277" i="1"/>
  <c r="AK277" i="1"/>
  <c r="AG175" i="4" l="1"/>
  <c r="AC175" i="4" s="1"/>
  <c r="AN174" i="4"/>
  <c r="C181" i="4"/>
  <c r="I181" i="4"/>
  <c r="AK175" i="4"/>
  <c r="K277" i="1"/>
  <c r="AK278" i="1" s="1"/>
  <c r="D277" i="1"/>
  <c r="H277" i="1"/>
  <c r="H181" i="4" l="1"/>
  <c r="D181" i="4"/>
  <c r="E181" i="4" s="1"/>
  <c r="K181" i="4"/>
  <c r="AI207" i="4"/>
  <c r="O212" i="4"/>
  <c r="E277" i="1"/>
  <c r="G277" i="1"/>
  <c r="J277" i="1" s="1"/>
  <c r="J181" i="4" l="1"/>
  <c r="AG176" i="4" s="1"/>
  <c r="AC176" i="4" s="1"/>
  <c r="I182" i="4"/>
  <c r="AK176" i="4"/>
  <c r="AN175" i="4"/>
  <c r="C182" i="4"/>
  <c r="AG278" i="1"/>
  <c r="AC278" i="1" s="1"/>
  <c r="I30" i="1"/>
  <c r="H182" i="4" l="1"/>
  <c r="K182" i="4"/>
  <c r="D182" i="4"/>
  <c r="E182" i="4" s="1"/>
  <c r="O213" i="4"/>
  <c r="AI208" i="4"/>
  <c r="AF46" i="1"/>
  <c r="AB46" i="1" s="1"/>
  <c r="AF45" i="1"/>
  <c r="AB45" i="1" s="1"/>
  <c r="AF42" i="1"/>
  <c r="AB42" i="1" s="1"/>
  <c r="AF47" i="1"/>
  <c r="AB47" i="1" s="1"/>
  <c r="AF43" i="1"/>
  <c r="AB43" i="1" s="1"/>
  <c r="AF48" i="1"/>
  <c r="AB48" i="1" s="1"/>
  <c r="J182" i="4" l="1"/>
  <c r="AG177" i="4" s="1"/>
  <c r="AC177" i="4" s="1"/>
  <c r="AN176" i="4"/>
  <c r="C183" i="4"/>
  <c r="I183" i="4"/>
  <c r="AK177" i="4"/>
  <c r="AF44" i="1"/>
  <c r="AB44" i="1" s="1"/>
  <c r="H183" i="4" l="1"/>
  <c r="J183" i="4" s="1"/>
  <c r="AG178" i="4" s="1"/>
  <c r="AC178" i="4" s="1"/>
  <c r="K183" i="4"/>
  <c r="D183" i="4"/>
  <c r="E183" i="4" s="1"/>
  <c r="AF49" i="1"/>
  <c r="AB49" i="1" s="1"/>
  <c r="I184" i="4" l="1"/>
  <c r="AK178" i="4"/>
  <c r="AN177" i="4"/>
  <c r="C184" i="4"/>
  <c r="O214" i="4"/>
  <c r="AI209" i="4"/>
  <c r="AF50" i="1"/>
  <c r="AB50" i="1" s="1"/>
  <c r="H184" i="4" l="1"/>
  <c r="K184" i="4"/>
  <c r="D184" i="4"/>
  <c r="E184" i="4" s="1"/>
  <c r="AI210" i="4"/>
  <c r="O215" i="4"/>
  <c r="AF51" i="1"/>
  <c r="AB51" i="1" s="1"/>
  <c r="J184" i="4" l="1"/>
  <c r="AG179" i="4" s="1"/>
  <c r="AC179" i="4" s="1"/>
  <c r="AN178" i="4"/>
  <c r="C185" i="4"/>
  <c r="I185" i="4"/>
  <c r="AK179" i="4"/>
  <c r="AF52" i="1"/>
  <c r="AB52" i="1" s="1"/>
  <c r="H185" i="4" l="1"/>
  <c r="K185" i="4"/>
  <c r="D185" i="4"/>
  <c r="E185" i="4" s="1"/>
  <c r="O216" i="4"/>
  <c r="AI211" i="4"/>
  <c r="AF53" i="1"/>
  <c r="AB53" i="1" s="1"/>
  <c r="J185" i="4" l="1"/>
  <c r="AG180" i="4" s="1"/>
  <c r="AC180" i="4" s="1"/>
  <c r="I186" i="4"/>
  <c r="AK180" i="4"/>
  <c r="AN179" i="4"/>
  <c r="C186" i="4"/>
  <c r="AF54" i="1"/>
  <c r="AB54" i="1" s="1"/>
  <c r="H186" i="4" l="1"/>
  <c r="K186" i="4"/>
  <c r="D186" i="4"/>
  <c r="E186" i="4" s="1"/>
  <c r="O217" i="4"/>
  <c r="AI212" i="4"/>
  <c r="AF55" i="1"/>
  <c r="AB55" i="1" s="1"/>
  <c r="J186" i="4" l="1"/>
  <c r="AG181" i="4" s="1"/>
  <c r="AC181" i="4" s="1"/>
  <c r="AN180" i="4"/>
  <c r="C187" i="4"/>
  <c r="I187" i="4"/>
  <c r="AK181" i="4"/>
  <c r="AF56" i="1"/>
  <c r="AB56" i="1" s="1"/>
  <c r="H187" i="4" l="1"/>
  <c r="D187" i="4"/>
  <c r="E187" i="4" s="1"/>
  <c r="K187" i="4"/>
  <c r="O218" i="4"/>
  <c r="AI213" i="4"/>
  <c r="AF57" i="1"/>
  <c r="AB57" i="1" s="1"/>
  <c r="J187" i="4" l="1"/>
  <c r="AG182" i="4" s="1"/>
  <c r="AC182" i="4" s="1"/>
  <c r="I188" i="4"/>
  <c r="AK182" i="4"/>
  <c r="AN181" i="4"/>
  <c r="C188" i="4"/>
  <c r="AF58" i="1"/>
  <c r="AB58" i="1" s="1"/>
  <c r="H188" i="4" l="1"/>
  <c r="D188" i="4"/>
  <c r="E188" i="4" s="1"/>
  <c r="K188" i="4"/>
  <c r="AI214" i="4"/>
  <c r="O219" i="4"/>
  <c r="AF59" i="1"/>
  <c r="AB59" i="1" s="1"/>
  <c r="J188" i="4" l="1"/>
  <c r="AG183" i="4" s="1"/>
  <c r="AC183" i="4" s="1"/>
  <c r="C189" i="4"/>
  <c r="AK183" i="4"/>
  <c r="AN182" i="4"/>
  <c r="I189" i="4"/>
  <c r="AF60" i="1"/>
  <c r="AB60" i="1" s="1"/>
  <c r="H189" i="4" l="1"/>
  <c r="D189" i="4"/>
  <c r="K189" i="4" s="1"/>
  <c r="AF61" i="1"/>
  <c r="AB61" i="1" s="1"/>
  <c r="E189" i="4" l="1"/>
  <c r="J189" i="4"/>
  <c r="AG184" i="4" s="1"/>
  <c r="AC184" i="4" s="1"/>
  <c r="AN183" i="4"/>
  <c r="C190" i="4"/>
  <c r="I190" i="4"/>
  <c r="AK184" i="4"/>
  <c r="AI215" i="4"/>
  <c r="O220" i="4"/>
  <c r="AF62" i="1"/>
  <c r="AB62" i="1" s="1"/>
  <c r="H190" i="4" l="1"/>
  <c r="D190" i="4"/>
  <c r="E190" i="4" s="1"/>
  <c r="K190" i="4"/>
  <c r="O221" i="4"/>
  <c r="AI216" i="4"/>
  <c r="AF63" i="1"/>
  <c r="AB63" i="1" s="1"/>
  <c r="J190" i="4" l="1"/>
  <c r="AG185" i="4" s="1"/>
  <c r="AC185" i="4" s="1"/>
  <c r="AN184" i="4"/>
  <c r="I191" i="4"/>
  <c r="C191" i="4"/>
  <c r="AK185" i="4"/>
  <c r="AF64" i="1"/>
  <c r="AB64" i="1" s="1"/>
  <c r="H191" i="4" l="1"/>
  <c r="J191" i="4" s="1"/>
  <c r="D191" i="4"/>
  <c r="K191" i="4" s="1"/>
  <c r="AF65" i="1"/>
  <c r="AB65" i="1" s="1"/>
  <c r="E191" i="4" l="1"/>
  <c r="AG186" i="4"/>
  <c r="AC186" i="4" s="1"/>
  <c r="I192" i="4"/>
  <c r="AK186" i="4"/>
  <c r="AN185" i="4"/>
  <c r="C192" i="4"/>
  <c r="AI217" i="4"/>
  <c r="O222" i="4"/>
  <c r="AF66" i="1"/>
  <c r="AB66" i="1" s="1"/>
  <c r="H192" i="4" l="1"/>
  <c r="D192" i="4"/>
  <c r="E192" i="4" s="1"/>
  <c r="K192" i="4"/>
  <c r="AI218" i="4"/>
  <c r="O223" i="4"/>
  <c r="AF67" i="1"/>
  <c r="AB67" i="1" s="1"/>
  <c r="J192" i="4" l="1"/>
  <c r="AG187" i="4" s="1"/>
  <c r="AC187" i="4" s="1"/>
  <c r="I193" i="4"/>
  <c r="AK187" i="4"/>
  <c r="AN186" i="4"/>
  <c r="C193" i="4"/>
  <c r="AF68" i="1"/>
  <c r="AB68" i="1" s="1"/>
  <c r="H193" i="4" l="1"/>
  <c r="J193" i="4" s="1"/>
  <c r="D193" i="4"/>
  <c r="E193" i="4" s="1"/>
  <c r="K193" i="4"/>
  <c r="O224" i="4"/>
  <c r="AI219" i="4"/>
  <c r="AF69" i="1"/>
  <c r="AB69" i="1" s="1"/>
  <c r="AG188" i="4" l="1"/>
  <c r="AC188" i="4" s="1"/>
  <c r="I194" i="4"/>
  <c r="AK188" i="4"/>
  <c r="AN187" i="4"/>
  <c r="C194" i="4"/>
  <c r="AF70" i="1"/>
  <c r="AB70" i="1" s="1"/>
  <c r="D194" i="4" l="1"/>
  <c r="E194" i="4" s="1"/>
  <c r="K194" i="4"/>
  <c r="H194" i="4"/>
  <c r="O225" i="4"/>
  <c r="AI220" i="4"/>
  <c r="AF71" i="1"/>
  <c r="AB71" i="1" s="1"/>
  <c r="J194" i="4" l="1"/>
  <c r="AG189" i="4" s="1"/>
  <c r="AC189" i="4" s="1"/>
  <c r="I195" i="4"/>
  <c r="AK189" i="4"/>
  <c r="AN188" i="4"/>
  <c r="C195" i="4"/>
  <c r="AF72" i="1"/>
  <c r="AB72" i="1" s="1"/>
  <c r="H195" i="4" l="1"/>
  <c r="D195" i="4"/>
  <c r="E195" i="4" s="1"/>
  <c r="K195" i="4"/>
  <c r="AI221" i="4"/>
  <c r="O226" i="4"/>
  <c r="AF73" i="1"/>
  <c r="AB73" i="1" s="1"/>
  <c r="J195" i="4" l="1"/>
  <c r="AG190" i="4" s="1"/>
  <c r="AC190" i="4" s="1"/>
  <c r="AN189" i="4"/>
  <c r="I196" i="4"/>
  <c r="AK190" i="4"/>
  <c r="C196" i="4"/>
  <c r="AF74" i="1"/>
  <c r="AB74" i="1" s="1"/>
  <c r="H196" i="4" l="1"/>
  <c r="D196" i="4"/>
  <c r="E196" i="4" s="1"/>
  <c r="K196" i="4"/>
  <c r="O227" i="4"/>
  <c r="AI222" i="4"/>
  <c r="AF75" i="1"/>
  <c r="AB75" i="1" s="1"/>
  <c r="J196" i="4" l="1"/>
  <c r="AG191" i="4" s="1"/>
  <c r="AC191" i="4" s="1"/>
  <c r="AN190" i="4"/>
  <c r="C197" i="4"/>
  <c r="I197" i="4"/>
  <c r="AK191" i="4"/>
  <c r="AF76" i="1"/>
  <c r="AB76" i="1" s="1"/>
  <c r="H197" i="4" l="1"/>
  <c r="D197" i="4"/>
  <c r="E197" i="4" s="1"/>
  <c r="K197" i="4"/>
  <c r="O228" i="4"/>
  <c r="AI223" i="4"/>
  <c r="AF77" i="1"/>
  <c r="AB77" i="1" s="1"/>
  <c r="J197" i="4" l="1"/>
  <c r="AG192" i="4" s="1"/>
  <c r="AC192" i="4" s="1"/>
  <c r="AN191" i="4"/>
  <c r="C198" i="4"/>
  <c r="I198" i="4"/>
  <c r="AK192" i="4"/>
  <c r="AF78" i="1"/>
  <c r="AB78" i="1" s="1"/>
  <c r="H198" i="4" l="1"/>
  <c r="J198" i="4" s="1"/>
  <c r="D198" i="4"/>
  <c r="E198" i="4" s="1"/>
  <c r="K198" i="4"/>
  <c r="O229" i="4"/>
  <c r="AI224" i="4"/>
  <c r="AF79" i="1"/>
  <c r="AB79" i="1" s="1"/>
  <c r="AG193" i="4" l="1"/>
  <c r="AC193" i="4" s="1"/>
  <c r="AN192" i="4"/>
  <c r="C199" i="4"/>
  <c r="I199" i="4"/>
  <c r="AK193" i="4"/>
  <c r="AF80" i="1"/>
  <c r="AB80" i="1" s="1"/>
  <c r="D199" i="4" l="1"/>
  <c r="K199" i="4" s="1"/>
  <c r="H199" i="4"/>
  <c r="AF81" i="1"/>
  <c r="AB81" i="1" s="1"/>
  <c r="E199" i="4" l="1"/>
  <c r="J199" i="4"/>
  <c r="AG194" i="4" s="1"/>
  <c r="AC194" i="4" s="1"/>
  <c r="AI225" i="4"/>
  <c r="O230" i="4"/>
  <c r="AN193" i="4"/>
  <c r="C200" i="4"/>
  <c r="I200" i="4"/>
  <c r="AK194" i="4"/>
  <c r="AF82" i="1"/>
  <c r="AB82" i="1" s="1"/>
  <c r="K200" i="4" l="1"/>
  <c r="H200" i="4"/>
  <c r="J200" i="4" s="1"/>
  <c r="D200" i="4"/>
  <c r="E200" i="4" s="1"/>
  <c r="AF83" i="1"/>
  <c r="AB83" i="1" s="1"/>
  <c r="AG195" i="4" l="1"/>
  <c r="AC195" i="4" s="1"/>
  <c r="O231" i="4"/>
  <c r="AI226" i="4"/>
  <c r="C201" i="4"/>
  <c r="AK195" i="4"/>
  <c r="AN194" i="4"/>
  <c r="I201" i="4"/>
  <c r="AF84" i="1"/>
  <c r="AB84" i="1" s="1"/>
  <c r="H201" i="4" l="1"/>
  <c r="D201" i="4"/>
  <c r="E201" i="4" s="1"/>
  <c r="K201" i="4"/>
  <c r="AF85" i="1"/>
  <c r="AB85" i="1" s="1"/>
  <c r="J201" i="4" l="1"/>
  <c r="AG196" i="4" s="1"/>
  <c r="AC196" i="4" s="1"/>
  <c r="AN195" i="4"/>
  <c r="I202" i="4"/>
  <c r="C202" i="4"/>
  <c r="AK196" i="4"/>
  <c r="O232" i="4"/>
  <c r="AI227" i="4"/>
  <c r="AF86" i="1"/>
  <c r="AB86" i="1" s="1"/>
  <c r="H202" i="4" l="1"/>
  <c r="D202" i="4"/>
  <c r="E202" i="4" s="1"/>
  <c r="K202" i="4"/>
  <c r="AF87" i="1"/>
  <c r="AB87" i="1" s="1"/>
  <c r="J202" i="4" l="1"/>
  <c r="AG197" i="4" s="1"/>
  <c r="AC197" i="4" s="1"/>
  <c r="C203" i="4"/>
  <c r="AN196" i="4"/>
  <c r="I203" i="4"/>
  <c r="AK197" i="4"/>
  <c r="O233" i="4"/>
  <c r="AI228" i="4"/>
  <c r="AF88" i="1"/>
  <c r="AB88" i="1" s="1"/>
  <c r="H203" i="4" l="1"/>
  <c r="K203" i="4"/>
  <c r="D203" i="4"/>
  <c r="E203" i="4" s="1"/>
  <c r="AF89" i="1"/>
  <c r="AB89" i="1" s="1"/>
  <c r="J203" i="4" l="1"/>
  <c r="AG198" i="4" s="1"/>
  <c r="AC198" i="4" s="1"/>
  <c r="C204" i="4"/>
  <c r="AK198" i="4"/>
  <c r="AN197" i="4"/>
  <c r="I204" i="4"/>
  <c r="O234" i="4"/>
  <c r="AI229" i="4"/>
  <c r="AF90" i="1"/>
  <c r="AB90" i="1" s="1"/>
  <c r="H204" i="4" l="1"/>
  <c r="K204" i="4"/>
  <c r="D204" i="4"/>
  <c r="E204" i="4" s="1"/>
  <c r="AF91" i="1"/>
  <c r="AB91" i="1" s="1"/>
  <c r="J204" i="4" l="1"/>
  <c r="AG199" i="4" s="1"/>
  <c r="AC199" i="4" s="1"/>
  <c r="AN198" i="4"/>
  <c r="C205" i="4"/>
  <c r="I205" i="4"/>
  <c r="AK199" i="4"/>
  <c r="O235" i="4"/>
  <c r="AI230" i="4"/>
  <c r="AF92" i="1"/>
  <c r="AB92" i="1" s="1"/>
  <c r="D205" i="4" l="1"/>
  <c r="K205" i="4" s="1"/>
  <c r="H205" i="4"/>
  <c r="O236" i="4"/>
  <c r="AI231" i="4"/>
  <c r="AF93" i="1"/>
  <c r="AB93" i="1" s="1"/>
  <c r="J205" i="4" l="1"/>
  <c r="AG200" i="4" s="1"/>
  <c r="AC200" i="4" s="1"/>
  <c r="AN199" i="4"/>
  <c r="C206" i="4"/>
  <c r="I206" i="4"/>
  <c r="AK200" i="4"/>
  <c r="E205" i="4"/>
  <c r="AF94" i="1"/>
  <c r="AB94" i="1" s="1"/>
  <c r="H206" i="4" l="1"/>
  <c r="D206" i="4"/>
  <c r="K206" i="4" s="1"/>
  <c r="O237" i="4"/>
  <c r="AI232" i="4"/>
  <c r="AF95" i="1"/>
  <c r="AB95" i="1" s="1"/>
  <c r="J206" i="4" l="1"/>
  <c r="AG201" i="4" s="1"/>
  <c r="AC201" i="4" s="1"/>
  <c r="I207" i="4"/>
  <c r="AK201" i="4"/>
  <c r="AN200" i="4"/>
  <c r="C207" i="4"/>
  <c r="E206" i="4"/>
  <c r="AF96" i="1"/>
  <c r="AB96" i="1" s="1"/>
  <c r="D207" i="4" l="1"/>
  <c r="E207" i="4" s="1"/>
  <c r="H207" i="4"/>
  <c r="J207" i="4" s="1"/>
  <c r="AG202" i="4" s="1"/>
  <c r="AC202" i="4" s="1"/>
  <c r="K207" i="4"/>
  <c r="AF97" i="1"/>
  <c r="AB97" i="1" s="1"/>
  <c r="AN201" i="4" l="1"/>
  <c r="I208" i="4"/>
  <c r="C208" i="4"/>
  <c r="AK202" i="4"/>
  <c r="O238" i="4"/>
  <c r="AI233" i="4"/>
  <c r="AF98" i="1"/>
  <c r="AB98" i="1" s="1"/>
  <c r="D208" i="4" l="1"/>
  <c r="E208" i="4" s="1"/>
  <c r="H208" i="4"/>
  <c r="K208" i="4"/>
  <c r="AF99" i="1"/>
  <c r="AB99" i="1" s="1"/>
  <c r="J208" i="4" l="1"/>
  <c r="AG203" i="4" s="1"/>
  <c r="AC203" i="4" s="1"/>
  <c r="I209" i="4"/>
  <c r="AK203" i="4"/>
  <c r="AN202" i="4"/>
  <c r="C209" i="4"/>
  <c r="AI234" i="4"/>
  <c r="O239" i="4"/>
  <c r="AF100" i="1"/>
  <c r="AB100" i="1" s="1"/>
  <c r="H209" i="4" l="1"/>
  <c r="D209" i="4"/>
  <c r="K209" i="4" s="1"/>
  <c r="AI235" i="4"/>
  <c r="O240" i="4"/>
  <c r="AF101" i="1"/>
  <c r="AB101" i="1" s="1"/>
  <c r="J209" i="4" l="1"/>
  <c r="AG204" i="4" s="1"/>
  <c r="AC204" i="4" s="1"/>
  <c r="AN203" i="4"/>
  <c r="C210" i="4"/>
  <c r="I210" i="4"/>
  <c r="AK204" i="4"/>
  <c r="E209" i="4"/>
  <c r="AF102" i="1"/>
  <c r="AB102" i="1" s="1"/>
  <c r="H210" i="4" l="1"/>
  <c r="D210" i="4"/>
  <c r="K210" i="4" s="1"/>
  <c r="AI236" i="4"/>
  <c r="O241" i="4"/>
  <c r="AF103" i="1"/>
  <c r="AB103" i="1" s="1"/>
  <c r="J210" i="4" l="1"/>
  <c r="AG205" i="4" s="1"/>
  <c r="AC205" i="4" s="1"/>
  <c r="I211" i="4"/>
  <c r="AK205" i="4"/>
  <c r="AN204" i="4"/>
  <c r="C211" i="4"/>
  <c r="E210" i="4"/>
  <c r="AF104" i="1"/>
  <c r="AB104" i="1" s="1"/>
  <c r="H211" i="4" l="1"/>
  <c r="J211" i="4" s="1"/>
  <c r="K211" i="4"/>
  <c r="D211" i="4"/>
  <c r="E211" i="4" s="1"/>
  <c r="O242" i="4"/>
  <c r="AI237" i="4"/>
  <c r="AF105" i="1"/>
  <c r="AB105" i="1" s="1"/>
  <c r="C212" i="4" l="1"/>
  <c r="AK206" i="4"/>
  <c r="I212" i="4"/>
  <c r="AN205" i="4"/>
  <c r="AG206" i="4"/>
  <c r="AC206" i="4" s="1"/>
  <c r="AF106" i="1"/>
  <c r="AB106" i="1" s="1"/>
  <c r="H212" i="4" l="1"/>
  <c r="J212" i="4" s="1"/>
  <c r="K212" i="4"/>
  <c r="D212" i="4"/>
  <c r="E212" i="4" s="1"/>
  <c r="AF107" i="1"/>
  <c r="AB107" i="1" s="1"/>
  <c r="AG207" i="4" l="1"/>
  <c r="AC207" i="4" s="1"/>
  <c r="I213" i="4"/>
  <c r="AK207" i="4"/>
  <c r="AN206" i="4"/>
  <c r="C213" i="4"/>
  <c r="O243" i="4"/>
  <c r="AI238" i="4"/>
  <c r="AF108" i="1"/>
  <c r="AB108" i="1" s="1"/>
  <c r="D213" i="4" l="1"/>
  <c r="E213" i="4" s="1"/>
  <c r="H213" i="4"/>
  <c r="J213" i="4" s="1"/>
  <c r="K213" i="4"/>
  <c r="AF109" i="1"/>
  <c r="AB109" i="1" s="1"/>
  <c r="AG208" i="4" l="1"/>
  <c r="AC208" i="4" s="1"/>
  <c r="AN207" i="4"/>
  <c r="I214" i="4"/>
  <c r="C214" i="4"/>
  <c r="AK208" i="4"/>
  <c r="O244" i="4"/>
  <c r="AI239" i="4"/>
  <c r="AF110" i="1"/>
  <c r="AB110" i="1" s="1"/>
  <c r="D214" i="4" l="1"/>
  <c r="E214" i="4" s="1"/>
  <c r="H214" i="4"/>
  <c r="J214" i="4" s="1"/>
  <c r="K214" i="4"/>
  <c r="AF111" i="1"/>
  <c r="AB111" i="1" s="1"/>
  <c r="AG209" i="4" l="1"/>
  <c r="AC209" i="4" s="1"/>
  <c r="AN208" i="4"/>
  <c r="C215" i="4"/>
  <c r="I215" i="4"/>
  <c r="AK209" i="4"/>
  <c r="O245" i="4"/>
  <c r="AI240" i="4"/>
  <c r="AF112" i="1"/>
  <c r="AB112" i="1" s="1"/>
  <c r="H215" i="4" l="1"/>
  <c r="J215" i="4" s="1"/>
  <c r="D215" i="4"/>
  <c r="K215" i="4" s="1"/>
  <c r="O246" i="4"/>
  <c r="AI241" i="4"/>
  <c r="AF113" i="1"/>
  <c r="AB113" i="1" s="1"/>
  <c r="E215" i="4" l="1"/>
  <c r="I216" i="4"/>
  <c r="AK210" i="4"/>
  <c r="AN209" i="4"/>
  <c r="C216" i="4"/>
  <c r="AG210" i="4"/>
  <c r="AC210" i="4" s="1"/>
  <c r="AF114" i="1"/>
  <c r="AB114" i="1" s="1"/>
  <c r="H216" i="4" l="1"/>
  <c r="D216" i="4"/>
  <c r="K216" i="4" s="1"/>
  <c r="O247" i="4"/>
  <c r="AI242" i="4"/>
  <c r="AF115" i="1"/>
  <c r="AB115" i="1" s="1"/>
  <c r="J216" i="4" l="1"/>
  <c r="AG211" i="4" s="1"/>
  <c r="AC211" i="4" s="1"/>
  <c r="AN210" i="4"/>
  <c r="C217" i="4"/>
  <c r="I217" i="4"/>
  <c r="AK211" i="4"/>
  <c r="E216" i="4"/>
  <c r="AF116" i="1"/>
  <c r="AB116" i="1" s="1"/>
  <c r="H217" i="4" l="1"/>
  <c r="D217" i="4"/>
  <c r="K217" i="4" s="1"/>
  <c r="O248" i="4"/>
  <c r="AI243" i="4"/>
  <c r="AF117" i="1"/>
  <c r="AB117" i="1" s="1"/>
  <c r="J217" i="4" l="1"/>
  <c r="AG212" i="4" s="1"/>
  <c r="AC212" i="4" s="1"/>
  <c r="AN211" i="4"/>
  <c r="C218" i="4"/>
  <c r="I218" i="4"/>
  <c r="AK212" i="4"/>
  <c r="E217" i="4"/>
  <c r="AF118" i="1"/>
  <c r="AB118" i="1" s="1"/>
  <c r="H218" i="4" l="1"/>
  <c r="K218" i="4"/>
  <c r="D218" i="4"/>
  <c r="E218" i="4" s="1"/>
  <c r="O249" i="4"/>
  <c r="AI244" i="4"/>
  <c r="AF119" i="1"/>
  <c r="AB119" i="1" s="1"/>
  <c r="J218" i="4" l="1"/>
  <c r="AG213" i="4" s="1"/>
  <c r="AC213" i="4" s="1"/>
  <c r="AN212" i="4"/>
  <c r="C219" i="4"/>
  <c r="I219" i="4"/>
  <c r="AK213" i="4"/>
  <c r="AF120" i="1"/>
  <c r="AB120" i="1" s="1"/>
  <c r="D219" i="4" l="1"/>
  <c r="E219" i="4" s="1"/>
  <c r="H219" i="4"/>
  <c r="K219" i="4"/>
  <c r="O250" i="4"/>
  <c r="AI245" i="4"/>
  <c r="AF121" i="1"/>
  <c r="AB121" i="1" s="1"/>
  <c r="J219" i="4" l="1"/>
  <c r="AG214" i="4" s="1"/>
  <c r="AC214" i="4" s="1"/>
  <c r="C220" i="4"/>
  <c r="AK214" i="4"/>
  <c r="AN213" i="4"/>
  <c r="I220" i="4"/>
  <c r="AF122" i="1"/>
  <c r="AB122" i="1" s="1"/>
  <c r="H220" i="4" l="1"/>
  <c r="D220" i="4"/>
  <c r="E220" i="4" s="1"/>
  <c r="K220" i="4"/>
  <c r="AF123" i="1"/>
  <c r="AB123" i="1" s="1"/>
  <c r="J220" i="4" l="1"/>
  <c r="AG215" i="4" s="1"/>
  <c r="AC215" i="4" s="1"/>
  <c r="I221" i="4"/>
  <c r="AK215" i="4"/>
  <c r="AN214" i="4"/>
  <c r="C221" i="4"/>
  <c r="AI246" i="4"/>
  <c r="O251" i="4"/>
  <c r="P39" i="4" s="1"/>
  <c r="Q39" i="4" s="1"/>
  <c r="AF124" i="1"/>
  <c r="AB124" i="1" s="1"/>
  <c r="D221" i="4" l="1"/>
  <c r="E221" i="4" s="1"/>
  <c r="H221" i="4"/>
  <c r="K221" i="4"/>
  <c r="O252" i="4"/>
  <c r="AI247" i="4"/>
  <c r="AF125" i="1"/>
  <c r="AB125" i="1" s="1"/>
  <c r="J221" i="4" l="1"/>
  <c r="AG216" i="4" s="1"/>
  <c r="AC216" i="4" s="1"/>
  <c r="C222" i="4"/>
  <c r="AK216" i="4"/>
  <c r="AN215" i="4"/>
  <c r="I222" i="4"/>
  <c r="AF126" i="1"/>
  <c r="AB126" i="1" s="1"/>
  <c r="D222" i="4" l="1"/>
  <c r="E222" i="4" s="1"/>
  <c r="H222" i="4"/>
  <c r="K222" i="4"/>
  <c r="AF127" i="1"/>
  <c r="AB127" i="1" s="1"/>
  <c r="J222" i="4" l="1"/>
  <c r="AG217" i="4" s="1"/>
  <c r="AC217" i="4" s="1"/>
  <c r="C223" i="4"/>
  <c r="AK217" i="4"/>
  <c r="AN216" i="4"/>
  <c r="I223" i="4"/>
  <c r="O253" i="4"/>
  <c r="AI248" i="4"/>
  <c r="AF128" i="1"/>
  <c r="AB128" i="1" s="1"/>
  <c r="H223" i="4" l="1"/>
  <c r="D223" i="4"/>
  <c r="E223" i="4" s="1"/>
  <c r="K223" i="4"/>
  <c r="AF129" i="1"/>
  <c r="AB129" i="1" s="1"/>
  <c r="J223" i="4" l="1"/>
  <c r="AG218" i="4" s="1"/>
  <c r="AC218" i="4" s="1"/>
  <c r="AN217" i="4"/>
  <c r="I224" i="4"/>
  <c r="C224" i="4"/>
  <c r="AK218" i="4"/>
  <c r="O254" i="4"/>
  <c r="AI249" i="4"/>
  <c r="AF130" i="1"/>
  <c r="AB130" i="1" s="1"/>
  <c r="H224" i="4" l="1"/>
  <c r="K224" i="4"/>
  <c r="D224" i="4"/>
  <c r="E224" i="4" s="1"/>
  <c r="AF131" i="1"/>
  <c r="AB131" i="1" s="1"/>
  <c r="J224" i="4" l="1"/>
  <c r="AG219" i="4" s="1"/>
  <c r="AC219" i="4" s="1"/>
  <c r="AN218" i="4"/>
  <c r="C225" i="4"/>
  <c r="I225" i="4"/>
  <c r="AK219" i="4"/>
  <c r="O255" i="4"/>
  <c r="AI250" i="4"/>
  <c r="AF132" i="1"/>
  <c r="AB132" i="1" s="1"/>
  <c r="H225" i="4" l="1"/>
  <c r="D225" i="4"/>
  <c r="K225" i="4" s="1"/>
  <c r="O256" i="4"/>
  <c r="AI251" i="4"/>
  <c r="AF133" i="1"/>
  <c r="AB133" i="1" s="1"/>
  <c r="J225" i="4" l="1"/>
  <c r="AG220" i="4" s="1"/>
  <c r="AC220" i="4" s="1"/>
  <c r="E225" i="4"/>
  <c r="AN219" i="4"/>
  <c r="I226" i="4"/>
  <c r="C226" i="4"/>
  <c r="AK220" i="4"/>
  <c r="AF134" i="1"/>
  <c r="AB134" i="1" s="1"/>
  <c r="H226" i="4" l="1"/>
  <c r="D226" i="4"/>
  <c r="E226" i="4" s="1"/>
  <c r="K226" i="4"/>
  <c r="AF135" i="1"/>
  <c r="AB135" i="1" s="1"/>
  <c r="J226" i="4" l="1"/>
  <c r="AG221" i="4" s="1"/>
  <c r="AC221" i="4" s="1"/>
  <c r="AN220" i="4"/>
  <c r="I227" i="4"/>
  <c r="C227" i="4"/>
  <c r="AK221" i="4"/>
  <c r="O257" i="4"/>
  <c r="AI252" i="4"/>
  <c r="AF136" i="1"/>
  <c r="AB136" i="1" s="1"/>
  <c r="H227" i="4" l="1"/>
  <c r="D227" i="4"/>
  <c r="E227" i="4" s="1"/>
  <c r="K227" i="4"/>
  <c r="AF137" i="1"/>
  <c r="AB137" i="1" s="1"/>
  <c r="J227" i="4" l="1"/>
  <c r="AG222" i="4" s="1"/>
  <c r="AC222" i="4" s="1"/>
  <c r="C228" i="4"/>
  <c r="AK222" i="4"/>
  <c r="AN221" i="4"/>
  <c r="I228" i="4"/>
  <c r="O258" i="4"/>
  <c r="AI253" i="4"/>
  <c r="AF138" i="1"/>
  <c r="AB138" i="1" s="1"/>
  <c r="H228" i="4" l="1"/>
  <c r="K228" i="4"/>
  <c r="D228" i="4"/>
  <c r="E228" i="4" s="1"/>
  <c r="AF139" i="1"/>
  <c r="AB139" i="1" s="1"/>
  <c r="J228" i="4" l="1"/>
  <c r="AG223" i="4" s="1"/>
  <c r="AC223" i="4" s="1"/>
  <c r="AN222" i="4"/>
  <c r="I229" i="4"/>
  <c r="C229" i="4"/>
  <c r="AK223" i="4"/>
  <c r="O259" i="4"/>
  <c r="AI254" i="4"/>
  <c r="AF140" i="1"/>
  <c r="AB140" i="1" s="1"/>
  <c r="H229" i="4" l="1"/>
  <c r="D229" i="4"/>
  <c r="E229" i="4" s="1"/>
  <c r="K229" i="4"/>
  <c r="AF141" i="1"/>
  <c r="AB141" i="1" s="1"/>
  <c r="J229" i="4" l="1"/>
  <c r="AG224" i="4" s="1"/>
  <c r="AC224" i="4" s="1"/>
  <c r="AN223" i="4"/>
  <c r="C230" i="4"/>
  <c r="I230" i="4"/>
  <c r="AK224" i="4"/>
  <c r="O260" i="4"/>
  <c r="AI255" i="4"/>
  <c r="AF142" i="1"/>
  <c r="AB142" i="1" s="1"/>
  <c r="H230" i="4" l="1"/>
  <c r="J230" i="4" s="1"/>
  <c r="AG225" i="4" s="1"/>
  <c r="AC225" i="4" s="1"/>
  <c r="D230" i="4"/>
  <c r="K230" i="4" s="1"/>
  <c r="AF143" i="1"/>
  <c r="AB143" i="1" s="1"/>
  <c r="E230" i="4" l="1"/>
  <c r="O261" i="4"/>
  <c r="AI256" i="4"/>
  <c r="I231" i="4"/>
  <c r="AK225" i="4"/>
  <c r="AN224" i="4"/>
  <c r="C231" i="4"/>
  <c r="AF144" i="1"/>
  <c r="AB144" i="1" s="1"/>
  <c r="D231" i="4" l="1"/>
  <c r="E231" i="4" s="1"/>
  <c r="H231" i="4"/>
  <c r="K231" i="4"/>
  <c r="O262" i="4"/>
  <c r="AI257" i="4"/>
  <c r="AF145" i="1"/>
  <c r="AB145" i="1" s="1"/>
  <c r="J231" i="4" l="1"/>
  <c r="AG226" i="4" s="1"/>
  <c r="AC226" i="4" s="1"/>
  <c r="I232" i="4"/>
  <c r="AK226" i="4"/>
  <c r="AN225" i="4"/>
  <c r="C232" i="4"/>
  <c r="AF146" i="1"/>
  <c r="AB146" i="1" s="1"/>
  <c r="D232" i="4" l="1"/>
  <c r="E232" i="4" s="1"/>
  <c r="H232" i="4"/>
  <c r="J232" i="4" s="1"/>
  <c r="AG227" i="4" s="1"/>
  <c r="AC227" i="4" s="1"/>
  <c r="K232" i="4"/>
  <c r="AF147" i="1"/>
  <c r="AB147" i="1" s="1"/>
  <c r="O263" i="4" l="1"/>
  <c r="AI258" i="4"/>
  <c r="AN226" i="4"/>
  <c r="I233" i="4"/>
  <c r="C233" i="4"/>
  <c r="AK227" i="4"/>
  <c r="AF148" i="1"/>
  <c r="AB148" i="1" s="1"/>
  <c r="D233" i="4" l="1"/>
  <c r="E233" i="4" s="1"/>
  <c r="H233" i="4"/>
  <c r="K233" i="4"/>
  <c r="AF149" i="1"/>
  <c r="AB149" i="1" s="1"/>
  <c r="J233" i="4" l="1"/>
  <c r="AG228" i="4" s="1"/>
  <c r="AC228" i="4" s="1"/>
  <c r="AN227" i="4"/>
  <c r="C234" i="4"/>
  <c r="I234" i="4"/>
  <c r="AK228" i="4"/>
  <c r="O264" i="4"/>
  <c r="AI259" i="4"/>
  <c r="AF150" i="1"/>
  <c r="AB150" i="1" s="1"/>
  <c r="D234" i="4" l="1"/>
  <c r="K234" i="4" s="1"/>
  <c r="H234" i="4"/>
  <c r="O265" i="4"/>
  <c r="AI260" i="4"/>
  <c r="AF151" i="1"/>
  <c r="AB151" i="1" s="1"/>
  <c r="E234" i="4" l="1"/>
  <c r="J234" i="4"/>
  <c r="AG229" i="4" s="1"/>
  <c r="AC229" i="4" s="1"/>
  <c r="AN228" i="4"/>
  <c r="C235" i="4"/>
  <c r="I235" i="4"/>
  <c r="AK229" i="4"/>
  <c r="AF152" i="1"/>
  <c r="AB152" i="1" s="1"/>
  <c r="H235" i="4" l="1"/>
  <c r="D235" i="4"/>
  <c r="K235" i="4" s="1"/>
  <c r="AI261" i="4"/>
  <c r="O266" i="4"/>
  <c r="AF153" i="1"/>
  <c r="AB153" i="1" s="1"/>
  <c r="J235" i="4" l="1"/>
  <c r="AG230" i="4" s="1"/>
  <c r="AC230" i="4" s="1"/>
  <c r="AN229" i="4"/>
  <c r="C236" i="4"/>
  <c r="I236" i="4"/>
  <c r="AK230" i="4"/>
  <c r="E235" i="4"/>
  <c r="AF154" i="1"/>
  <c r="AB154" i="1" s="1"/>
  <c r="D236" i="4" l="1"/>
  <c r="K236" i="4" s="1"/>
  <c r="H236" i="4"/>
  <c r="AI262" i="4"/>
  <c r="O267" i="4"/>
  <c r="AF155" i="1"/>
  <c r="AB155" i="1" s="1"/>
  <c r="E236" i="4" l="1"/>
  <c r="J236" i="4"/>
  <c r="AG231" i="4" s="1"/>
  <c r="AC231" i="4" s="1"/>
  <c r="AN230" i="4"/>
  <c r="I237" i="4"/>
  <c r="C237" i="4"/>
  <c r="AK231" i="4"/>
  <c r="AF156" i="1"/>
  <c r="AB156" i="1" s="1"/>
  <c r="D237" i="4" l="1"/>
  <c r="E237" i="4" s="1"/>
  <c r="H237" i="4"/>
  <c r="K237" i="4"/>
  <c r="AF157" i="1"/>
  <c r="AB157" i="1" s="1"/>
  <c r="J237" i="4" l="1"/>
  <c r="AG232" i="4" s="1"/>
  <c r="AC232" i="4" s="1"/>
  <c r="AN231" i="4"/>
  <c r="C238" i="4"/>
  <c r="I238" i="4"/>
  <c r="AK232" i="4"/>
  <c r="AI263" i="4"/>
  <c r="O268" i="4"/>
  <c r="AF158" i="1"/>
  <c r="AB158" i="1" s="1"/>
  <c r="D238" i="4" l="1"/>
  <c r="E238" i="4" s="1"/>
  <c r="H238" i="4"/>
  <c r="J238" i="4" s="1"/>
  <c r="AG233" i="4" s="1"/>
  <c r="AC233" i="4" s="1"/>
  <c r="K238" i="4"/>
  <c r="AF159" i="1"/>
  <c r="AB159" i="1" s="1"/>
  <c r="O269" i="4" l="1"/>
  <c r="AI264" i="4"/>
  <c r="AN232" i="4"/>
  <c r="C239" i="4"/>
  <c r="I239" i="4"/>
  <c r="AK233" i="4"/>
  <c r="AF160" i="1"/>
  <c r="AB160" i="1" s="1"/>
  <c r="D239" i="4" l="1"/>
  <c r="H239" i="4"/>
  <c r="J239" i="4" s="1"/>
  <c r="AG234" i="4" s="1"/>
  <c r="AC234" i="4" s="1"/>
  <c r="E239" i="4"/>
  <c r="K239" i="4"/>
  <c r="AF161" i="1"/>
  <c r="AB161" i="1" s="1"/>
  <c r="AN233" i="4" l="1"/>
  <c r="C240" i="4"/>
  <c r="I240" i="4"/>
  <c r="AK234" i="4"/>
  <c r="O270" i="4"/>
  <c r="AI265" i="4"/>
  <c r="AF162" i="1"/>
  <c r="AB162" i="1" s="1"/>
  <c r="H240" i="4" l="1"/>
  <c r="D240" i="4"/>
  <c r="E240" i="4" s="1"/>
  <c r="K240" i="4"/>
  <c r="AF163" i="1"/>
  <c r="AB163" i="1" s="1"/>
  <c r="J240" i="4" l="1"/>
  <c r="AG235" i="4" s="1"/>
  <c r="AC235" i="4" s="1"/>
  <c r="O271" i="4"/>
  <c r="AI266" i="4"/>
  <c r="I241" i="4"/>
  <c r="AK235" i="4"/>
  <c r="AN234" i="4"/>
  <c r="C241" i="4"/>
  <c r="AF164" i="1"/>
  <c r="AB164" i="1" s="1"/>
  <c r="H241" i="4" l="1"/>
  <c r="D241" i="4"/>
  <c r="E241" i="4" s="1"/>
  <c r="K241" i="4"/>
  <c r="O272" i="4"/>
  <c r="AI267" i="4"/>
  <c r="AF165" i="1"/>
  <c r="AB165" i="1" s="1"/>
  <c r="J241" i="4" l="1"/>
  <c r="AG236" i="4" s="1"/>
  <c r="AC236" i="4" s="1"/>
  <c r="AN235" i="4"/>
  <c r="I242" i="4"/>
  <c r="C242" i="4"/>
  <c r="AK236" i="4"/>
  <c r="AF166" i="1"/>
  <c r="AB166" i="1" s="1"/>
  <c r="H242" i="4" l="1"/>
  <c r="D242" i="4"/>
  <c r="K242" i="4" s="1"/>
  <c r="AF167" i="1"/>
  <c r="AB167" i="1" s="1"/>
  <c r="J242" i="4" l="1"/>
  <c r="AG237" i="4" s="1"/>
  <c r="AC237" i="4" s="1"/>
  <c r="AN236" i="4"/>
  <c r="C243" i="4"/>
  <c r="I243" i="4"/>
  <c r="AK237" i="4"/>
  <c r="E242" i="4"/>
  <c r="O273" i="4"/>
  <c r="AI268" i="4"/>
  <c r="AF168" i="1"/>
  <c r="AB168" i="1" s="1"/>
  <c r="H243" i="4" l="1"/>
  <c r="D243" i="4"/>
  <c r="K243" i="4" s="1"/>
  <c r="O274" i="4"/>
  <c r="AI269" i="4"/>
  <c r="AF169" i="1"/>
  <c r="AB169" i="1" s="1"/>
  <c r="E243" i="4" l="1"/>
  <c r="J243" i="4"/>
  <c r="AG238" i="4" s="1"/>
  <c r="AC238" i="4" s="1"/>
  <c r="AN237" i="4"/>
  <c r="C244" i="4"/>
  <c r="I244" i="4"/>
  <c r="AK238" i="4"/>
  <c r="AF170" i="1"/>
  <c r="AB170" i="1" s="1"/>
  <c r="H244" i="4" l="1"/>
  <c r="D244" i="4"/>
  <c r="K244" i="4" s="1"/>
  <c r="O275" i="4"/>
  <c r="AI270" i="4"/>
  <c r="AF171" i="1"/>
  <c r="AB171" i="1" s="1"/>
  <c r="E244" i="4" l="1"/>
  <c r="J244" i="4"/>
  <c r="AG239" i="4" s="1"/>
  <c r="AC239" i="4" s="1"/>
  <c r="AN238" i="4"/>
  <c r="C245" i="4"/>
  <c r="I245" i="4"/>
  <c r="AK239" i="4"/>
  <c r="AF172" i="1"/>
  <c r="AB172" i="1" s="1"/>
  <c r="D245" i="4" l="1"/>
  <c r="K245" i="4" s="1"/>
  <c r="H245" i="4"/>
  <c r="O276" i="4"/>
  <c r="AI271" i="4"/>
  <c r="AF173" i="1"/>
  <c r="AB173" i="1" s="1"/>
  <c r="E245" i="4" l="1"/>
  <c r="J245" i="4"/>
  <c r="AG240" i="4" s="1"/>
  <c r="AC240" i="4" s="1"/>
  <c r="AN239" i="4"/>
  <c r="C246" i="4"/>
  <c r="I246" i="4"/>
  <c r="AK240" i="4"/>
  <c r="AF174" i="1"/>
  <c r="AB174" i="1" s="1"/>
  <c r="D246" i="4" l="1"/>
  <c r="K246" i="4" s="1"/>
  <c r="H246" i="4"/>
  <c r="O277" i="4"/>
  <c r="AI272" i="4"/>
  <c r="AF175" i="1"/>
  <c r="AB175" i="1" s="1"/>
  <c r="E246" i="4" l="1"/>
  <c r="J246" i="4"/>
  <c r="AG241" i="4" s="1"/>
  <c r="AC241" i="4" s="1"/>
  <c r="AN240" i="4"/>
  <c r="C247" i="4"/>
  <c r="I247" i="4"/>
  <c r="AK241" i="4"/>
  <c r="AF176" i="1"/>
  <c r="AB176" i="1" s="1"/>
  <c r="H247" i="4" l="1"/>
  <c r="D247" i="4"/>
  <c r="K247" i="4" s="1"/>
  <c r="AI273" i="4"/>
  <c r="O278" i="4"/>
  <c r="AF177" i="1"/>
  <c r="AB177" i="1" s="1"/>
  <c r="E247" i="4" l="1"/>
  <c r="J247" i="4"/>
  <c r="AG242" i="4" s="1"/>
  <c r="AC242" i="4" s="1"/>
  <c r="AN241" i="4"/>
  <c r="C248" i="4"/>
  <c r="I248" i="4"/>
  <c r="AK242" i="4"/>
  <c r="AF178" i="1"/>
  <c r="AB178" i="1" s="1"/>
  <c r="D248" i="4" l="1"/>
  <c r="K248" i="4" s="1"/>
  <c r="H248" i="4"/>
  <c r="O279" i="4"/>
  <c r="AI274" i="4"/>
  <c r="AF179" i="1"/>
  <c r="AB179" i="1" s="1"/>
  <c r="E248" i="4" l="1"/>
  <c r="J248" i="4"/>
  <c r="AG243" i="4" s="1"/>
  <c r="AC243" i="4" s="1"/>
  <c r="AN242" i="4"/>
  <c r="C249" i="4"/>
  <c r="I249" i="4"/>
  <c r="AK243" i="4"/>
  <c r="AF180" i="1"/>
  <c r="AB180" i="1" s="1"/>
  <c r="D249" i="4" l="1"/>
  <c r="K249" i="4" s="1"/>
  <c r="H249" i="4"/>
  <c r="O280" i="4"/>
  <c r="AI275" i="4"/>
  <c r="AF181" i="1"/>
  <c r="AB181" i="1" s="1"/>
  <c r="E249" i="4" l="1"/>
  <c r="J249" i="4"/>
  <c r="AG244" i="4" s="1"/>
  <c r="AC244" i="4" s="1"/>
  <c r="AN243" i="4"/>
  <c r="C250" i="4"/>
  <c r="I250" i="4"/>
  <c r="AK244" i="4"/>
  <c r="AF182" i="1"/>
  <c r="AB182" i="1" s="1"/>
  <c r="H250" i="4" l="1"/>
  <c r="D250" i="4"/>
  <c r="K250" i="4" s="1"/>
  <c r="O281" i="4"/>
  <c r="AI276" i="4"/>
  <c r="AF183" i="1"/>
  <c r="AB183" i="1" s="1"/>
  <c r="E250" i="4" l="1"/>
  <c r="J250" i="4"/>
  <c r="AG245" i="4" s="1"/>
  <c r="AC245" i="4" s="1"/>
  <c r="AN244" i="4"/>
  <c r="C251" i="4"/>
  <c r="I251" i="4"/>
  <c r="AK245" i="4"/>
  <c r="AF184" i="1"/>
  <c r="AB184" i="1" s="1"/>
  <c r="D251" i="4" l="1"/>
  <c r="H251" i="4"/>
  <c r="K251" i="4"/>
  <c r="O282" i="4"/>
  <c r="AI277" i="4"/>
  <c r="AF185" i="1"/>
  <c r="AB185" i="1" s="1"/>
  <c r="E251" i="4" l="1"/>
  <c r="J251" i="4"/>
  <c r="AG246" i="4" s="1"/>
  <c r="AC246" i="4" s="1"/>
  <c r="AN245" i="4"/>
  <c r="C252" i="4"/>
  <c r="I252" i="4"/>
  <c r="AK246" i="4"/>
  <c r="AF186" i="1"/>
  <c r="AB186" i="1" s="1"/>
  <c r="H252" i="4" l="1"/>
  <c r="D252" i="4"/>
  <c r="K252" i="4" s="1"/>
  <c r="AI278" i="4"/>
  <c r="AF187" i="1"/>
  <c r="AB187" i="1" s="1"/>
  <c r="E252" i="4" l="1"/>
  <c r="J252" i="4"/>
  <c r="AG247" i="4" s="1"/>
  <c r="AC247" i="4" s="1"/>
  <c r="AN246" i="4"/>
  <c r="I253" i="4"/>
  <c r="C253" i="4"/>
  <c r="AK247" i="4"/>
  <c r="AF188" i="1"/>
  <c r="AB188" i="1" s="1"/>
  <c r="D253" i="4" l="1"/>
  <c r="E253" i="4" s="1"/>
  <c r="H253" i="4"/>
  <c r="K253" i="4"/>
  <c r="AF189" i="1"/>
  <c r="AB189" i="1" s="1"/>
  <c r="J253" i="4" l="1"/>
  <c r="AG248" i="4" s="1"/>
  <c r="AC248" i="4" s="1"/>
  <c r="I254" i="4"/>
  <c r="AK248" i="4"/>
  <c r="AN247" i="4"/>
  <c r="C254" i="4"/>
  <c r="AF190" i="1"/>
  <c r="AB190" i="1" s="1"/>
  <c r="H254" i="4" l="1"/>
  <c r="D254" i="4"/>
  <c r="E254" i="4" s="1"/>
  <c r="K254" i="4"/>
  <c r="AF191" i="1"/>
  <c r="AB191" i="1" s="1"/>
  <c r="J254" i="4" l="1"/>
  <c r="AG249" i="4" s="1"/>
  <c r="AC249" i="4" s="1"/>
  <c r="AN248" i="4"/>
  <c r="C255" i="4"/>
  <c r="I255" i="4"/>
  <c r="AK249" i="4"/>
  <c r="AF192" i="1"/>
  <c r="AB192" i="1" s="1"/>
  <c r="H255" i="4" l="1"/>
  <c r="D255" i="4"/>
  <c r="K255" i="4" s="1"/>
  <c r="AF193" i="1"/>
  <c r="AB193" i="1" s="1"/>
  <c r="E255" i="4" l="1"/>
  <c r="J255" i="4"/>
  <c r="AG250" i="4" s="1"/>
  <c r="AC250" i="4" s="1"/>
  <c r="AN249" i="4"/>
  <c r="C256" i="4"/>
  <c r="I256" i="4"/>
  <c r="AK250" i="4"/>
  <c r="AF194" i="1"/>
  <c r="AB194" i="1" s="1"/>
  <c r="D256" i="4" l="1"/>
  <c r="K256" i="4" s="1"/>
  <c r="H256" i="4"/>
  <c r="AF195" i="1"/>
  <c r="AB195" i="1" s="1"/>
  <c r="E256" i="4" l="1"/>
  <c r="J256" i="4"/>
  <c r="AG251" i="4" s="1"/>
  <c r="AC251" i="4" s="1"/>
  <c r="AN250" i="4"/>
  <c r="C257" i="4"/>
  <c r="AK251" i="4"/>
  <c r="I257" i="4"/>
  <c r="AF196" i="1"/>
  <c r="AB196" i="1" s="1"/>
  <c r="H257" i="4" l="1"/>
  <c r="D257" i="4"/>
  <c r="K257" i="4" s="1"/>
  <c r="AF197" i="1"/>
  <c r="AB197" i="1" s="1"/>
  <c r="E257" i="4" l="1"/>
  <c r="J257" i="4"/>
  <c r="AG252" i="4" s="1"/>
  <c r="AC252" i="4" s="1"/>
  <c r="AN251" i="4"/>
  <c r="C258" i="4"/>
  <c r="I258" i="4"/>
  <c r="AK252" i="4"/>
  <c r="AF198" i="1"/>
  <c r="AB198" i="1" s="1"/>
  <c r="D258" i="4" l="1"/>
  <c r="K258" i="4" s="1"/>
  <c r="H258" i="4"/>
  <c r="AF199" i="1"/>
  <c r="AB199" i="1" s="1"/>
  <c r="E258" i="4" l="1"/>
  <c r="J258" i="4"/>
  <c r="AG253" i="4" s="1"/>
  <c r="AC253" i="4" s="1"/>
  <c r="AN252" i="4"/>
  <c r="C259" i="4"/>
  <c r="I259" i="4"/>
  <c r="AK253" i="4"/>
  <c r="AF200" i="1"/>
  <c r="AB200" i="1" s="1"/>
  <c r="D259" i="4" l="1"/>
  <c r="K259" i="4" s="1"/>
  <c r="H259" i="4"/>
  <c r="AF201" i="1"/>
  <c r="AB201" i="1" s="1"/>
  <c r="E259" i="4" l="1"/>
  <c r="J259" i="4"/>
  <c r="AG254" i="4" s="1"/>
  <c r="AC254" i="4" s="1"/>
  <c r="AN253" i="4"/>
  <c r="C260" i="4"/>
  <c r="I260" i="4"/>
  <c r="AK254" i="4"/>
  <c r="AF202" i="1"/>
  <c r="AB202" i="1" s="1"/>
  <c r="H260" i="4" l="1"/>
  <c r="D260" i="4"/>
  <c r="K260" i="4" s="1"/>
  <c r="AF203" i="1"/>
  <c r="AB203" i="1" s="1"/>
  <c r="E260" i="4" l="1"/>
  <c r="J260" i="4"/>
  <c r="AG255" i="4" s="1"/>
  <c r="AC255" i="4" s="1"/>
  <c r="AN254" i="4"/>
  <c r="C261" i="4"/>
  <c r="I261" i="4"/>
  <c r="AK255" i="4"/>
  <c r="AF204" i="1"/>
  <c r="AB204" i="1" s="1"/>
  <c r="D261" i="4" l="1"/>
  <c r="K261" i="4" s="1"/>
  <c r="H261" i="4"/>
  <c r="AF205" i="1"/>
  <c r="AB205" i="1" s="1"/>
  <c r="E261" i="4" l="1"/>
  <c r="J261" i="4"/>
  <c r="AG256" i="4" s="1"/>
  <c r="AC256" i="4" s="1"/>
  <c r="AN255" i="4"/>
  <c r="C262" i="4"/>
  <c r="AK256" i="4"/>
  <c r="I262" i="4"/>
  <c r="AF206" i="1"/>
  <c r="AB206" i="1" s="1"/>
  <c r="D262" i="4" l="1"/>
  <c r="K262" i="4" s="1"/>
  <c r="H262" i="4"/>
  <c r="AF207" i="1"/>
  <c r="AB207" i="1" s="1"/>
  <c r="E262" i="4" l="1"/>
  <c r="J262" i="4"/>
  <c r="AG257" i="4" s="1"/>
  <c r="AC257" i="4" s="1"/>
  <c r="AN256" i="4"/>
  <c r="C263" i="4"/>
  <c r="AK257" i="4"/>
  <c r="I263" i="4"/>
  <c r="AF208" i="1"/>
  <c r="AB208" i="1" s="1"/>
  <c r="D263" i="4" l="1"/>
  <c r="K263" i="4" s="1"/>
  <c r="H263" i="4"/>
  <c r="AF209" i="1"/>
  <c r="AB209" i="1" s="1"/>
  <c r="E263" i="4" l="1"/>
  <c r="J263" i="4"/>
  <c r="AG258" i="4" s="1"/>
  <c r="AC258" i="4" s="1"/>
  <c r="AN257" i="4"/>
  <c r="C264" i="4"/>
  <c r="AK258" i="4"/>
  <c r="I264" i="4"/>
  <c r="AF210" i="1"/>
  <c r="AB210" i="1" s="1"/>
  <c r="D264" i="4" l="1"/>
  <c r="E264" i="4" s="1"/>
  <c r="H264" i="4"/>
  <c r="K264" i="4"/>
  <c r="AF211" i="1"/>
  <c r="AB211" i="1" s="1"/>
  <c r="J264" i="4" l="1"/>
  <c r="AG259" i="4" s="1"/>
  <c r="AC259" i="4" s="1"/>
  <c r="I265" i="4"/>
  <c r="AK259" i="4"/>
  <c r="AN258" i="4"/>
  <c r="C265" i="4"/>
  <c r="AF212" i="1"/>
  <c r="AB212" i="1" s="1"/>
  <c r="H265" i="4" l="1"/>
  <c r="D265" i="4"/>
  <c r="K265" i="4" s="1"/>
  <c r="AF213" i="1"/>
  <c r="AB213" i="1" s="1"/>
  <c r="E265" i="4" l="1"/>
  <c r="J265" i="4"/>
  <c r="AG260" i="4" s="1"/>
  <c r="AC260" i="4" s="1"/>
  <c r="AK260" i="4"/>
  <c r="AN259" i="4"/>
  <c r="C266" i="4"/>
  <c r="I266" i="4"/>
  <c r="AF214" i="1"/>
  <c r="AB214" i="1" s="1"/>
  <c r="H266" i="4" l="1"/>
  <c r="D266" i="4"/>
  <c r="K266" i="4" s="1"/>
  <c r="AF215" i="1"/>
  <c r="AB215" i="1" s="1"/>
  <c r="E266" i="4" l="1"/>
  <c r="J266" i="4"/>
  <c r="AG261" i="4" s="1"/>
  <c r="AC261" i="4" s="1"/>
  <c r="I267" i="4"/>
  <c r="AK261" i="4"/>
  <c r="AN260" i="4"/>
  <c r="C267" i="4"/>
  <c r="AF216" i="1"/>
  <c r="AB216" i="1" s="1"/>
  <c r="D267" i="4" l="1"/>
  <c r="K267" i="4" s="1"/>
  <c r="H267" i="4"/>
  <c r="AF217" i="1"/>
  <c r="AB217" i="1" s="1"/>
  <c r="E267" i="4" l="1"/>
  <c r="J267" i="4"/>
  <c r="AG262" i="4" s="1"/>
  <c r="AC262" i="4" s="1"/>
  <c r="I268" i="4"/>
  <c r="AN261" i="4"/>
  <c r="C268" i="4"/>
  <c r="AK262" i="4"/>
  <c r="AF218" i="1"/>
  <c r="AB218" i="1" s="1"/>
  <c r="H268" i="4" l="1"/>
  <c r="J268" i="4" s="1"/>
  <c r="AG263" i="4" s="1"/>
  <c r="AC263" i="4" s="1"/>
  <c r="D268" i="4"/>
  <c r="E268" i="4" s="1"/>
  <c r="K268" i="4"/>
  <c r="AN262" i="4" l="1"/>
  <c r="C269" i="4"/>
  <c r="AK263" i="4"/>
  <c r="I269" i="4"/>
  <c r="D269" i="4" l="1"/>
  <c r="K269" i="4" s="1"/>
  <c r="H269" i="4"/>
  <c r="E269" i="4" l="1"/>
  <c r="J269" i="4"/>
  <c r="AG264" i="4" s="1"/>
  <c r="AC264" i="4" s="1"/>
  <c r="AN263" i="4"/>
  <c r="C270" i="4"/>
  <c r="AK264" i="4"/>
  <c r="I270" i="4"/>
  <c r="D270" i="4" l="1"/>
  <c r="K270" i="4" s="1"/>
  <c r="H270" i="4"/>
  <c r="E270" i="4" l="1"/>
  <c r="J270" i="4"/>
  <c r="AG265" i="4" s="1"/>
  <c r="AC265" i="4" s="1"/>
  <c r="AN264" i="4"/>
  <c r="C271" i="4"/>
  <c r="AK265" i="4"/>
  <c r="I271" i="4"/>
  <c r="D271" i="4" l="1"/>
  <c r="K271" i="4" s="1"/>
  <c r="H271" i="4"/>
  <c r="E271" i="4" l="1"/>
  <c r="J271" i="4"/>
  <c r="AG266" i="4" s="1"/>
  <c r="AC266" i="4" s="1"/>
  <c r="AN265" i="4"/>
  <c r="C272" i="4"/>
  <c r="I272" i="4"/>
  <c r="AK266" i="4"/>
  <c r="D272" i="4" l="1"/>
  <c r="K272" i="4" s="1"/>
  <c r="H272" i="4"/>
  <c r="E272" i="4" l="1"/>
  <c r="J272" i="4"/>
  <c r="AG267" i="4" s="1"/>
  <c r="AC267" i="4" s="1"/>
  <c r="AN266" i="4"/>
  <c r="C273" i="4"/>
  <c r="I273" i="4"/>
  <c r="AK267" i="4"/>
  <c r="D273" i="4" l="1"/>
  <c r="K273" i="4" s="1"/>
  <c r="H273" i="4"/>
  <c r="E273" i="4" l="1"/>
  <c r="J273" i="4"/>
  <c r="AG268" i="4" s="1"/>
  <c r="AC268" i="4" s="1"/>
  <c r="AN267" i="4"/>
  <c r="C274" i="4"/>
  <c r="AK268" i="4"/>
  <c r="I274" i="4"/>
  <c r="D274" i="4" l="1"/>
  <c r="K274" i="4" s="1"/>
  <c r="H274" i="4"/>
  <c r="E274" i="4" l="1"/>
  <c r="J274" i="4"/>
  <c r="AG269" i="4" s="1"/>
  <c r="AC269" i="4" s="1"/>
  <c r="AN268" i="4"/>
  <c r="I275" i="4"/>
  <c r="AK269" i="4"/>
  <c r="C275" i="4"/>
  <c r="D275" i="4" l="1"/>
  <c r="E275" i="4" s="1"/>
  <c r="H275" i="4"/>
  <c r="K275" i="4"/>
  <c r="J275" i="4" l="1"/>
  <c r="AG270" i="4" s="1"/>
  <c r="AC270" i="4" s="1"/>
  <c r="AN269" i="4"/>
  <c r="C276" i="4"/>
  <c r="I276" i="4"/>
  <c r="AK270" i="4"/>
  <c r="H276" i="4" l="1"/>
  <c r="D276" i="4"/>
  <c r="K276" i="4" s="1"/>
  <c r="J276" i="4" l="1"/>
  <c r="AG271" i="4" s="1"/>
  <c r="AC271" i="4" s="1"/>
  <c r="AN270" i="4"/>
  <c r="I277" i="4"/>
  <c r="C277" i="4"/>
  <c r="AK271" i="4"/>
  <c r="E276" i="4"/>
  <c r="H277" i="4" l="1"/>
  <c r="D277" i="4"/>
  <c r="E277" i="4" s="1"/>
  <c r="K277" i="4"/>
  <c r="J277" i="4" l="1"/>
  <c r="AG272" i="4" s="1"/>
  <c r="AC272" i="4" s="1"/>
  <c r="AN271" i="4"/>
  <c r="I278" i="4"/>
  <c r="C278" i="4"/>
  <c r="AK272" i="4"/>
  <c r="H278" i="4" l="1"/>
  <c r="D278" i="4"/>
  <c r="E278" i="4" s="1"/>
  <c r="K278" i="4"/>
  <c r="J278" i="4" l="1"/>
  <c r="AG273" i="4" s="1"/>
  <c r="AC273" i="4" s="1"/>
  <c r="I279" i="4"/>
  <c r="C279" i="4"/>
  <c r="AK273" i="4"/>
  <c r="AN272" i="4"/>
  <c r="H279" i="4" l="1"/>
  <c r="J279" i="4" s="1"/>
  <c r="AG274" i="4" s="1"/>
  <c r="AC274" i="4" s="1"/>
  <c r="D279" i="4"/>
  <c r="K279" i="4" s="1"/>
  <c r="E279" i="4" l="1"/>
  <c r="AN273" i="4"/>
  <c r="C280" i="4"/>
  <c r="I280" i="4"/>
  <c r="AK274" i="4"/>
  <c r="D280" i="4" l="1"/>
  <c r="K280" i="4" s="1"/>
  <c r="H280" i="4"/>
  <c r="E280" i="4" l="1"/>
  <c r="J280" i="4"/>
  <c r="AG275" i="4" s="1"/>
  <c r="AC275" i="4" s="1"/>
  <c r="AN274" i="4"/>
  <c r="I281" i="4"/>
  <c r="C281" i="4"/>
  <c r="AK275" i="4"/>
  <c r="D281" i="4" l="1"/>
  <c r="E281" i="4" s="1"/>
  <c r="H281" i="4"/>
  <c r="K281" i="4"/>
  <c r="J281" i="4" l="1"/>
  <c r="AG276" i="4" s="1"/>
  <c r="AC276" i="4" s="1"/>
  <c r="AN275" i="4"/>
  <c r="C282" i="4"/>
  <c r="I282" i="4"/>
  <c r="AK276" i="4"/>
  <c r="D282" i="4" l="1"/>
  <c r="E282" i="4" s="1"/>
  <c r="H282" i="4"/>
  <c r="K282" i="4"/>
  <c r="C283" i="4" l="1"/>
  <c r="I283" i="4"/>
  <c r="J282" i="4"/>
  <c r="AG277" i="4" s="1"/>
  <c r="AC277" i="4" s="1"/>
  <c r="AN276" i="4"/>
  <c r="AK277" i="4"/>
  <c r="H283" i="4" l="1"/>
  <c r="J283" i="4" s="1"/>
  <c r="D283" i="4"/>
  <c r="E283" i="4" s="1"/>
  <c r="K283" i="4"/>
  <c r="C284" i="4" l="1"/>
  <c r="I284" i="4"/>
  <c r="AG278" i="4"/>
  <c r="AC278" i="4" s="1"/>
  <c r="AK278" i="4"/>
  <c r="AN277" i="4"/>
  <c r="D59" i="2"/>
  <c r="J21" i="2"/>
  <c r="R45" i="2" l="1"/>
  <c r="H59" i="2"/>
  <c r="B60" i="2"/>
  <c r="A60" i="2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K284" i="4"/>
  <c r="D284" i="4"/>
  <c r="E284" i="4" s="1"/>
  <c r="H284" i="4"/>
  <c r="J284" i="4" s="1"/>
  <c r="L59" i="2"/>
  <c r="J23" i="2"/>
  <c r="K18" i="2"/>
  <c r="B61" i="2" l="1"/>
  <c r="B62" i="2" s="1"/>
  <c r="J60" i="2"/>
  <c r="J33" i="2" s="1"/>
  <c r="C285" i="4"/>
  <c r="I285" i="4"/>
  <c r="D60" i="2"/>
  <c r="H60" i="2" s="1"/>
  <c r="AD60" i="2" s="1"/>
  <c r="AF60" i="2" s="1"/>
  <c r="I60" i="2" l="1"/>
  <c r="J29" i="2" s="1"/>
  <c r="E60" i="2"/>
  <c r="F60" i="2" s="1"/>
  <c r="K285" i="4"/>
  <c r="H285" i="4"/>
  <c r="J285" i="4" s="1"/>
  <c r="D285" i="4"/>
  <c r="E285" i="4" s="1"/>
  <c r="B63" i="2"/>
  <c r="K60" i="2" l="1"/>
  <c r="I286" i="4"/>
  <c r="C286" i="4"/>
  <c r="J32" i="2"/>
  <c r="B64" i="2"/>
  <c r="AG60" i="2" l="1"/>
  <c r="D286" i="4"/>
  <c r="K286" i="4"/>
  <c r="H286" i="4"/>
  <c r="J286" i="4" s="1"/>
  <c r="E286" i="4"/>
  <c r="B65" i="2"/>
  <c r="C287" i="4" l="1"/>
  <c r="I287" i="4"/>
  <c r="B66" i="2"/>
  <c r="D287" i="4" l="1"/>
  <c r="E287" i="4" s="1"/>
  <c r="K287" i="4"/>
  <c r="H287" i="4"/>
  <c r="J287" i="4" s="1"/>
  <c r="B67" i="2"/>
  <c r="I288" i="4" l="1"/>
  <c r="C288" i="4"/>
  <c r="B68" i="2"/>
  <c r="H288" i="4" l="1"/>
  <c r="K288" i="4"/>
  <c r="D288" i="4"/>
  <c r="E288" i="4" s="1"/>
  <c r="J288" i="4"/>
  <c r="B69" i="2"/>
  <c r="C289" i="4" l="1"/>
  <c r="I289" i="4"/>
  <c r="B70" i="2"/>
  <c r="H289" i="4" l="1"/>
  <c r="J289" i="4" s="1"/>
  <c r="K289" i="4"/>
  <c r="D289" i="4"/>
  <c r="E289" i="4" s="1"/>
  <c r="B71" i="2"/>
  <c r="C290" i="4" l="1"/>
  <c r="I290" i="4"/>
  <c r="B72" i="2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D290" i="4" l="1"/>
  <c r="E290" i="4" s="1"/>
  <c r="K290" i="4"/>
  <c r="H290" i="4"/>
  <c r="J290" i="4" s="1"/>
  <c r="C291" i="4" l="1"/>
  <c r="I291" i="4"/>
  <c r="K291" i="4" l="1"/>
  <c r="H291" i="4"/>
  <c r="J291" i="4" s="1"/>
  <c r="D291" i="4"/>
  <c r="E291" i="4" s="1"/>
  <c r="C292" i="4" l="1"/>
  <c r="I292" i="4"/>
  <c r="D292" i="4" l="1"/>
  <c r="H292" i="4"/>
  <c r="J292" i="4" s="1"/>
  <c r="E292" i="4"/>
  <c r="K292" i="4"/>
  <c r="C293" i="4" l="1"/>
  <c r="I293" i="4"/>
  <c r="K293" i="4" l="1"/>
  <c r="D293" i="4"/>
  <c r="E293" i="4" s="1"/>
  <c r="H293" i="4"/>
  <c r="J293" i="4" s="1"/>
  <c r="C294" i="4" l="1"/>
  <c r="I294" i="4"/>
  <c r="D294" i="4" l="1"/>
  <c r="H294" i="4"/>
  <c r="J294" i="4" s="1"/>
  <c r="E294" i="4"/>
  <c r="K294" i="4"/>
  <c r="I295" i="4" l="1"/>
  <c r="C295" i="4"/>
  <c r="K295" i="4" l="1"/>
  <c r="H295" i="4"/>
  <c r="J295" i="4" s="1"/>
  <c r="D295" i="4"/>
  <c r="E295" i="4" s="1"/>
  <c r="I296" i="4" l="1"/>
  <c r="C296" i="4"/>
  <c r="H296" i="4" l="1"/>
  <c r="J296" i="4" s="1"/>
  <c r="K296" i="4"/>
  <c r="D296" i="4"/>
  <c r="E296" i="4" s="1"/>
  <c r="I297" i="4" l="1"/>
  <c r="C297" i="4"/>
  <c r="H297" i="4" l="1"/>
  <c r="J297" i="4" s="1"/>
  <c r="D297" i="4"/>
  <c r="E297" i="4" s="1"/>
  <c r="K297" i="4"/>
  <c r="I298" i="4" l="1"/>
  <c r="C298" i="4"/>
  <c r="H298" i="4" l="1"/>
  <c r="J298" i="4" s="1"/>
  <c r="K298" i="4"/>
  <c r="D298" i="4"/>
  <c r="E298" i="4" s="1"/>
  <c r="C299" i="4" l="1"/>
  <c r="I299" i="4"/>
  <c r="H299" i="4" l="1"/>
  <c r="J299" i="4" s="1"/>
  <c r="D299" i="4"/>
  <c r="E299" i="4" s="1"/>
  <c r="K299" i="4"/>
  <c r="I300" i="4" l="1"/>
  <c r="C300" i="4"/>
  <c r="H300" i="4" l="1"/>
  <c r="J300" i="4" s="1"/>
  <c r="K300" i="4"/>
  <c r="D300" i="4"/>
  <c r="E300" i="4" s="1"/>
  <c r="I301" i="4" l="1"/>
  <c r="C301" i="4"/>
  <c r="D301" i="4" l="1"/>
  <c r="E301" i="4" s="1"/>
  <c r="K301" i="4"/>
  <c r="H301" i="4"/>
  <c r="J301" i="4" s="1"/>
  <c r="C302" i="4" l="1"/>
  <c r="I302" i="4"/>
  <c r="D302" i="4" l="1"/>
  <c r="E302" i="4" s="1"/>
  <c r="H302" i="4"/>
  <c r="J302" i="4" s="1"/>
  <c r="K302" i="4"/>
  <c r="I303" i="4" l="1"/>
  <c r="C303" i="4"/>
  <c r="K303" i="4" l="1"/>
  <c r="D303" i="4"/>
  <c r="E303" i="4" s="1"/>
  <c r="H303" i="4"/>
  <c r="J303" i="4" s="1"/>
  <c r="I304" i="4" l="1"/>
  <c r="C304" i="4"/>
  <c r="H304" i="4" l="1"/>
  <c r="J304" i="4" s="1"/>
  <c r="K304" i="4"/>
  <c r="D304" i="4"/>
  <c r="E304" i="4" s="1"/>
  <c r="I305" i="4" l="1"/>
  <c r="C305" i="4"/>
  <c r="H305" i="4" l="1"/>
  <c r="J305" i="4" s="1"/>
  <c r="D305" i="4"/>
  <c r="E305" i="4" s="1"/>
  <c r="K305" i="4"/>
  <c r="C306" i="4" l="1"/>
  <c r="I306" i="4"/>
  <c r="D306" i="4" l="1"/>
  <c r="H306" i="4"/>
  <c r="J306" i="4" s="1"/>
  <c r="E306" i="4"/>
  <c r="K306" i="4"/>
  <c r="I307" i="4" l="1"/>
  <c r="C307" i="4"/>
  <c r="K307" i="4" l="1"/>
  <c r="H307" i="4"/>
  <c r="J307" i="4" s="1"/>
  <c r="D307" i="4"/>
  <c r="E307" i="4" s="1"/>
  <c r="C308" i="4" l="1"/>
  <c r="I308" i="4"/>
  <c r="H308" i="4" l="1"/>
  <c r="J308" i="4" s="1"/>
  <c r="K308" i="4"/>
  <c r="D308" i="4"/>
  <c r="E308" i="4" s="1"/>
  <c r="C309" i="4" l="1"/>
  <c r="I309" i="4"/>
  <c r="H309" i="4" l="1"/>
  <c r="J309" i="4" s="1"/>
  <c r="D309" i="4"/>
  <c r="E309" i="4" s="1"/>
  <c r="K309" i="4"/>
  <c r="C310" i="4" l="1"/>
  <c r="I310" i="4"/>
  <c r="K310" i="4" l="1"/>
  <c r="D310" i="4"/>
  <c r="E310" i="4" s="1"/>
  <c r="H310" i="4"/>
  <c r="J310" i="4" s="1"/>
  <c r="I311" i="4" l="1"/>
  <c r="C311" i="4"/>
  <c r="K311" i="4" l="1"/>
  <c r="D311" i="4"/>
  <c r="E311" i="4" s="1"/>
  <c r="H311" i="4"/>
  <c r="J311" i="4" s="1"/>
  <c r="I312" i="4" l="1"/>
  <c r="C312" i="4"/>
  <c r="H312" i="4" l="1"/>
  <c r="J312" i="4" s="1"/>
  <c r="K312" i="4"/>
  <c r="D312" i="4"/>
  <c r="E312" i="4" s="1"/>
  <c r="I313" i="4" l="1"/>
  <c r="C313" i="4"/>
  <c r="H313" i="4" l="1"/>
  <c r="J313" i="4" s="1"/>
  <c r="K313" i="4"/>
  <c r="D313" i="4"/>
  <c r="E313" i="4" s="1"/>
  <c r="I314" i="4" l="1"/>
  <c r="C314" i="4"/>
  <c r="H314" i="4" l="1"/>
  <c r="J314" i="4" s="1"/>
  <c r="K314" i="4"/>
  <c r="D314" i="4"/>
  <c r="E314" i="4" s="1"/>
  <c r="C315" i="4" l="1"/>
  <c r="I315" i="4"/>
  <c r="H315" i="4" l="1"/>
  <c r="J315" i="4" s="1"/>
  <c r="D315" i="4"/>
  <c r="E315" i="4" s="1"/>
  <c r="K315" i="4"/>
  <c r="C316" i="4" l="1"/>
  <c r="I316" i="4"/>
  <c r="H316" i="4" l="1"/>
  <c r="J316" i="4" s="1"/>
  <c r="D316" i="4"/>
  <c r="E316" i="4" s="1"/>
  <c r="K316" i="4"/>
  <c r="I317" i="4" l="1"/>
  <c r="C317" i="4"/>
  <c r="H317" i="4" l="1"/>
  <c r="J317" i="4" s="1"/>
  <c r="D317" i="4"/>
  <c r="E317" i="4" s="1"/>
  <c r="K317" i="4"/>
  <c r="C318" i="4" l="1"/>
  <c r="I318" i="4"/>
  <c r="D318" i="4" l="1"/>
  <c r="E318" i="4" s="1"/>
  <c r="H318" i="4"/>
  <c r="J318" i="4" s="1"/>
  <c r="K318" i="4"/>
  <c r="I319" i="4" l="1"/>
  <c r="C319" i="4"/>
  <c r="H319" i="4" l="1"/>
  <c r="J319" i="4" s="1"/>
  <c r="K319" i="4"/>
  <c r="D319" i="4"/>
  <c r="E319" i="4" s="1"/>
  <c r="I320" i="4" l="1"/>
  <c r="C320" i="4"/>
  <c r="H320" i="4" l="1"/>
  <c r="J320" i="4" s="1"/>
  <c r="K320" i="4"/>
  <c r="D320" i="4"/>
  <c r="E320" i="4" s="1"/>
  <c r="I321" i="4" l="1"/>
  <c r="C321" i="4"/>
  <c r="K321" i="4" l="1"/>
  <c r="H321" i="4"/>
  <c r="J321" i="4" s="1"/>
  <c r="D321" i="4"/>
  <c r="E321" i="4" s="1"/>
  <c r="I322" i="4" l="1"/>
  <c r="C322" i="4"/>
  <c r="K322" i="4" l="1"/>
  <c r="D322" i="4"/>
  <c r="E322" i="4" s="1"/>
  <c r="H322" i="4"/>
  <c r="J322" i="4" s="1"/>
  <c r="C323" i="4" l="1"/>
  <c r="I323" i="4"/>
  <c r="H323" i="4" l="1"/>
  <c r="J323" i="4" s="1"/>
  <c r="D323" i="4"/>
  <c r="E323" i="4" s="1"/>
  <c r="K323" i="4"/>
  <c r="I324" i="4" l="1"/>
  <c r="C324" i="4"/>
  <c r="H324" i="4" l="1"/>
  <c r="J324" i="4" s="1"/>
  <c r="K324" i="4"/>
  <c r="D324" i="4"/>
  <c r="E324" i="4" s="1"/>
  <c r="I325" i="4" l="1"/>
  <c r="C325" i="4"/>
  <c r="H325" i="4" l="1"/>
  <c r="J325" i="4" s="1"/>
  <c r="D325" i="4"/>
  <c r="E325" i="4" s="1"/>
  <c r="K325" i="4"/>
  <c r="C326" i="4" l="1"/>
  <c r="I326" i="4"/>
  <c r="K326" i="4" l="1"/>
  <c r="D326" i="4"/>
  <c r="E326" i="4" s="1"/>
  <c r="H326" i="4"/>
  <c r="J326" i="4" s="1"/>
  <c r="C327" i="4" l="1"/>
  <c r="I327" i="4"/>
  <c r="H327" i="4" l="1"/>
  <c r="J327" i="4" s="1"/>
  <c r="D327" i="4"/>
  <c r="E327" i="4" s="1"/>
  <c r="K327" i="4"/>
  <c r="C328" i="4" l="1"/>
  <c r="I328" i="4"/>
  <c r="H328" i="4" l="1"/>
  <c r="J328" i="4" s="1"/>
  <c r="K328" i="4"/>
  <c r="D328" i="4"/>
  <c r="E328" i="4" s="1"/>
  <c r="I329" i="4" l="1"/>
  <c r="C329" i="4"/>
  <c r="H329" i="4" l="1"/>
  <c r="J329" i="4" s="1"/>
  <c r="D329" i="4"/>
  <c r="E329" i="4" s="1"/>
  <c r="K329" i="4"/>
  <c r="I330" i="4" l="1"/>
  <c r="C330" i="4"/>
  <c r="D330" i="4" l="1"/>
  <c r="E330" i="4" s="1"/>
  <c r="K330" i="4"/>
  <c r="H330" i="4"/>
  <c r="J330" i="4" s="1"/>
  <c r="C331" i="4" l="1"/>
  <c r="I331" i="4"/>
  <c r="H331" i="4" l="1"/>
  <c r="J331" i="4" s="1"/>
  <c r="K331" i="4"/>
  <c r="D331" i="4"/>
  <c r="E331" i="4" s="1"/>
  <c r="C332" i="4" l="1"/>
  <c r="I332" i="4"/>
  <c r="D332" i="4" l="1"/>
  <c r="E332" i="4" s="1"/>
  <c r="H332" i="4"/>
  <c r="J332" i="4" s="1"/>
  <c r="K332" i="4"/>
  <c r="I333" i="4" l="1"/>
  <c r="C333" i="4"/>
  <c r="D333" i="4" l="1"/>
  <c r="E333" i="4" s="1"/>
  <c r="K333" i="4"/>
  <c r="H333" i="4"/>
  <c r="J333" i="4" s="1"/>
  <c r="C334" i="4" l="1"/>
  <c r="I334" i="4"/>
  <c r="K334" i="4" l="1"/>
  <c r="D334" i="4"/>
  <c r="E334" i="4" s="1"/>
  <c r="H334" i="4"/>
  <c r="J334" i="4" s="1"/>
  <c r="I335" i="4" l="1"/>
  <c r="C335" i="4"/>
  <c r="H335" i="4" l="1"/>
  <c r="J335" i="4" s="1"/>
  <c r="D335" i="4"/>
  <c r="E335" i="4" s="1"/>
  <c r="K335" i="4"/>
  <c r="I336" i="4" l="1"/>
  <c r="C336" i="4"/>
  <c r="D336" i="4" l="1"/>
  <c r="E336" i="4" s="1"/>
  <c r="H336" i="4"/>
  <c r="J336" i="4" s="1"/>
  <c r="K336" i="4"/>
  <c r="C337" i="4" l="1"/>
  <c r="I337" i="4"/>
  <c r="K337" i="4" l="1"/>
  <c r="D337" i="4"/>
  <c r="E337" i="4" s="1"/>
  <c r="H337" i="4"/>
  <c r="J337" i="4" s="1"/>
  <c r="I338" i="4" l="1"/>
  <c r="C338" i="4"/>
  <c r="H338" i="4" l="1"/>
  <c r="J338" i="4" s="1"/>
  <c r="K338" i="4"/>
  <c r="D338" i="4"/>
  <c r="E338" i="4" s="1"/>
  <c r="I339" i="4" l="1"/>
  <c r="C339" i="4"/>
  <c r="H339" i="4" l="1"/>
  <c r="J339" i="4" s="1"/>
  <c r="D339" i="4"/>
  <c r="E339" i="4" s="1"/>
  <c r="K339" i="4"/>
  <c r="I340" i="4" l="1"/>
  <c r="C340" i="4"/>
  <c r="H340" i="4" l="1"/>
  <c r="J340" i="4" s="1"/>
  <c r="K340" i="4"/>
  <c r="D340" i="4"/>
  <c r="E340" i="4" s="1"/>
  <c r="I341" i="4" l="1"/>
  <c r="C341" i="4"/>
  <c r="H341" i="4" l="1"/>
  <c r="J341" i="4" s="1"/>
  <c r="K341" i="4"/>
  <c r="D341" i="4"/>
  <c r="E341" i="4" s="1"/>
  <c r="I342" i="4" l="1"/>
  <c r="C342" i="4"/>
  <c r="H342" i="4" l="1"/>
  <c r="J342" i="4" s="1"/>
  <c r="K342" i="4"/>
  <c r="D342" i="4"/>
  <c r="E342" i="4" s="1"/>
  <c r="C343" i="4" l="1"/>
  <c r="I343" i="4"/>
  <c r="H343" i="4" l="1"/>
  <c r="J343" i="4" s="1"/>
  <c r="D343" i="4"/>
  <c r="E343" i="4" s="1"/>
  <c r="K343" i="4"/>
  <c r="I344" i="4" l="1"/>
  <c r="C344" i="4"/>
  <c r="D344" i="4" l="1"/>
  <c r="H344" i="4"/>
  <c r="J344" i="4" s="1"/>
  <c r="K344" i="4"/>
  <c r="E344" i="4"/>
  <c r="I345" i="4" l="1"/>
  <c r="C345" i="4"/>
  <c r="K345" i="4" l="1"/>
  <c r="H345" i="4"/>
  <c r="J345" i="4" s="1"/>
  <c r="D345" i="4"/>
  <c r="E345" i="4" s="1"/>
  <c r="C346" i="4" l="1"/>
  <c r="I346" i="4"/>
  <c r="D346" i="4" l="1"/>
  <c r="E346" i="4" s="1"/>
  <c r="H346" i="4"/>
  <c r="J346" i="4" s="1"/>
  <c r="K346" i="4"/>
  <c r="I347" i="4" l="1"/>
  <c r="C347" i="4"/>
  <c r="H347" i="4" l="1"/>
  <c r="J347" i="4" s="1"/>
  <c r="K347" i="4"/>
  <c r="D347" i="4"/>
  <c r="E347" i="4" s="1"/>
  <c r="I348" i="4" l="1"/>
  <c r="C348" i="4"/>
  <c r="D348" i="4" l="1"/>
  <c r="E348" i="4" s="1"/>
  <c r="H348" i="4"/>
  <c r="J348" i="4" s="1"/>
  <c r="K348" i="4"/>
  <c r="C349" i="4" l="1"/>
  <c r="I349" i="4"/>
  <c r="K349" i="4" l="1"/>
  <c r="D349" i="4"/>
  <c r="E349" i="4" s="1"/>
  <c r="H349" i="4"/>
  <c r="J349" i="4" s="1"/>
  <c r="I350" i="4" l="1"/>
  <c r="C350" i="4"/>
  <c r="D350" i="4" l="1"/>
  <c r="H350" i="4"/>
  <c r="J350" i="4" s="1"/>
  <c r="E350" i="4"/>
  <c r="K350" i="4"/>
  <c r="C351" i="4" l="1"/>
  <c r="I351" i="4"/>
  <c r="D351" i="4" l="1"/>
  <c r="E351" i="4" s="1"/>
  <c r="H351" i="4"/>
  <c r="J351" i="4" s="1"/>
  <c r="K351" i="4"/>
  <c r="C352" i="4" l="1"/>
  <c r="I352" i="4"/>
  <c r="K352" i="4" l="1"/>
  <c r="D352" i="4"/>
  <c r="E352" i="4" s="1"/>
  <c r="H352" i="4"/>
  <c r="J352" i="4" s="1"/>
  <c r="C353" i="4" l="1"/>
  <c r="I353" i="4"/>
  <c r="K353" i="4" l="1"/>
  <c r="D353" i="4"/>
  <c r="E353" i="4" s="1"/>
  <c r="H353" i="4"/>
  <c r="J353" i="4" s="1"/>
  <c r="I354" i="4" l="1"/>
  <c r="C354" i="4"/>
  <c r="H354" i="4" l="1"/>
  <c r="D354" i="4"/>
  <c r="E354" i="4" s="1"/>
  <c r="K354" i="4"/>
  <c r="J354" i="4"/>
  <c r="C355" i="4" l="1"/>
  <c r="I355" i="4"/>
  <c r="H355" i="4" l="1"/>
  <c r="J355" i="4" s="1"/>
  <c r="D355" i="4"/>
  <c r="E355" i="4" s="1"/>
  <c r="K355" i="4"/>
  <c r="C356" i="4" l="1"/>
  <c r="I356" i="4"/>
  <c r="K356" i="4" l="1"/>
  <c r="H356" i="4"/>
  <c r="J356" i="4" s="1"/>
  <c r="D356" i="4"/>
  <c r="E356" i="4" s="1"/>
  <c r="I357" i="4" l="1"/>
  <c r="C357" i="4"/>
  <c r="K357" i="4" l="1"/>
  <c r="H357" i="4"/>
  <c r="J357" i="4" s="1"/>
  <c r="D357" i="4"/>
  <c r="E357" i="4" s="1"/>
  <c r="I358" i="4" l="1"/>
  <c r="C358" i="4"/>
  <c r="D358" i="4" l="1"/>
  <c r="H358" i="4"/>
  <c r="J358" i="4" s="1"/>
  <c r="E358" i="4"/>
  <c r="K358" i="4"/>
  <c r="I359" i="4" l="1"/>
  <c r="C359" i="4"/>
  <c r="H359" i="4" l="1"/>
  <c r="J359" i="4" s="1"/>
  <c r="D359" i="4"/>
  <c r="E359" i="4" s="1"/>
  <c r="K359" i="4"/>
  <c r="I360" i="4" l="1"/>
  <c r="C360" i="4"/>
  <c r="K360" i="4" l="1"/>
  <c r="H360" i="4"/>
  <c r="J360" i="4" s="1"/>
  <c r="D360" i="4"/>
  <c r="E360" i="4" s="1"/>
  <c r="I361" i="4" l="1"/>
  <c r="C361" i="4"/>
  <c r="K361" i="4" l="1"/>
  <c r="D361" i="4"/>
  <c r="E361" i="4" s="1"/>
  <c r="H361" i="4"/>
  <c r="J361" i="4" s="1"/>
  <c r="I362" i="4" l="1"/>
  <c r="C362" i="4"/>
  <c r="D362" i="4" l="1"/>
  <c r="E362" i="4" s="1"/>
  <c r="H362" i="4"/>
  <c r="J362" i="4" s="1"/>
  <c r="K362" i="4"/>
  <c r="I363" i="4" l="1"/>
  <c r="C363" i="4"/>
  <c r="H363" i="4" l="1"/>
  <c r="J363" i="4" s="1"/>
  <c r="D363" i="4"/>
  <c r="E363" i="4" s="1"/>
  <c r="K363" i="4"/>
  <c r="C364" i="4" l="1"/>
  <c r="I364" i="4"/>
  <c r="K364" i="4" l="1"/>
  <c r="H364" i="4"/>
  <c r="J364" i="4" s="1"/>
  <c r="D364" i="4"/>
  <c r="E364" i="4" s="1"/>
  <c r="I365" i="4" l="1"/>
  <c r="C365" i="4"/>
  <c r="K365" i="4" l="1"/>
  <c r="D365" i="4"/>
  <c r="E365" i="4" s="1"/>
  <c r="H365" i="4"/>
  <c r="J365" i="4" s="1"/>
  <c r="I366" i="4" l="1"/>
  <c r="C366" i="4"/>
  <c r="D366" i="4" l="1"/>
  <c r="E366" i="4" s="1"/>
  <c r="H366" i="4"/>
  <c r="J366" i="4" s="1"/>
  <c r="K366" i="4"/>
  <c r="I367" i="4" l="1"/>
  <c r="C367" i="4"/>
  <c r="H367" i="4" l="1"/>
  <c r="J367" i="4" s="1"/>
  <c r="D367" i="4"/>
  <c r="E367" i="4" s="1"/>
  <c r="K367" i="4"/>
  <c r="C368" i="4" l="1"/>
  <c r="I368" i="4"/>
  <c r="K368" i="4" l="1"/>
  <c r="D368" i="4"/>
  <c r="E368" i="4" s="1"/>
  <c r="H368" i="4"/>
  <c r="J368" i="4" s="1"/>
  <c r="I369" i="4" l="1"/>
  <c r="C369" i="4"/>
  <c r="D369" i="4" l="1"/>
  <c r="E369" i="4" s="1"/>
  <c r="H369" i="4"/>
  <c r="J369" i="4" s="1"/>
  <c r="K369" i="4"/>
  <c r="C370" i="4" l="1"/>
  <c r="I370" i="4"/>
  <c r="H370" i="4" l="1"/>
  <c r="J370" i="4" s="1"/>
  <c r="K370" i="4"/>
  <c r="D370" i="4"/>
  <c r="E370" i="4" s="1"/>
  <c r="C371" i="4" l="1"/>
  <c r="I371" i="4"/>
  <c r="H371" i="4" l="1"/>
  <c r="J371" i="4" s="1"/>
  <c r="D371" i="4"/>
  <c r="E371" i="4" s="1"/>
  <c r="K371" i="4"/>
  <c r="C372" i="4" l="1"/>
  <c r="I372" i="4"/>
  <c r="K372" i="4" l="1"/>
  <c r="D372" i="4"/>
  <c r="E372" i="4" s="1"/>
  <c r="H372" i="4"/>
  <c r="J372" i="4" s="1"/>
  <c r="I373" i="4" l="1"/>
  <c r="C373" i="4"/>
  <c r="K373" i="4" l="1"/>
  <c r="H373" i="4"/>
  <c r="J373" i="4" s="1"/>
  <c r="D373" i="4"/>
  <c r="E373" i="4" s="1"/>
  <c r="C374" i="4" l="1"/>
  <c r="I374" i="4"/>
  <c r="D374" i="4" l="1"/>
  <c r="H374" i="4"/>
  <c r="J374" i="4" s="1"/>
  <c r="K374" i="4"/>
  <c r="E374" i="4"/>
  <c r="I375" i="4" l="1"/>
  <c r="C375" i="4"/>
  <c r="H375" i="4" l="1"/>
  <c r="J375" i="4" s="1"/>
  <c r="D375" i="4"/>
  <c r="E375" i="4" s="1"/>
  <c r="K375" i="4"/>
  <c r="I376" i="4" l="1"/>
  <c r="C376" i="4"/>
  <c r="K376" i="4" l="1"/>
  <c r="H376" i="4"/>
  <c r="J376" i="4" s="1"/>
  <c r="D376" i="4"/>
  <c r="E376" i="4" s="1"/>
  <c r="C377" i="4" l="1"/>
  <c r="I377" i="4"/>
  <c r="D377" i="4" l="1"/>
  <c r="E377" i="4" s="1"/>
  <c r="K377" i="4"/>
  <c r="H377" i="4"/>
  <c r="J377" i="4" s="1"/>
  <c r="C378" i="4" l="1"/>
  <c r="I378" i="4"/>
  <c r="D378" i="4" l="1"/>
  <c r="K378" i="4"/>
  <c r="H378" i="4"/>
  <c r="J378" i="4" s="1"/>
  <c r="E378" i="4"/>
  <c r="I379" i="4" l="1"/>
  <c r="C379" i="4"/>
  <c r="K379" i="4" l="1"/>
  <c r="H379" i="4"/>
  <c r="J379" i="4" s="1"/>
  <c r="D379" i="4"/>
  <c r="E379" i="4" s="1"/>
  <c r="C380" i="4" l="1"/>
  <c r="I380" i="4"/>
  <c r="K380" i="4" l="1"/>
  <c r="H380" i="4"/>
  <c r="J380" i="4" s="1"/>
  <c r="D380" i="4"/>
  <c r="E380" i="4" s="1"/>
  <c r="C381" i="4" l="1"/>
  <c r="I381" i="4"/>
  <c r="K381" i="4" l="1"/>
  <c r="D381" i="4"/>
  <c r="E381" i="4" s="1"/>
  <c r="H381" i="4"/>
  <c r="J381" i="4" s="1"/>
  <c r="C382" i="4" l="1"/>
  <c r="I382" i="4"/>
  <c r="D382" i="4" l="1"/>
  <c r="E382" i="4" s="1"/>
  <c r="H382" i="4"/>
  <c r="J382" i="4" s="1"/>
  <c r="K382" i="4"/>
  <c r="C383" i="4" l="1"/>
  <c r="I383" i="4"/>
  <c r="H383" i="4" l="1"/>
  <c r="J383" i="4" s="1"/>
  <c r="D383" i="4"/>
  <c r="E383" i="4" s="1"/>
  <c r="K383" i="4"/>
  <c r="C384" i="4" l="1"/>
  <c r="I384" i="4"/>
  <c r="K384" i="4" l="1"/>
  <c r="H384" i="4"/>
  <c r="J384" i="4" s="1"/>
  <c r="D384" i="4"/>
  <c r="E384" i="4" s="1"/>
  <c r="C385" i="4" l="1"/>
  <c r="I385" i="4"/>
  <c r="K385" i="4" l="1"/>
  <c r="D385" i="4"/>
  <c r="E385" i="4" s="1"/>
  <c r="H385" i="4"/>
  <c r="J385" i="4" s="1"/>
  <c r="I386" i="4" l="1"/>
  <c r="C386" i="4"/>
  <c r="D386" i="4" l="1"/>
  <c r="E386" i="4" s="1"/>
  <c r="H386" i="4"/>
  <c r="J386" i="4" s="1"/>
  <c r="K386" i="4"/>
  <c r="C387" i="4" l="1"/>
  <c r="I387" i="4"/>
  <c r="H387" i="4" l="1"/>
  <c r="J387" i="4" s="1"/>
  <c r="D387" i="4"/>
  <c r="E387" i="4" s="1"/>
  <c r="K387" i="4"/>
  <c r="C388" i="4" l="1"/>
  <c r="I388" i="4"/>
  <c r="K388" i="4" l="1"/>
  <c r="H388" i="4"/>
  <c r="J388" i="4" s="1"/>
  <c r="D388" i="4"/>
  <c r="E388" i="4" s="1"/>
  <c r="I389" i="4" l="1"/>
  <c r="C389" i="4"/>
  <c r="K389" i="4" l="1"/>
  <c r="D389" i="4"/>
  <c r="E389" i="4" s="1"/>
  <c r="H389" i="4"/>
  <c r="J389" i="4" s="1"/>
  <c r="I390" i="4" l="1"/>
  <c r="C390" i="4"/>
  <c r="D390" i="4" l="1"/>
  <c r="E390" i="4" s="1"/>
  <c r="H390" i="4"/>
  <c r="J390" i="4" s="1"/>
  <c r="K390" i="4"/>
  <c r="I391" i="4" l="1"/>
  <c r="C391" i="4"/>
  <c r="H391" i="4" l="1"/>
  <c r="D391" i="4"/>
  <c r="E391" i="4" s="1"/>
  <c r="K391" i="4"/>
  <c r="J391" i="4"/>
  <c r="C392" i="4" l="1"/>
  <c r="I392" i="4"/>
  <c r="K392" i="4" l="1"/>
  <c r="H392" i="4"/>
  <c r="J392" i="4" s="1"/>
  <c r="D392" i="4"/>
  <c r="E392" i="4" s="1"/>
  <c r="I393" i="4" l="1"/>
  <c r="C393" i="4"/>
  <c r="K393" i="4" l="1"/>
  <c r="D393" i="4"/>
  <c r="E393" i="4" s="1"/>
  <c r="H393" i="4"/>
  <c r="J393" i="4" s="1"/>
  <c r="I394" i="4" l="1"/>
  <c r="C394" i="4"/>
  <c r="D394" i="4" l="1"/>
  <c r="K394" i="4"/>
  <c r="H394" i="4"/>
  <c r="J394" i="4" s="1"/>
  <c r="E394" i="4"/>
  <c r="C395" i="4" l="1"/>
  <c r="I395" i="4"/>
  <c r="K395" i="4" l="1"/>
  <c r="D395" i="4"/>
  <c r="E395" i="4" s="1"/>
  <c r="H395" i="4"/>
  <c r="J395" i="4" s="1"/>
  <c r="I396" i="4" l="1"/>
  <c r="C396" i="4"/>
  <c r="K396" i="4" l="1"/>
  <c r="H396" i="4"/>
  <c r="J396" i="4" s="1"/>
  <c r="D396" i="4"/>
  <c r="E396" i="4" s="1"/>
  <c r="C397" i="4" l="1"/>
  <c r="I397" i="4"/>
  <c r="K397" i="4" l="1"/>
  <c r="H397" i="4"/>
  <c r="J397" i="4" s="1"/>
  <c r="D397" i="4"/>
  <c r="E397" i="4" s="1"/>
  <c r="C398" i="4" l="1"/>
  <c r="I398" i="4"/>
  <c r="K398" i="4" l="1"/>
  <c r="H398" i="4"/>
  <c r="J398" i="4" s="1"/>
  <c r="D398" i="4"/>
  <c r="E398" i="4" s="1"/>
  <c r="C399" i="4" l="1"/>
  <c r="I399" i="4"/>
  <c r="D399" i="4" l="1"/>
  <c r="E399" i="4" s="1"/>
  <c r="K399" i="4"/>
  <c r="H399" i="4"/>
  <c r="J399" i="4" s="1"/>
  <c r="I400" i="4" l="1"/>
  <c r="C400" i="4"/>
  <c r="D400" i="4" l="1"/>
  <c r="E400" i="4" s="1"/>
  <c r="K400" i="4"/>
  <c r="H400" i="4"/>
  <c r="J400" i="4" s="1"/>
  <c r="C401" i="4" l="1"/>
  <c r="I401" i="4"/>
  <c r="D401" i="4" l="1"/>
  <c r="E401" i="4" s="1"/>
  <c r="K401" i="4"/>
  <c r="H401" i="4"/>
  <c r="J401" i="4" s="1"/>
  <c r="I402" i="4" l="1"/>
  <c r="C402" i="4"/>
  <c r="H402" i="4" l="1"/>
  <c r="K402" i="4"/>
  <c r="D402" i="4"/>
  <c r="E402" i="4" s="1"/>
  <c r="J402" i="4"/>
  <c r="C403" i="4" l="1"/>
  <c r="I403" i="4"/>
  <c r="B300" i="2"/>
  <c r="K403" i="4" l="1"/>
  <c r="D403" i="4"/>
  <c r="D404" i="4" s="1"/>
  <c r="H403" i="4"/>
  <c r="J403" i="4" s="1"/>
  <c r="B301" i="2"/>
  <c r="E403" i="4" l="1"/>
  <c r="B302" i="2"/>
  <c r="B303" i="2" l="1"/>
  <c r="B304" i="2" l="1"/>
  <c r="B305" i="2" l="1"/>
  <c r="B306" i="2" l="1"/>
  <c r="B307" i="2" l="1"/>
  <c r="B308" i="2" l="1"/>
  <c r="B309" i="2" l="1"/>
  <c r="B310" i="2" l="1"/>
  <c r="B311" i="2" l="1"/>
  <c r="B312" i="2" l="1"/>
  <c r="B313" i="2" l="1"/>
  <c r="B314" i="2" l="1"/>
  <c r="B315" i="2" l="1"/>
  <c r="B316" i="2" l="1"/>
  <c r="B317" i="2" l="1"/>
  <c r="B318" i="2" l="1"/>
  <c r="B319" i="2" l="1"/>
  <c r="B320" i="2" l="1"/>
  <c r="B321" i="2" l="1"/>
  <c r="B322" i="2" l="1"/>
  <c r="B323" i="2" l="1"/>
  <c r="B324" i="2" l="1"/>
  <c r="B325" i="2" l="1"/>
  <c r="B326" i="2" l="1"/>
  <c r="B327" i="2" l="1"/>
  <c r="B328" i="2" l="1"/>
  <c r="B329" i="2" l="1"/>
  <c r="B330" i="2" l="1"/>
  <c r="B331" i="2" l="1"/>
  <c r="B332" i="2" l="1"/>
  <c r="B333" i="2" l="1"/>
  <c r="B334" i="2" l="1"/>
  <c r="B335" i="2" l="1"/>
  <c r="B336" i="2" l="1"/>
  <c r="B337" i="2" l="1"/>
  <c r="B338" i="2" l="1"/>
  <c r="B339" i="2" l="1"/>
  <c r="B340" i="2" l="1"/>
  <c r="B341" i="2" l="1"/>
  <c r="B342" i="2" l="1"/>
  <c r="B343" i="2" l="1"/>
  <c r="B344" i="2" l="1"/>
  <c r="B345" i="2" l="1"/>
  <c r="B346" i="2" l="1"/>
  <c r="B347" i="2" l="1"/>
  <c r="B348" i="2" l="1"/>
  <c r="B349" i="2" l="1"/>
  <c r="B350" i="2" l="1"/>
  <c r="B351" i="2" l="1"/>
  <c r="B352" i="2" l="1"/>
  <c r="B353" i="2" l="1"/>
  <c r="B354" i="2" l="1"/>
  <c r="B355" i="2" l="1"/>
  <c r="B356" i="2" l="1"/>
  <c r="B357" i="2" l="1"/>
  <c r="B358" i="2" l="1"/>
  <c r="B359" i="2" l="1"/>
  <c r="B360" i="2" l="1"/>
  <c r="B361" i="2" l="1"/>
  <c r="B362" i="2" l="1"/>
  <c r="B363" i="2" l="1"/>
  <c r="B364" i="2" l="1"/>
  <c r="B365" i="2" l="1"/>
  <c r="B366" i="2" l="1"/>
  <c r="B367" i="2" l="1"/>
  <c r="B368" i="2" l="1"/>
  <c r="B369" i="2" l="1"/>
  <c r="B370" i="2" l="1"/>
  <c r="B371" i="2" l="1"/>
  <c r="B372" i="2" l="1"/>
  <c r="B373" i="2" l="1"/>
  <c r="B374" i="2" l="1"/>
  <c r="B375" i="2" l="1"/>
  <c r="B376" i="2" l="1"/>
  <c r="B377" i="2" l="1"/>
  <c r="B378" i="2" l="1"/>
  <c r="B379" i="2" l="1"/>
  <c r="B380" i="2" l="1"/>
  <c r="B381" i="2" l="1"/>
  <c r="B382" i="2" l="1"/>
  <c r="B383" i="2" l="1"/>
  <c r="B384" i="2" l="1"/>
  <c r="B385" i="2" l="1"/>
  <c r="B386" i="2" l="1"/>
  <c r="B387" i="2" l="1"/>
  <c r="B388" i="2" l="1"/>
  <c r="B389" i="2" l="1"/>
  <c r="B390" i="2" l="1"/>
  <c r="B391" i="2" l="1"/>
  <c r="B392" i="2" l="1"/>
  <c r="B393" i="2" l="1"/>
  <c r="B394" i="2" l="1"/>
  <c r="B395" i="2" l="1"/>
  <c r="B396" i="2" l="1"/>
  <c r="B397" i="2" l="1"/>
  <c r="B398" i="2" l="1"/>
  <c r="B399" i="2" l="1"/>
  <c r="B400" i="2" l="1"/>
  <c r="B401" i="2" l="1"/>
  <c r="B402" i="2" l="1"/>
  <c r="B403" i="2" l="1"/>
  <c r="B404" i="2" l="1"/>
  <c r="B405" i="2" l="1"/>
  <c r="B406" i="2" l="1"/>
  <c r="B407" i="2" l="1"/>
  <c r="B408" i="2" l="1"/>
  <c r="B409" i="2" l="1"/>
  <c r="B410" i="2" l="1"/>
  <c r="B411" i="2" l="1"/>
  <c r="B412" i="2" l="1"/>
  <c r="B413" i="2" l="1"/>
  <c r="B414" i="2" l="1"/>
  <c r="B415" i="2" l="1"/>
  <c r="B416" i="2" l="1"/>
  <c r="B417" i="2" l="1"/>
  <c r="B418" i="2" l="1"/>
  <c r="B419" i="2" l="1"/>
  <c r="G404" i="4" l="1"/>
  <c r="J404" i="4"/>
  <c r="F404" i="4"/>
  <c r="I404" i="4"/>
  <c r="H404" i="4"/>
  <c r="AE59" i="2" l="1"/>
  <c r="C60" i="2"/>
  <c r="AE60" i="2" l="1"/>
  <c r="C61" i="2"/>
  <c r="AE61" i="2" s="1"/>
  <c r="J27" i="2"/>
  <c r="G60" i="2"/>
  <c r="L60" i="2" s="1"/>
  <c r="R60" i="2"/>
  <c r="S60" i="2"/>
  <c r="Q60" i="2" l="1"/>
  <c r="N60" i="2"/>
  <c r="J61" i="2"/>
  <c r="D61" i="2"/>
  <c r="R61" i="2"/>
  <c r="S61" i="2"/>
  <c r="C62" i="2"/>
  <c r="AE62" i="2" s="1"/>
  <c r="H61" i="2" l="1"/>
  <c r="AD61" i="2" s="1"/>
  <c r="AF61" i="2" s="1"/>
  <c r="E61" i="2"/>
  <c r="F61" i="2" s="1"/>
  <c r="I61" i="2"/>
  <c r="S62" i="2"/>
  <c r="R62" i="2"/>
  <c r="C63" i="2"/>
  <c r="AE63" i="2" s="1"/>
  <c r="K61" i="2" l="1"/>
  <c r="AG61" i="2" s="1"/>
  <c r="G61" i="2"/>
  <c r="R63" i="2"/>
  <c r="S63" i="2"/>
  <c r="C64" i="2"/>
  <c r="AE64" i="2" s="1"/>
  <c r="L61" i="2" l="1"/>
  <c r="N61" i="2" s="1"/>
  <c r="Q61" i="2"/>
  <c r="R64" i="2"/>
  <c r="S64" i="2"/>
  <c r="C65" i="2"/>
  <c r="AE65" i="2" s="1"/>
  <c r="D62" i="2" l="1"/>
  <c r="J62" i="2"/>
  <c r="R65" i="2"/>
  <c r="S65" i="2"/>
  <c r="C66" i="2"/>
  <c r="AE66" i="2" s="1"/>
  <c r="I62" i="2" l="1"/>
  <c r="H62" i="2"/>
  <c r="AD62" i="2" s="1"/>
  <c r="AF62" i="2" s="1"/>
  <c r="E62" i="2"/>
  <c r="F62" i="2" s="1"/>
  <c r="S66" i="2"/>
  <c r="R66" i="2"/>
  <c r="C67" i="2"/>
  <c r="AE67" i="2" s="1"/>
  <c r="G62" i="2" l="1"/>
  <c r="K62" i="2"/>
  <c r="AG62" i="2" s="1"/>
  <c r="R67" i="2"/>
  <c r="S67" i="2"/>
  <c r="C68" i="2"/>
  <c r="AE68" i="2" s="1"/>
  <c r="L62" i="2" l="1"/>
  <c r="N62" i="2" s="1"/>
  <c r="Q62" i="2"/>
  <c r="R68" i="2"/>
  <c r="S68" i="2"/>
  <c r="C69" i="2"/>
  <c r="AE69" i="2" s="1"/>
  <c r="D63" i="2" l="1"/>
  <c r="J63" i="2"/>
  <c r="R69" i="2"/>
  <c r="S69" i="2"/>
  <c r="C70" i="2"/>
  <c r="AE70" i="2" s="1"/>
  <c r="I63" i="2" l="1"/>
  <c r="H63" i="2"/>
  <c r="AD63" i="2" s="1"/>
  <c r="AF63" i="2" s="1"/>
  <c r="E63" i="2"/>
  <c r="F63" i="2" s="1"/>
  <c r="R70" i="2"/>
  <c r="S70" i="2"/>
  <c r="C71" i="2"/>
  <c r="AE71" i="2" s="1"/>
  <c r="G63" i="2" l="1"/>
  <c r="K63" i="2"/>
  <c r="R71" i="2"/>
  <c r="S71" i="2"/>
  <c r="C72" i="2"/>
  <c r="AE72" i="2" s="1"/>
  <c r="AG63" i="2" l="1"/>
  <c r="J31" i="2"/>
  <c r="L63" i="2"/>
  <c r="N63" i="2" s="1"/>
  <c r="Q63" i="2"/>
  <c r="R72" i="2"/>
  <c r="C73" i="2"/>
  <c r="AE73" i="2" s="1"/>
  <c r="D64" i="2" l="1"/>
  <c r="J64" i="2"/>
  <c r="R73" i="2"/>
  <c r="C74" i="2"/>
  <c r="AE74" i="2" s="1"/>
  <c r="E64" i="2" l="1"/>
  <c r="F64" i="2" s="1"/>
  <c r="I64" i="2"/>
  <c r="H64" i="2"/>
  <c r="AD64" i="2" s="1"/>
  <c r="AF64" i="2" s="1"/>
  <c r="R74" i="2"/>
  <c r="C75" i="2"/>
  <c r="AE75" i="2" s="1"/>
  <c r="G64" i="2" l="1"/>
  <c r="K64" i="2"/>
  <c r="R75" i="2"/>
  <c r="C76" i="2"/>
  <c r="AE76" i="2" s="1"/>
  <c r="AG64" i="2" l="1"/>
  <c r="L64" i="2"/>
  <c r="N64" i="2" s="1"/>
  <c r="Q64" i="2"/>
  <c r="R76" i="2"/>
  <c r="C77" i="2"/>
  <c r="AE77" i="2" s="1"/>
  <c r="D65" i="2" l="1"/>
  <c r="J65" i="2"/>
  <c r="R77" i="2"/>
  <c r="C78" i="2"/>
  <c r="AE78" i="2" s="1"/>
  <c r="H65" i="2" l="1"/>
  <c r="AD65" i="2" s="1"/>
  <c r="AF65" i="2" s="1"/>
  <c r="E65" i="2"/>
  <c r="F65" i="2" s="1"/>
  <c r="I65" i="2"/>
  <c r="R78" i="2"/>
  <c r="C79" i="2"/>
  <c r="AE79" i="2" s="1"/>
  <c r="G65" i="2" l="1"/>
  <c r="K65" i="2"/>
  <c r="AG65" i="2" s="1"/>
  <c r="R79" i="2"/>
  <c r="C80" i="2"/>
  <c r="AE80" i="2" s="1"/>
  <c r="L65" i="2" l="1"/>
  <c r="N65" i="2" s="1"/>
  <c r="Q65" i="2"/>
  <c r="R80" i="2"/>
  <c r="C81" i="2"/>
  <c r="AE81" i="2" s="1"/>
  <c r="D66" i="2" l="1"/>
  <c r="J66" i="2"/>
  <c r="R81" i="2"/>
  <c r="C82" i="2"/>
  <c r="AE82" i="2" s="1"/>
  <c r="I66" i="2" l="1"/>
  <c r="E66" i="2"/>
  <c r="F66" i="2" s="1"/>
  <c r="H66" i="2"/>
  <c r="AD66" i="2" s="1"/>
  <c r="AF66" i="2" s="1"/>
  <c r="R82" i="2"/>
  <c r="C83" i="2"/>
  <c r="AE83" i="2" s="1"/>
  <c r="G66" i="2" l="1"/>
  <c r="K66" i="2"/>
  <c r="R83" i="2"/>
  <c r="C84" i="2"/>
  <c r="AE84" i="2" s="1"/>
  <c r="AG66" i="2" l="1"/>
  <c r="L66" i="2"/>
  <c r="N66" i="2" s="1"/>
  <c r="Q66" i="2"/>
  <c r="R84" i="2"/>
  <c r="C85" i="2"/>
  <c r="AE85" i="2" s="1"/>
  <c r="J67" i="2" l="1"/>
  <c r="D67" i="2"/>
  <c r="R85" i="2"/>
  <c r="C86" i="2"/>
  <c r="AE86" i="2" s="1"/>
  <c r="E67" i="2" l="1"/>
  <c r="F67" i="2" s="1"/>
  <c r="H67" i="2"/>
  <c r="AD67" i="2" s="1"/>
  <c r="AF67" i="2" s="1"/>
  <c r="I67" i="2"/>
  <c r="R86" i="2"/>
  <c r="C87" i="2"/>
  <c r="AE87" i="2" s="1"/>
  <c r="K67" i="2" l="1"/>
  <c r="G67" i="2"/>
  <c r="R87" i="2"/>
  <c r="C88" i="2"/>
  <c r="AE88" i="2" s="1"/>
  <c r="AG67" i="2" l="1"/>
  <c r="K9" i="2"/>
  <c r="L67" i="2"/>
  <c r="N67" i="2" s="1"/>
  <c r="Q67" i="2"/>
  <c r="R88" i="2"/>
  <c r="C89" i="2"/>
  <c r="AE89" i="2" s="1"/>
  <c r="J68" i="2" l="1"/>
  <c r="D68" i="2"/>
  <c r="R89" i="2"/>
  <c r="C90" i="2"/>
  <c r="AE90" i="2" s="1"/>
  <c r="H68" i="2" l="1"/>
  <c r="AD68" i="2" s="1"/>
  <c r="AF68" i="2" s="1"/>
  <c r="E68" i="2"/>
  <c r="F68" i="2" s="1"/>
  <c r="I68" i="2"/>
  <c r="R90" i="2"/>
  <c r="C91" i="2"/>
  <c r="AE91" i="2" s="1"/>
  <c r="K68" i="2" l="1"/>
  <c r="AG68" i="2" s="1"/>
  <c r="G68" i="2"/>
  <c r="R91" i="2"/>
  <c r="C92" i="2"/>
  <c r="AE92" i="2" s="1"/>
  <c r="Q68" i="2" l="1"/>
  <c r="L68" i="2"/>
  <c r="N68" i="2" s="1"/>
  <c r="R92" i="2"/>
  <c r="C93" i="2"/>
  <c r="AE93" i="2" s="1"/>
  <c r="J69" i="2" l="1"/>
  <c r="D69" i="2"/>
  <c r="R93" i="2"/>
  <c r="C94" i="2"/>
  <c r="AE94" i="2" s="1"/>
  <c r="E69" i="2" l="1"/>
  <c r="F69" i="2" s="1"/>
  <c r="I69" i="2"/>
  <c r="H69" i="2"/>
  <c r="AD69" i="2" s="1"/>
  <c r="AF69" i="2" s="1"/>
  <c r="R94" i="2"/>
  <c r="C95" i="2"/>
  <c r="AE95" i="2" s="1"/>
  <c r="K69" i="2" l="1"/>
  <c r="AG69" i="2" s="1"/>
  <c r="G69" i="2"/>
  <c r="R95" i="2"/>
  <c r="C96" i="2"/>
  <c r="AE96" i="2" s="1"/>
  <c r="L69" i="2" l="1"/>
  <c r="N69" i="2" s="1"/>
  <c r="Q69" i="2"/>
  <c r="R96" i="2"/>
  <c r="C97" i="2"/>
  <c r="AE97" i="2" s="1"/>
  <c r="J70" i="2" l="1"/>
  <c r="D70" i="2"/>
  <c r="R97" i="2"/>
  <c r="C98" i="2"/>
  <c r="AE98" i="2" s="1"/>
  <c r="E70" i="2" l="1"/>
  <c r="F70" i="2" s="1"/>
  <c r="H70" i="2"/>
  <c r="AD70" i="2" s="1"/>
  <c r="AF70" i="2" s="1"/>
  <c r="I70" i="2"/>
  <c r="R98" i="2"/>
  <c r="C99" i="2"/>
  <c r="AE99" i="2" s="1"/>
  <c r="K70" i="2" l="1"/>
  <c r="AG70" i="2" s="1"/>
  <c r="G70" i="2"/>
  <c r="R99" i="2"/>
  <c r="C100" i="2"/>
  <c r="AE100" i="2" s="1"/>
  <c r="Q70" i="2" l="1"/>
  <c r="L70" i="2"/>
  <c r="N70" i="2" s="1"/>
  <c r="R100" i="2"/>
  <c r="C101" i="2"/>
  <c r="AE101" i="2" s="1"/>
  <c r="D71" i="2" l="1"/>
  <c r="J71" i="2"/>
  <c r="R101" i="2"/>
  <c r="C102" i="2"/>
  <c r="AE102" i="2" s="1"/>
  <c r="E71" i="2" l="1"/>
  <c r="F71" i="2" s="1"/>
  <c r="H71" i="2"/>
  <c r="AD71" i="2" s="1"/>
  <c r="AF71" i="2" s="1"/>
  <c r="I71" i="2"/>
  <c r="R102" i="2"/>
  <c r="C103" i="2"/>
  <c r="AE103" i="2" s="1"/>
  <c r="K71" i="2" l="1"/>
  <c r="AG71" i="2" s="1"/>
  <c r="G71" i="2"/>
  <c r="R103" i="2"/>
  <c r="C104" i="2"/>
  <c r="AE104" i="2" s="1"/>
  <c r="Q71" i="2" l="1"/>
  <c r="R46" i="2" s="1"/>
  <c r="L71" i="2"/>
  <c r="N71" i="2" s="1"/>
  <c r="R104" i="2"/>
  <c r="C105" i="2"/>
  <c r="AE105" i="2" s="1"/>
  <c r="J72" i="2" l="1"/>
  <c r="D72" i="2"/>
  <c r="R105" i="2"/>
  <c r="C106" i="2"/>
  <c r="AE106" i="2" s="1"/>
  <c r="I72" i="2" l="1"/>
  <c r="H72" i="2"/>
  <c r="AD72" i="2" s="1"/>
  <c r="AF72" i="2" s="1"/>
  <c r="E72" i="2"/>
  <c r="F72" i="2" s="1"/>
  <c r="R106" i="2"/>
  <c r="C107" i="2"/>
  <c r="AE107" i="2" s="1"/>
  <c r="G72" i="2" l="1"/>
  <c r="K72" i="2"/>
  <c r="R107" i="2"/>
  <c r="C108" i="2"/>
  <c r="AE108" i="2" s="1"/>
  <c r="AG72" i="2" l="1"/>
  <c r="J30" i="2"/>
  <c r="Q72" i="2"/>
  <c r="L72" i="2"/>
  <c r="R108" i="2"/>
  <c r="C109" i="2"/>
  <c r="AE109" i="2" s="1"/>
  <c r="J73" i="2" l="1"/>
  <c r="D73" i="2"/>
  <c r="R109" i="2"/>
  <c r="C110" i="2"/>
  <c r="AE110" i="2" s="1"/>
  <c r="I73" i="2" l="1"/>
  <c r="H73" i="2"/>
  <c r="AD73" i="2" s="1"/>
  <c r="AF73" i="2" s="1"/>
  <c r="E73" i="2"/>
  <c r="F73" i="2" s="1"/>
  <c r="R110" i="2"/>
  <c r="C111" i="2"/>
  <c r="AE111" i="2" s="1"/>
  <c r="G73" i="2" l="1"/>
  <c r="K73" i="2"/>
  <c r="AG73" i="2" s="1"/>
  <c r="R111" i="2"/>
  <c r="C112" i="2"/>
  <c r="AE112" i="2" s="1"/>
  <c r="Q73" i="2" l="1"/>
  <c r="L73" i="2"/>
  <c r="R112" i="2"/>
  <c r="C113" i="2"/>
  <c r="AE113" i="2" s="1"/>
  <c r="J74" i="2" l="1"/>
  <c r="D74" i="2"/>
  <c r="R113" i="2"/>
  <c r="C114" i="2"/>
  <c r="AE114" i="2" s="1"/>
  <c r="I74" i="2" l="1"/>
  <c r="H74" i="2"/>
  <c r="AD74" i="2" s="1"/>
  <c r="AF74" i="2" s="1"/>
  <c r="E74" i="2"/>
  <c r="F74" i="2" s="1"/>
  <c r="R114" i="2"/>
  <c r="C115" i="2"/>
  <c r="AE115" i="2" s="1"/>
  <c r="G74" i="2" l="1"/>
  <c r="K74" i="2"/>
  <c r="AG74" i="2" s="1"/>
  <c r="R115" i="2"/>
  <c r="C116" i="2"/>
  <c r="AE116" i="2" s="1"/>
  <c r="Q74" i="2" l="1"/>
  <c r="L74" i="2"/>
  <c r="R116" i="2"/>
  <c r="C117" i="2"/>
  <c r="AE117" i="2" s="1"/>
  <c r="J75" i="2" l="1"/>
  <c r="D75" i="2"/>
  <c r="R117" i="2"/>
  <c r="C118" i="2"/>
  <c r="AE118" i="2" s="1"/>
  <c r="E75" i="2" l="1"/>
  <c r="F75" i="2" s="1"/>
  <c r="I75" i="2"/>
  <c r="H75" i="2"/>
  <c r="AD75" i="2" s="1"/>
  <c r="AF75" i="2" s="1"/>
  <c r="R118" i="2"/>
  <c r="C119" i="2"/>
  <c r="AE119" i="2" s="1"/>
  <c r="K75" i="2" l="1"/>
  <c r="AG75" i="2" s="1"/>
  <c r="G75" i="2"/>
  <c r="R119" i="2"/>
  <c r="C120" i="2"/>
  <c r="AE120" i="2" s="1"/>
  <c r="L75" i="2" l="1"/>
  <c r="Q75" i="2"/>
  <c r="R120" i="2"/>
  <c r="C121" i="2"/>
  <c r="AE121" i="2" s="1"/>
  <c r="D76" i="2" l="1"/>
  <c r="J76" i="2"/>
  <c r="R121" i="2"/>
  <c r="C122" i="2"/>
  <c r="AE122" i="2" s="1"/>
  <c r="E76" i="2" l="1"/>
  <c r="F76" i="2" s="1"/>
  <c r="I76" i="2"/>
  <c r="H76" i="2"/>
  <c r="AD76" i="2" s="1"/>
  <c r="AF76" i="2" s="1"/>
  <c r="R122" i="2"/>
  <c r="C123" i="2"/>
  <c r="AE123" i="2" s="1"/>
  <c r="G76" i="2" l="1"/>
  <c r="K76" i="2"/>
  <c r="AG76" i="2" s="1"/>
  <c r="R123" i="2"/>
  <c r="C124" i="2"/>
  <c r="AE124" i="2" s="1"/>
  <c r="Q76" i="2" l="1"/>
  <c r="L76" i="2"/>
  <c r="R124" i="2"/>
  <c r="C125" i="2"/>
  <c r="AE125" i="2" s="1"/>
  <c r="J77" i="2" l="1"/>
  <c r="D77" i="2"/>
  <c r="R125" i="2"/>
  <c r="C126" i="2"/>
  <c r="AE126" i="2" s="1"/>
  <c r="I77" i="2" l="1"/>
  <c r="E77" i="2"/>
  <c r="F77" i="2" s="1"/>
  <c r="H77" i="2"/>
  <c r="AD77" i="2" s="1"/>
  <c r="AF77" i="2" s="1"/>
  <c r="R126" i="2"/>
  <c r="C127" i="2"/>
  <c r="AE127" i="2" s="1"/>
  <c r="G77" i="2" l="1"/>
  <c r="K77" i="2"/>
  <c r="AG77" i="2" s="1"/>
  <c r="R127" i="2"/>
  <c r="C128" i="2"/>
  <c r="AE128" i="2" s="1"/>
  <c r="Q77" i="2" l="1"/>
  <c r="L77" i="2"/>
  <c r="R128" i="2"/>
  <c r="C129" i="2"/>
  <c r="AE129" i="2" s="1"/>
  <c r="J78" i="2" l="1"/>
  <c r="D78" i="2"/>
  <c r="R129" i="2"/>
  <c r="C130" i="2"/>
  <c r="AE130" i="2" s="1"/>
  <c r="I78" i="2" l="1"/>
  <c r="E78" i="2"/>
  <c r="F78" i="2" s="1"/>
  <c r="H78" i="2"/>
  <c r="AD78" i="2" s="1"/>
  <c r="AF78" i="2" s="1"/>
  <c r="R130" i="2"/>
  <c r="C131" i="2"/>
  <c r="AE131" i="2" s="1"/>
  <c r="G78" i="2" l="1"/>
  <c r="K78" i="2"/>
  <c r="AG78" i="2" s="1"/>
  <c r="R131" i="2"/>
  <c r="C132" i="2"/>
  <c r="AE132" i="2" s="1"/>
  <c r="L78" i="2" l="1"/>
  <c r="Q78" i="2"/>
  <c r="R132" i="2"/>
  <c r="C133" i="2"/>
  <c r="AE133" i="2" s="1"/>
  <c r="J79" i="2" l="1"/>
  <c r="D79" i="2"/>
  <c r="R133" i="2"/>
  <c r="C134" i="2"/>
  <c r="AE134" i="2" s="1"/>
  <c r="E79" i="2" l="1"/>
  <c r="F79" i="2" s="1"/>
  <c r="H79" i="2"/>
  <c r="AD79" i="2" s="1"/>
  <c r="AF79" i="2" s="1"/>
  <c r="I79" i="2"/>
  <c r="R134" i="2"/>
  <c r="C135" i="2"/>
  <c r="AE135" i="2" s="1"/>
  <c r="K79" i="2" l="1"/>
  <c r="AG79" i="2" s="1"/>
  <c r="G79" i="2"/>
  <c r="R135" i="2"/>
  <c r="C136" i="2"/>
  <c r="AE136" i="2" s="1"/>
  <c r="Q79" i="2" l="1"/>
  <c r="L79" i="2"/>
  <c r="R136" i="2"/>
  <c r="C137" i="2"/>
  <c r="AE137" i="2" s="1"/>
  <c r="J80" i="2" l="1"/>
  <c r="D80" i="2"/>
  <c r="R137" i="2"/>
  <c r="C138" i="2"/>
  <c r="AE138" i="2" s="1"/>
  <c r="I80" i="2" l="1"/>
  <c r="E80" i="2"/>
  <c r="F80" i="2" s="1"/>
  <c r="H80" i="2"/>
  <c r="AD80" i="2" s="1"/>
  <c r="AF80" i="2" s="1"/>
  <c r="R138" i="2"/>
  <c r="C139" i="2"/>
  <c r="AE139" i="2" s="1"/>
  <c r="G80" i="2" l="1"/>
  <c r="K80" i="2"/>
  <c r="AG80" i="2" s="1"/>
  <c r="R139" i="2"/>
  <c r="C140" i="2"/>
  <c r="AE140" i="2" s="1"/>
  <c r="Q80" i="2" l="1"/>
  <c r="L80" i="2"/>
  <c r="R140" i="2"/>
  <c r="C141" i="2"/>
  <c r="AE141" i="2" s="1"/>
  <c r="J81" i="2" l="1"/>
  <c r="D81" i="2"/>
  <c r="R141" i="2"/>
  <c r="C142" i="2"/>
  <c r="AE142" i="2" s="1"/>
  <c r="I81" i="2" l="1"/>
  <c r="E81" i="2"/>
  <c r="F81" i="2" s="1"/>
  <c r="H81" i="2"/>
  <c r="AD81" i="2" s="1"/>
  <c r="AF81" i="2" s="1"/>
  <c r="R142" i="2"/>
  <c r="C143" i="2"/>
  <c r="AE143" i="2" s="1"/>
  <c r="G81" i="2" l="1"/>
  <c r="K81" i="2"/>
  <c r="AG81" i="2" s="1"/>
  <c r="R143" i="2"/>
  <c r="C144" i="2"/>
  <c r="AE144" i="2" s="1"/>
  <c r="Q81" i="2" l="1"/>
  <c r="L81" i="2"/>
  <c r="R144" i="2"/>
  <c r="C145" i="2"/>
  <c r="AE145" i="2" s="1"/>
  <c r="J82" i="2" l="1"/>
  <c r="D82" i="2"/>
  <c r="R145" i="2"/>
  <c r="C146" i="2"/>
  <c r="AE146" i="2" s="1"/>
  <c r="E82" i="2" l="1"/>
  <c r="F82" i="2" s="1"/>
  <c r="I82" i="2"/>
  <c r="H82" i="2"/>
  <c r="AD82" i="2" s="1"/>
  <c r="AF82" i="2" s="1"/>
  <c r="R146" i="2"/>
  <c r="C147" i="2"/>
  <c r="AE147" i="2" s="1"/>
  <c r="G82" i="2" l="1"/>
  <c r="K82" i="2"/>
  <c r="AG82" i="2" s="1"/>
  <c r="R147" i="2"/>
  <c r="C148" i="2"/>
  <c r="AE148" i="2" s="1"/>
  <c r="Q82" i="2" l="1"/>
  <c r="L82" i="2"/>
  <c r="R148" i="2"/>
  <c r="C149" i="2"/>
  <c r="AE149" i="2" s="1"/>
  <c r="D83" i="2" l="1"/>
  <c r="J83" i="2"/>
  <c r="R149" i="2"/>
  <c r="C150" i="2"/>
  <c r="AE150" i="2" s="1"/>
  <c r="I83" i="2" l="1"/>
  <c r="E83" i="2"/>
  <c r="F83" i="2" s="1"/>
  <c r="H83" i="2"/>
  <c r="AD83" i="2" s="1"/>
  <c r="AF83" i="2" s="1"/>
  <c r="R150" i="2"/>
  <c r="C151" i="2"/>
  <c r="AE151" i="2" s="1"/>
  <c r="G83" i="2" l="1"/>
  <c r="K83" i="2"/>
  <c r="AG83" i="2" s="1"/>
  <c r="R151" i="2"/>
  <c r="C152" i="2"/>
  <c r="AE152" i="2" s="1"/>
  <c r="Q83" i="2" l="1"/>
  <c r="L83" i="2"/>
  <c r="R152" i="2"/>
  <c r="C153" i="2"/>
  <c r="AE153" i="2" s="1"/>
  <c r="J84" i="2" l="1"/>
  <c r="D84" i="2"/>
  <c r="R153" i="2"/>
  <c r="C154" i="2"/>
  <c r="AE154" i="2" s="1"/>
  <c r="I84" i="2" l="1"/>
  <c r="E84" i="2"/>
  <c r="F84" i="2" s="1"/>
  <c r="H84" i="2"/>
  <c r="AD84" i="2" s="1"/>
  <c r="AF84" i="2" s="1"/>
  <c r="R154" i="2"/>
  <c r="C155" i="2"/>
  <c r="AE155" i="2" s="1"/>
  <c r="G84" i="2" l="1"/>
  <c r="K84" i="2"/>
  <c r="AG84" i="2" s="1"/>
  <c r="R155" i="2"/>
  <c r="C156" i="2"/>
  <c r="AE156" i="2" s="1"/>
  <c r="L84" i="2" l="1"/>
  <c r="Q84" i="2"/>
  <c r="R156" i="2"/>
  <c r="C157" i="2"/>
  <c r="AE157" i="2" s="1"/>
  <c r="J85" i="2" l="1"/>
  <c r="D85" i="2"/>
  <c r="R157" i="2"/>
  <c r="C158" i="2"/>
  <c r="AE158" i="2" s="1"/>
  <c r="I85" i="2" l="1"/>
  <c r="H85" i="2"/>
  <c r="AD85" i="2" s="1"/>
  <c r="AF85" i="2" s="1"/>
  <c r="E85" i="2"/>
  <c r="F85" i="2" s="1"/>
  <c r="R158" i="2"/>
  <c r="C159" i="2"/>
  <c r="AE159" i="2" s="1"/>
  <c r="G85" i="2" l="1"/>
  <c r="K85" i="2"/>
  <c r="AG85" i="2" s="1"/>
  <c r="R159" i="2"/>
  <c r="C160" i="2"/>
  <c r="AE160" i="2" s="1"/>
  <c r="L85" i="2" l="1"/>
  <c r="Q85" i="2"/>
  <c r="R160" i="2"/>
  <c r="C161" i="2"/>
  <c r="AE161" i="2" s="1"/>
  <c r="J86" i="2" l="1"/>
  <c r="D86" i="2"/>
  <c r="R161" i="2"/>
  <c r="C162" i="2"/>
  <c r="AE162" i="2" s="1"/>
  <c r="E86" i="2" l="1"/>
  <c r="F86" i="2" s="1"/>
  <c r="H86" i="2"/>
  <c r="AD86" i="2" s="1"/>
  <c r="AF86" i="2" s="1"/>
  <c r="I86" i="2"/>
  <c r="R162" i="2"/>
  <c r="C163" i="2"/>
  <c r="AE163" i="2" s="1"/>
  <c r="K86" i="2" l="1"/>
  <c r="AG86" i="2" s="1"/>
  <c r="G86" i="2"/>
  <c r="R163" i="2"/>
  <c r="C164" i="2"/>
  <c r="AE164" i="2" s="1"/>
  <c r="Q86" i="2" l="1"/>
  <c r="L86" i="2"/>
  <c r="R164" i="2"/>
  <c r="C165" i="2"/>
  <c r="AE165" i="2" s="1"/>
  <c r="J87" i="2" l="1"/>
  <c r="D87" i="2"/>
  <c r="R165" i="2"/>
  <c r="C166" i="2"/>
  <c r="AE166" i="2" s="1"/>
  <c r="I87" i="2" l="1"/>
  <c r="H87" i="2"/>
  <c r="AD87" i="2" s="1"/>
  <c r="AF87" i="2" s="1"/>
  <c r="E87" i="2"/>
  <c r="F87" i="2" s="1"/>
  <c r="R166" i="2"/>
  <c r="C167" i="2"/>
  <c r="AE167" i="2" s="1"/>
  <c r="G87" i="2" l="1"/>
  <c r="K87" i="2"/>
  <c r="AG87" i="2" s="1"/>
  <c r="R167" i="2"/>
  <c r="C168" i="2"/>
  <c r="AE168" i="2" s="1"/>
  <c r="L87" i="2" l="1"/>
  <c r="Q87" i="2"/>
  <c r="R168" i="2"/>
  <c r="C169" i="2"/>
  <c r="AE169" i="2" s="1"/>
  <c r="J88" i="2" l="1"/>
  <c r="D88" i="2"/>
  <c r="R169" i="2"/>
  <c r="C170" i="2"/>
  <c r="AE170" i="2" s="1"/>
  <c r="I88" i="2" l="1"/>
  <c r="E88" i="2"/>
  <c r="F88" i="2" s="1"/>
  <c r="H88" i="2"/>
  <c r="AD88" i="2" s="1"/>
  <c r="AF88" i="2" s="1"/>
  <c r="R170" i="2"/>
  <c r="C171" i="2"/>
  <c r="AE171" i="2" s="1"/>
  <c r="K88" i="2" l="1"/>
  <c r="AG88" i="2" s="1"/>
  <c r="G88" i="2"/>
  <c r="R171" i="2"/>
  <c r="C172" i="2"/>
  <c r="AE172" i="2" s="1"/>
  <c r="L88" i="2" l="1"/>
  <c r="Q88" i="2"/>
  <c r="R172" i="2"/>
  <c r="C173" i="2"/>
  <c r="AE173" i="2" s="1"/>
  <c r="J89" i="2" l="1"/>
  <c r="D89" i="2"/>
  <c r="R173" i="2"/>
  <c r="C174" i="2"/>
  <c r="AE174" i="2" s="1"/>
  <c r="E89" i="2" l="1"/>
  <c r="F89" i="2" s="1"/>
  <c r="I89" i="2"/>
  <c r="H89" i="2"/>
  <c r="AD89" i="2" s="1"/>
  <c r="AF89" i="2" s="1"/>
  <c r="R174" i="2"/>
  <c r="C175" i="2"/>
  <c r="AE175" i="2" s="1"/>
  <c r="G89" i="2" l="1"/>
  <c r="K89" i="2"/>
  <c r="AG89" i="2" s="1"/>
  <c r="R175" i="2"/>
  <c r="C176" i="2"/>
  <c r="AE176" i="2" s="1"/>
  <c r="Q89" i="2" l="1"/>
  <c r="L89" i="2"/>
  <c r="R176" i="2"/>
  <c r="C177" i="2"/>
  <c r="AE177" i="2" s="1"/>
  <c r="J90" i="2" l="1"/>
  <c r="D90" i="2"/>
  <c r="R177" i="2"/>
  <c r="C178" i="2"/>
  <c r="AE178" i="2" s="1"/>
  <c r="E90" i="2" l="1"/>
  <c r="F90" i="2" s="1"/>
  <c r="I90" i="2"/>
  <c r="H90" i="2"/>
  <c r="AD90" i="2" s="1"/>
  <c r="AF90" i="2" s="1"/>
  <c r="R178" i="2"/>
  <c r="C179" i="2"/>
  <c r="AE179" i="2" s="1"/>
  <c r="G90" i="2" l="1"/>
  <c r="K90" i="2"/>
  <c r="AG90" i="2" s="1"/>
  <c r="R179" i="2"/>
  <c r="C180" i="2"/>
  <c r="AE180" i="2" s="1"/>
  <c r="Q90" i="2" l="1"/>
  <c r="L90" i="2"/>
  <c r="R180" i="2"/>
  <c r="C181" i="2"/>
  <c r="AE181" i="2" s="1"/>
  <c r="J91" i="2" l="1"/>
  <c r="D91" i="2"/>
  <c r="R181" i="2"/>
  <c r="C182" i="2"/>
  <c r="AE182" i="2" s="1"/>
  <c r="I91" i="2" l="1"/>
  <c r="E91" i="2"/>
  <c r="F91" i="2" s="1"/>
  <c r="H91" i="2"/>
  <c r="AD91" i="2" s="1"/>
  <c r="AF91" i="2" s="1"/>
  <c r="R182" i="2"/>
  <c r="C183" i="2"/>
  <c r="AE183" i="2" s="1"/>
  <c r="K91" i="2" l="1"/>
  <c r="AG91" i="2" s="1"/>
  <c r="G91" i="2"/>
  <c r="R183" i="2"/>
  <c r="C184" i="2"/>
  <c r="AE184" i="2" s="1"/>
  <c r="L91" i="2" l="1"/>
  <c r="Q91" i="2"/>
  <c r="R184" i="2"/>
  <c r="C185" i="2"/>
  <c r="AE185" i="2" s="1"/>
  <c r="J92" i="2" l="1"/>
  <c r="D92" i="2"/>
  <c r="R185" i="2"/>
  <c r="C186" i="2"/>
  <c r="AE186" i="2" s="1"/>
  <c r="I92" i="2" l="1"/>
  <c r="E92" i="2"/>
  <c r="F92" i="2" s="1"/>
  <c r="H92" i="2"/>
  <c r="AD92" i="2" s="1"/>
  <c r="AF92" i="2" s="1"/>
  <c r="R186" i="2"/>
  <c r="C187" i="2"/>
  <c r="AE187" i="2" s="1"/>
  <c r="K92" i="2" l="1"/>
  <c r="AG92" i="2" s="1"/>
  <c r="G92" i="2"/>
  <c r="R187" i="2"/>
  <c r="C188" i="2"/>
  <c r="AE188" i="2" s="1"/>
  <c r="Q92" i="2" l="1"/>
  <c r="L92" i="2"/>
  <c r="R188" i="2"/>
  <c r="C189" i="2"/>
  <c r="AE189" i="2" s="1"/>
  <c r="J93" i="2" l="1"/>
  <c r="D93" i="2"/>
  <c r="R189" i="2"/>
  <c r="C190" i="2"/>
  <c r="AE190" i="2" s="1"/>
  <c r="E93" i="2" l="1"/>
  <c r="F93" i="2" s="1"/>
  <c r="H93" i="2"/>
  <c r="AD93" i="2" s="1"/>
  <c r="AF93" i="2" s="1"/>
  <c r="I93" i="2"/>
  <c r="R190" i="2"/>
  <c r="C191" i="2"/>
  <c r="AE191" i="2" s="1"/>
  <c r="K93" i="2" l="1"/>
  <c r="AG93" i="2" s="1"/>
  <c r="G93" i="2"/>
  <c r="R191" i="2"/>
  <c r="C192" i="2"/>
  <c r="AE192" i="2" s="1"/>
  <c r="L93" i="2" l="1"/>
  <c r="Q93" i="2"/>
  <c r="R192" i="2"/>
  <c r="C193" i="2"/>
  <c r="AE193" i="2" s="1"/>
  <c r="D94" i="2" l="1"/>
  <c r="J94" i="2"/>
  <c r="R193" i="2"/>
  <c r="C194" i="2"/>
  <c r="AE194" i="2" s="1"/>
  <c r="H94" i="2" l="1"/>
  <c r="AD94" i="2" s="1"/>
  <c r="AF94" i="2" s="1"/>
  <c r="I94" i="2"/>
  <c r="E94" i="2"/>
  <c r="F94" i="2" s="1"/>
  <c r="R194" i="2"/>
  <c r="C195" i="2"/>
  <c r="AE195" i="2" s="1"/>
  <c r="K94" i="2" l="1"/>
  <c r="AG94" i="2" s="1"/>
  <c r="G94" i="2"/>
  <c r="R195" i="2"/>
  <c r="C196" i="2"/>
  <c r="AE196" i="2" s="1"/>
  <c r="L94" i="2" l="1"/>
  <c r="Q94" i="2"/>
  <c r="R196" i="2"/>
  <c r="C197" i="2"/>
  <c r="AE197" i="2" s="1"/>
  <c r="D95" i="2" l="1"/>
  <c r="J95" i="2"/>
  <c r="R197" i="2"/>
  <c r="C198" i="2"/>
  <c r="AE198" i="2" s="1"/>
  <c r="I95" i="2" l="1"/>
  <c r="E95" i="2"/>
  <c r="F95" i="2" s="1"/>
  <c r="H95" i="2"/>
  <c r="AD95" i="2" s="1"/>
  <c r="AF95" i="2" s="1"/>
  <c r="R198" i="2"/>
  <c r="C199" i="2"/>
  <c r="AE199" i="2" s="1"/>
  <c r="G95" i="2" l="1"/>
  <c r="K95" i="2"/>
  <c r="AG95" i="2" s="1"/>
  <c r="R199" i="2"/>
  <c r="C200" i="2"/>
  <c r="AE200" i="2" s="1"/>
  <c r="Q95" i="2" l="1"/>
  <c r="L95" i="2"/>
  <c r="R200" i="2"/>
  <c r="C201" i="2"/>
  <c r="AE201" i="2" s="1"/>
  <c r="D96" i="2" l="1"/>
  <c r="J96" i="2"/>
  <c r="R201" i="2"/>
  <c r="C202" i="2"/>
  <c r="AE202" i="2" s="1"/>
  <c r="I96" i="2" l="1"/>
  <c r="E96" i="2"/>
  <c r="F96" i="2" s="1"/>
  <c r="H96" i="2"/>
  <c r="AD96" i="2" s="1"/>
  <c r="AF96" i="2" s="1"/>
  <c r="R202" i="2"/>
  <c r="C203" i="2"/>
  <c r="AE203" i="2" s="1"/>
  <c r="G96" i="2" l="1"/>
  <c r="K96" i="2"/>
  <c r="AG96" i="2" s="1"/>
  <c r="R203" i="2"/>
  <c r="C204" i="2"/>
  <c r="AE204" i="2" s="1"/>
  <c r="Q96" i="2" l="1"/>
  <c r="L96" i="2"/>
  <c r="R204" i="2"/>
  <c r="C205" i="2"/>
  <c r="AE205" i="2" s="1"/>
  <c r="J97" i="2" l="1"/>
  <c r="D97" i="2"/>
  <c r="R205" i="2"/>
  <c r="C206" i="2"/>
  <c r="AE206" i="2" s="1"/>
  <c r="E97" i="2" l="1"/>
  <c r="F97" i="2" s="1"/>
  <c r="I97" i="2"/>
  <c r="H97" i="2"/>
  <c r="AD97" i="2" s="1"/>
  <c r="AF97" i="2" s="1"/>
  <c r="R206" i="2"/>
  <c r="C207" i="2"/>
  <c r="AE207" i="2" s="1"/>
  <c r="G97" i="2" l="1"/>
  <c r="K97" i="2"/>
  <c r="AG97" i="2" s="1"/>
  <c r="R207" i="2"/>
  <c r="C208" i="2"/>
  <c r="AE208" i="2" s="1"/>
  <c r="Q97" i="2" l="1"/>
  <c r="L97" i="2"/>
  <c r="R208" i="2"/>
  <c r="C209" i="2"/>
  <c r="AE209" i="2" s="1"/>
  <c r="J98" i="2" l="1"/>
  <c r="D98" i="2"/>
  <c r="R209" i="2"/>
  <c r="C210" i="2"/>
  <c r="AE210" i="2" s="1"/>
  <c r="I98" i="2" l="1"/>
  <c r="E98" i="2"/>
  <c r="F98" i="2" s="1"/>
  <c r="H98" i="2"/>
  <c r="AD98" i="2" s="1"/>
  <c r="AF98" i="2" s="1"/>
  <c r="R210" i="2"/>
  <c r="C211" i="2"/>
  <c r="AE211" i="2" s="1"/>
  <c r="G98" i="2" l="1"/>
  <c r="K98" i="2"/>
  <c r="AG98" i="2" s="1"/>
  <c r="R211" i="2"/>
  <c r="C212" i="2"/>
  <c r="AE212" i="2" s="1"/>
  <c r="Q98" i="2" l="1"/>
  <c r="L98" i="2"/>
  <c r="R212" i="2"/>
  <c r="C213" i="2"/>
  <c r="AE213" i="2" s="1"/>
  <c r="J99" i="2" l="1"/>
  <c r="D99" i="2"/>
  <c r="R213" i="2"/>
  <c r="C214" i="2"/>
  <c r="AE214" i="2" s="1"/>
  <c r="I99" i="2" l="1"/>
  <c r="E99" i="2"/>
  <c r="F99" i="2" s="1"/>
  <c r="H99" i="2"/>
  <c r="AD99" i="2" s="1"/>
  <c r="AF99" i="2" s="1"/>
  <c r="R214" i="2"/>
  <c r="C215" i="2"/>
  <c r="AE215" i="2" s="1"/>
  <c r="G99" i="2" l="1"/>
  <c r="K99" i="2"/>
  <c r="AG99" i="2" s="1"/>
  <c r="R215" i="2"/>
  <c r="C216" i="2"/>
  <c r="AE216" i="2" s="1"/>
  <c r="Q99" i="2" l="1"/>
  <c r="L99" i="2"/>
  <c r="R216" i="2"/>
  <c r="C217" i="2"/>
  <c r="AE217" i="2" s="1"/>
  <c r="J100" i="2" l="1"/>
  <c r="D100" i="2"/>
  <c r="R217" i="2"/>
  <c r="C218" i="2"/>
  <c r="AE218" i="2" s="1"/>
  <c r="E100" i="2" l="1"/>
  <c r="F100" i="2" s="1"/>
  <c r="H100" i="2"/>
  <c r="AD100" i="2" s="1"/>
  <c r="AF100" i="2" s="1"/>
  <c r="I100" i="2"/>
  <c r="R218" i="2"/>
  <c r="C219" i="2"/>
  <c r="AE219" i="2" s="1"/>
  <c r="K100" i="2" l="1"/>
  <c r="AG100" i="2" s="1"/>
  <c r="G100" i="2"/>
  <c r="R219" i="2"/>
  <c r="C220" i="2"/>
  <c r="AE220" i="2" s="1"/>
  <c r="Q100" i="2" l="1"/>
  <c r="L100" i="2"/>
  <c r="R220" i="2"/>
  <c r="C221" i="2"/>
  <c r="AE221" i="2" s="1"/>
  <c r="D101" i="2" l="1"/>
  <c r="J101" i="2"/>
  <c r="R221" i="2"/>
  <c r="C222" i="2"/>
  <c r="AE222" i="2" s="1"/>
  <c r="E101" i="2" l="1"/>
  <c r="F101" i="2" s="1"/>
  <c r="H101" i="2"/>
  <c r="AD101" i="2" s="1"/>
  <c r="AF101" i="2" s="1"/>
  <c r="I101" i="2"/>
  <c r="R222" i="2"/>
  <c r="C223" i="2"/>
  <c r="AE223" i="2" s="1"/>
  <c r="K101" i="2" l="1"/>
  <c r="AG101" i="2" s="1"/>
  <c r="G101" i="2"/>
  <c r="R223" i="2"/>
  <c r="C224" i="2"/>
  <c r="AE224" i="2" s="1"/>
  <c r="Q101" i="2" l="1"/>
  <c r="L101" i="2"/>
  <c r="R224" i="2"/>
  <c r="C225" i="2"/>
  <c r="AE225" i="2" s="1"/>
  <c r="J102" i="2" l="1"/>
  <c r="D102" i="2"/>
  <c r="R225" i="2"/>
  <c r="C226" i="2"/>
  <c r="AE226" i="2" s="1"/>
  <c r="E102" i="2" l="1"/>
  <c r="F102" i="2" s="1"/>
  <c r="H102" i="2"/>
  <c r="AD102" i="2" s="1"/>
  <c r="AF102" i="2" s="1"/>
  <c r="I102" i="2"/>
  <c r="R226" i="2"/>
  <c r="C227" i="2"/>
  <c r="AE227" i="2" s="1"/>
  <c r="K102" i="2" l="1"/>
  <c r="AG102" i="2" s="1"/>
  <c r="G102" i="2"/>
  <c r="R227" i="2"/>
  <c r="C228" i="2"/>
  <c r="AE228" i="2" s="1"/>
  <c r="Q102" i="2" l="1"/>
  <c r="L102" i="2"/>
  <c r="R228" i="2"/>
  <c r="C229" i="2"/>
  <c r="AE229" i="2" s="1"/>
  <c r="J103" i="2" l="1"/>
  <c r="D103" i="2"/>
  <c r="R229" i="2"/>
  <c r="C230" i="2"/>
  <c r="AE230" i="2" s="1"/>
  <c r="I103" i="2" l="1"/>
  <c r="H103" i="2"/>
  <c r="AD103" i="2" s="1"/>
  <c r="AF103" i="2" s="1"/>
  <c r="E103" i="2"/>
  <c r="F103" i="2" s="1"/>
  <c r="R230" i="2"/>
  <c r="C231" i="2"/>
  <c r="AE231" i="2" s="1"/>
  <c r="G103" i="2" l="1"/>
  <c r="K103" i="2"/>
  <c r="AG103" i="2" s="1"/>
  <c r="R231" i="2"/>
  <c r="C232" i="2"/>
  <c r="AE232" i="2" s="1"/>
  <c r="L103" i="2" l="1"/>
  <c r="Q103" i="2"/>
  <c r="R232" i="2"/>
  <c r="C233" i="2"/>
  <c r="AE233" i="2" s="1"/>
  <c r="D104" i="2" l="1"/>
  <c r="J104" i="2"/>
  <c r="R233" i="2"/>
  <c r="C234" i="2"/>
  <c r="AE234" i="2" s="1"/>
  <c r="I104" i="2" l="1"/>
  <c r="H104" i="2"/>
  <c r="AD104" i="2" s="1"/>
  <c r="AF104" i="2" s="1"/>
  <c r="E104" i="2"/>
  <c r="F104" i="2" s="1"/>
  <c r="R234" i="2"/>
  <c r="C235" i="2"/>
  <c r="AE235" i="2" s="1"/>
  <c r="K104" i="2" l="1"/>
  <c r="AG104" i="2" s="1"/>
  <c r="G104" i="2"/>
  <c r="R235" i="2"/>
  <c r="C236" i="2"/>
  <c r="AE236" i="2" s="1"/>
  <c r="Q104" i="2" l="1"/>
  <c r="L104" i="2"/>
  <c r="R236" i="2"/>
  <c r="C237" i="2"/>
  <c r="AE237" i="2" s="1"/>
  <c r="D105" i="2" l="1"/>
  <c r="J105" i="2"/>
  <c r="R237" i="2"/>
  <c r="C238" i="2"/>
  <c r="AE238" i="2" s="1"/>
  <c r="H105" i="2" l="1"/>
  <c r="AD105" i="2" s="1"/>
  <c r="AF105" i="2" s="1"/>
  <c r="I105" i="2"/>
  <c r="E105" i="2"/>
  <c r="F105" i="2" s="1"/>
  <c r="R238" i="2"/>
  <c r="C239" i="2"/>
  <c r="AE239" i="2" s="1"/>
  <c r="G105" i="2" l="1"/>
  <c r="K105" i="2"/>
  <c r="AG105" i="2" s="1"/>
  <c r="R239" i="2"/>
  <c r="C240" i="2"/>
  <c r="AE240" i="2" s="1"/>
  <c r="Q105" i="2" l="1"/>
  <c r="L105" i="2"/>
  <c r="R240" i="2"/>
  <c r="C241" i="2"/>
  <c r="AE241" i="2" s="1"/>
  <c r="D106" i="2" l="1"/>
  <c r="J106" i="2"/>
  <c r="R241" i="2"/>
  <c r="C242" i="2"/>
  <c r="AE242" i="2" s="1"/>
  <c r="H106" i="2" l="1"/>
  <c r="AD106" i="2" s="1"/>
  <c r="AF106" i="2" s="1"/>
  <c r="E106" i="2"/>
  <c r="F106" i="2" s="1"/>
  <c r="I106" i="2"/>
  <c r="R242" i="2"/>
  <c r="C243" i="2"/>
  <c r="AE243" i="2" s="1"/>
  <c r="K106" i="2" l="1"/>
  <c r="AG106" i="2" s="1"/>
  <c r="G106" i="2"/>
  <c r="R243" i="2"/>
  <c r="C244" i="2"/>
  <c r="AE244" i="2" s="1"/>
  <c r="L106" i="2" l="1"/>
  <c r="Q106" i="2"/>
  <c r="R244" i="2"/>
  <c r="C245" i="2"/>
  <c r="AE245" i="2" s="1"/>
  <c r="J107" i="2" l="1"/>
  <c r="D107" i="2"/>
  <c r="R245" i="2"/>
  <c r="C246" i="2"/>
  <c r="AE246" i="2" s="1"/>
  <c r="I107" i="2" l="1"/>
  <c r="H107" i="2"/>
  <c r="AD107" i="2" s="1"/>
  <c r="AF107" i="2" s="1"/>
  <c r="E107" i="2"/>
  <c r="F107" i="2" s="1"/>
  <c r="R246" i="2"/>
  <c r="C247" i="2"/>
  <c r="AE247" i="2" s="1"/>
  <c r="G107" i="2" l="1"/>
  <c r="K107" i="2"/>
  <c r="AG107" i="2" s="1"/>
  <c r="R247" i="2"/>
  <c r="C248" i="2"/>
  <c r="AE248" i="2" s="1"/>
  <c r="Q107" i="2" l="1"/>
  <c r="L107" i="2"/>
  <c r="R248" i="2"/>
  <c r="C249" i="2"/>
  <c r="AE249" i="2" s="1"/>
  <c r="J108" i="2" l="1"/>
  <c r="D108" i="2"/>
  <c r="R249" i="2"/>
  <c r="C250" i="2"/>
  <c r="AE250" i="2" s="1"/>
  <c r="E108" i="2" l="1"/>
  <c r="F108" i="2" s="1"/>
  <c r="I108" i="2"/>
  <c r="H108" i="2"/>
  <c r="AD108" i="2" s="1"/>
  <c r="AF108" i="2" s="1"/>
  <c r="R250" i="2"/>
  <c r="C251" i="2"/>
  <c r="AE251" i="2" s="1"/>
  <c r="K108" i="2" l="1"/>
  <c r="AG108" i="2" s="1"/>
  <c r="G108" i="2"/>
  <c r="C252" i="2"/>
  <c r="AE252" i="2" s="1"/>
  <c r="R251" i="2"/>
  <c r="Q108" i="2" l="1"/>
  <c r="L108" i="2"/>
  <c r="R252" i="2"/>
  <c r="C253" i="2"/>
  <c r="AE253" i="2" s="1"/>
  <c r="J109" i="2" l="1"/>
  <c r="D109" i="2"/>
  <c r="R253" i="2"/>
  <c r="C254" i="2"/>
  <c r="AE254" i="2" s="1"/>
  <c r="H109" i="2" l="1"/>
  <c r="AD109" i="2" s="1"/>
  <c r="AF109" i="2" s="1"/>
  <c r="E109" i="2"/>
  <c r="F109" i="2" s="1"/>
  <c r="I109" i="2"/>
  <c r="R254" i="2"/>
  <c r="C255" i="2"/>
  <c r="AE255" i="2" s="1"/>
  <c r="G109" i="2" l="1"/>
  <c r="K109" i="2"/>
  <c r="AG109" i="2" s="1"/>
  <c r="R255" i="2"/>
  <c r="C256" i="2"/>
  <c r="AE256" i="2" s="1"/>
  <c r="Q109" i="2" l="1"/>
  <c r="L109" i="2"/>
  <c r="R256" i="2"/>
  <c r="C257" i="2"/>
  <c r="AE257" i="2" s="1"/>
  <c r="D110" i="2" l="1"/>
  <c r="J110" i="2"/>
  <c r="R257" i="2"/>
  <c r="C258" i="2"/>
  <c r="AE258" i="2" s="1"/>
  <c r="E110" i="2" l="1"/>
  <c r="F110" i="2" s="1"/>
  <c r="I110" i="2"/>
  <c r="H110" i="2"/>
  <c r="AD110" i="2" s="1"/>
  <c r="AF110" i="2" s="1"/>
  <c r="R258" i="2"/>
  <c r="C259" i="2"/>
  <c r="AE259" i="2" s="1"/>
  <c r="G110" i="2" l="1"/>
  <c r="K110" i="2"/>
  <c r="AG110" i="2" s="1"/>
  <c r="R259" i="2"/>
  <c r="C260" i="2"/>
  <c r="AE260" i="2" s="1"/>
  <c r="Q110" i="2" l="1"/>
  <c r="L110" i="2"/>
  <c r="R260" i="2"/>
  <c r="C261" i="2"/>
  <c r="AE261" i="2" s="1"/>
  <c r="J111" i="2" l="1"/>
  <c r="D111" i="2"/>
  <c r="R261" i="2"/>
  <c r="C262" i="2"/>
  <c r="AE262" i="2" s="1"/>
  <c r="H111" i="2" l="1"/>
  <c r="AD111" i="2" s="1"/>
  <c r="AF111" i="2" s="1"/>
  <c r="E111" i="2"/>
  <c r="F111" i="2" s="1"/>
  <c r="I111" i="2"/>
  <c r="R262" i="2"/>
  <c r="C263" i="2"/>
  <c r="AE263" i="2" s="1"/>
  <c r="K111" i="2" l="1"/>
  <c r="AG111" i="2" s="1"/>
  <c r="G111" i="2"/>
  <c r="R263" i="2"/>
  <c r="C264" i="2"/>
  <c r="AE264" i="2" s="1"/>
  <c r="L111" i="2" l="1"/>
  <c r="Q111" i="2"/>
  <c r="R264" i="2"/>
  <c r="C265" i="2"/>
  <c r="AE265" i="2" s="1"/>
  <c r="J112" i="2" l="1"/>
  <c r="D112" i="2"/>
  <c r="R265" i="2"/>
  <c r="C266" i="2"/>
  <c r="AE266" i="2" s="1"/>
  <c r="E112" i="2" l="1"/>
  <c r="F112" i="2" s="1"/>
  <c r="I112" i="2"/>
  <c r="H112" i="2"/>
  <c r="AD112" i="2" s="1"/>
  <c r="AF112" i="2" s="1"/>
  <c r="R266" i="2"/>
  <c r="C267" i="2"/>
  <c r="AE267" i="2" s="1"/>
  <c r="K112" i="2" l="1"/>
  <c r="AG112" i="2" s="1"/>
  <c r="G112" i="2"/>
  <c r="R267" i="2"/>
  <c r="C268" i="2"/>
  <c r="AE268" i="2" s="1"/>
  <c r="L112" i="2" l="1"/>
  <c r="Q112" i="2"/>
  <c r="R268" i="2"/>
  <c r="C269" i="2"/>
  <c r="AE269" i="2" s="1"/>
  <c r="J113" i="2" l="1"/>
  <c r="D113" i="2"/>
  <c r="R269" i="2"/>
  <c r="C270" i="2"/>
  <c r="AE270" i="2" s="1"/>
  <c r="E113" i="2" l="1"/>
  <c r="F113" i="2" s="1"/>
  <c r="H113" i="2"/>
  <c r="AD113" i="2" s="1"/>
  <c r="AF113" i="2" s="1"/>
  <c r="I113" i="2"/>
  <c r="R270" i="2"/>
  <c r="C271" i="2"/>
  <c r="AE271" i="2" s="1"/>
  <c r="K113" i="2" l="1"/>
  <c r="AG113" i="2" s="1"/>
  <c r="G113" i="2"/>
  <c r="R271" i="2"/>
  <c r="C272" i="2"/>
  <c r="AE272" i="2" s="1"/>
  <c r="L113" i="2" l="1"/>
  <c r="Q113" i="2"/>
  <c r="R272" i="2"/>
  <c r="C273" i="2"/>
  <c r="AE273" i="2" s="1"/>
  <c r="J114" i="2" l="1"/>
  <c r="D114" i="2"/>
  <c r="R273" i="2"/>
  <c r="C274" i="2"/>
  <c r="AE274" i="2" s="1"/>
  <c r="I114" i="2" l="1"/>
  <c r="E114" i="2"/>
  <c r="F114" i="2" s="1"/>
  <c r="H114" i="2"/>
  <c r="AD114" i="2" s="1"/>
  <c r="AF114" i="2" s="1"/>
  <c r="R274" i="2"/>
  <c r="C275" i="2"/>
  <c r="AE275" i="2" s="1"/>
  <c r="G114" i="2" l="1"/>
  <c r="K114" i="2"/>
  <c r="AG114" i="2" s="1"/>
  <c r="R275" i="2"/>
  <c r="C276" i="2"/>
  <c r="AE276" i="2" s="1"/>
  <c r="Q114" i="2" l="1"/>
  <c r="L114" i="2"/>
  <c r="R276" i="2"/>
  <c r="C277" i="2"/>
  <c r="AE277" i="2" s="1"/>
  <c r="D115" i="2" l="1"/>
  <c r="J115" i="2"/>
  <c r="R277" i="2"/>
  <c r="C278" i="2"/>
  <c r="AE278" i="2" s="1"/>
  <c r="I115" i="2" l="1"/>
  <c r="E115" i="2"/>
  <c r="F115" i="2" s="1"/>
  <c r="H115" i="2"/>
  <c r="AD115" i="2" s="1"/>
  <c r="AF115" i="2" s="1"/>
  <c r="R278" i="2"/>
  <c r="C279" i="2"/>
  <c r="AE279" i="2" s="1"/>
  <c r="G115" i="2" l="1"/>
  <c r="K115" i="2"/>
  <c r="AG115" i="2" s="1"/>
  <c r="R279" i="2"/>
  <c r="C280" i="2"/>
  <c r="AE280" i="2" s="1"/>
  <c r="Q115" i="2" l="1"/>
  <c r="L115" i="2"/>
  <c r="R280" i="2"/>
  <c r="C281" i="2"/>
  <c r="AE281" i="2" s="1"/>
  <c r="D116" i="2" l="1"/>
  <c r="J116" i="2"/>
  <c r="R281" i="2"/>
  <c r="C282" i="2"/>
  <c r="AE282" i="2" s="1"/>
  <c r="I116" i="2" l="1"/>
  <c r="E116" i="2"/>
  <c r="F116" i="2" s="1"/>
  <c r="H116" i="2"/>
  <c r="AD116" i="2" s="1"/>
  <c r="AF116" i="2" s="1"/>
  <c r="R282" i="2"/>
  <c r="C283" i="2"/>
  <c r="AE283" i="2" s="1"/>
  <c r="G116" i="2" l="1"/>
  <c r="K116" i="2"/>
  <c r="AG116" i="2" s="1"/>
  <c r="R283" i="2"/>
  <c r="C284" i="2"/>
  <c r="AE284" i="2" s="1"/>
  <c r="L116" i="2" l="1"/>
  <c r="Q116" i="2"/>
  <c r="R284" i="2"/>
  <c r="C285" i="2"/>
  <c r="AE285" i="2" s="1"/>
  <c r="D117" i="2" l="1"/>
  <c r="J117" i="2"/>
  <c r="R285" i="2"/>
  <c r="C286" i="2"/>
  <c r="AE286" i="2" s="1"/>
  <c r="E117" i="2" l="1"/>
  <c r="F117" i="2" s="1"/>
  <c r="I117" i="2"/>
  <c r="H117" i="2"/>
  <c r="AD117" i="2" s="1"/>
  <c r="AF117" i="2" s="1"/>
  <c r="R286" i="2"/>
  <c r="C287" i="2"/>
  <c r="AE287" i="2" s="1"/>
  <c r="G117" i="2" l="1"/>
  <c r="K117" i="2"/>
  <c r="AG117" i="2" s="1"/>
  <c r="R287" i="2"/>
  <c r="C288" i="2"/>
  <c r="AE288" i="2" s="1"/>
  <c r="L117" i="2" l="1"/>
  <c r="Q117" i="2"/>
  <c r="R288" i="2"/>
  <c r="C289" i="2"/>
  <c r="AE289" i="2" s="1"/>
  <c r="D118" i="2" l="1"/>
  <c r="J118" i="2"/>
  <c r="R289" i="2"/>
  <c r="C290" i="2"/>
  <c r="AE290" i="2" s="1"/>
  <c r="H118" i="2" l="1"/>
  <c r="AD118" i="2" s="1"/>
  <c r="AF118" i="2" s="1"/>
  <c r="E118" i="2"/>
  <c r="F118" i="2" s="1"/>
  <c r="I118" i="2"/>
  <c r="R290" i="2"/>
  <c r="C291" i="2"/>
  <c r="AE291" i="2" s="1"/>
  <c r="K118" i="2" l="1"/>
  <c r="AG118" i="2" s="1"/>
  <c r="G118" i="2"/>
  <c r="R291" i="2"/>
  <c r="C292" i="2"/>
  <c r="AE292" i="2" s="1"/>
  <c r="L118" i="2" l="1"/>
  <c r="Q118" i="2"/>
  <c r="R292" i="2"/>
  <c r="C293" i="2"/>
  <c r="AE293" i="2" s="1"/>
  <c r="J119" i="2" l="1"/>
  <c r="D119" i="2"/>
  <c r="R293" i="2"/>
  <c r="C294" i="2"/>
  <c r="AE294" i="2" s="1"/>
  <c r="I119" i="2" l="1"/>
  <c r="E119" i="2"/>
  <c r="F119" i="2" s="1"/>
  <c r="H119" i="2"/>
  <c r="AD119" i="2" s="1"/>
  <c r="AF119" i="2" s="1"/>
  <c r="R294" i="2"/>
  <c r="C295" i="2"/>
  <c r="AE295" i="2" s="1"/>
  <c r="G119" i="2" l="1"/>
  <c r="K119" i="2"/>
  <c r="AG119" i="2" s="1"/>
  <c r="R295" i="2"/>
  <c r="C296" i="2"/>
  <c r="AE296" i="2" s="1"/>
  <c r="L119" i="2" l="1"/>
  <c r="Q119" i="2"/>
  <c r="R296" i="2"/>
  <c r="C297" i="2"/>
  <c r="AE297" i="2" s="1"/>
  <c r="J120" i="2" l="1"/>
  <c r="D120" i="2"/>
  <c r="R297" i="2"/>
  <c r="C298" i="2"/>
  <c r="AE298" i="2" s="1"/>
  <c r="H120" i="2" l="1"/>
  <c r="AD120" i="2" s="1"/>
  <c r="AF120" i="2" s="1"/>
  <c r="E120" i="2"/>
  <c r="F120" i="2" s="1"/>
  <c r="I120" i="2"/>
  <c r="R298" i="2"/>
  <c r="C299" i="2"/>
  <c r="C300" i="2" s="1"/>
  <c r="R300" i="2" l="1"/>
  <c r="C301" i="2"/>
  <c r="AE300" i="2"/>
  <c r="AE299" i="2"/>
  <c r="K120" i="2"/>
  <c r="AG120" i="2" s="1"/>
  <c r="G120" i="2"/>
  <c r="R299" i="2"/>
  <c r="C302" i="2" l="1"/>
  <c r="R301" i="2"/>
  <c r="AE301" i="2"/>
  <c r="L120" i="2"/>
  <c r="Q120" i="2"/>
  <c r="AE302" i="2" l="1"/>
  <c r="C303" i="2"/>
  <c r="R302" i="2"/>
  <c r="J121" i="2"/>
  <c r="D121" i="2"/>
  <c r="R303" i="2" l="1"/>
  <c r="C304" i="2"/>
  <c r="AE303" i="2"/>
  <c r="I121" i="2"/>
  <c r="E121" i="2"/>
  <c r="F121" i="2" s="1"/>
  <c r="H121" i="2"/>
  <c r="AD121" i="2" s="1"/>
  <c r="AF121" i="2" s="1"/>
  <c r="R304" i="2" l="1"/>
  <c r="C305" i="2"/>
  <c r="AE304" i="2"/>
  <c r="K121" i="2"/>
  <c r="AG121" i="2" s="1"/>
  <c r="G121" i="2"/>
  <c r="R305" i="2" l="1"/>
  <c r="C306" i="2"/>
  <c r="AE305" i="2"/>
  <c r="Q121" i="2"/>
  <c r="L121" i="2"/>
  <c r="R306" i="2" l="1"/>
  <c r="C307" i="2"/>
  <c r="AE306" i="2"/>
  <c r="D122" i="2"/>
  <c r="J122" i="2"/>
  <c r="R307" i="2" l="1"/>
  <c r="C308" i="2"/>
  <c r="AE307" i="2"/>
  <c r="H122" i="2"/>
  <c r="AD122" i="2" s="1"/>
  <c r="AF122" i="2" s="1"/>
  <c r="I122" i="2"/>
  <c r="E122" i="2"/>
  <c r="F122" i="2" s="1"/>
  <c r="R308" i="2" l="1"/>
  <c r="C309" i="2"/>
  <c r="AE308" i="2"/>
  <c r="K122" i="2"/>
  <c r="AG122" i="2" s="1"/>
  <c r="G122" i="2"/>
  <c r="R309" i="2" l="1"/>
  <c r="C310" i="2"/>
  <c r="AE309" i="2"/>
  <c r="Q122" i="2"/>
  <c r="L122" i="2"/>
  <c r="R310" i="2" l="1"/>
  <c r="C311" i="2"/>
  <c r="AE310" i="2"/>
  <c r="D123" i="2"/>
  <c r="J123" i="2"/>
  <c r="R311" i="2" l="1"/>
  <c r="C312" i="2"/>
  <c r="AE311" i="2"/>
  <c r="I123" i="2"/>
  <c r="E123" i="2"/>
  <c r="F123" i="2" s="1"/>
  <c r="H123" i="2"/>
  <c r="AD123" i="2" s="1"/>
  <c r="AF123" i="2" s="1"/>
  <c r="R312" i="2" l="1"/>
  <c r="C313" i="2"/>
  <c r="AE312" i="2"/>
  <c r="G123" i="2"/>
  <c r="K123" i="2"/>
  <c r="AG123" i="2" s="1"/>
  <c r="R313" i="2" l="1"/>
  <c r="C314" i="2"/>
  <c r="AE313" i="2"/>
  <c r="L123" i="2"/>
  <c r="Q123" i="2"/>
  <c r="R314" i="2" l="1"/>
  <c r="C315" i="2"/>
  <c r="AE314" i="2"/>
  <c r="D124" i="2"/>
  <c r="J124" i="2"/>
  <c r="R315" i="2" l="1"/>
  <c r="C316" i="2"/>
  <c r="AE315" i="2"/>
  <c r="I124" i="2"/>
  <c r="H124" i="2"/>
  <c r="AD124" i="2" s="1"/>
  <c r="AF124" i="2" s="1"/>
  <c r="E124" i="2"/>
  <c r="F124" i="2" s="1"/>
  <c r="R316" i="2" l="1"/>
  <c r="C317" i="2"/>
  <c r="AE316" i="2"/>
  <c r="G124" i="2"/>
  <c r="K124" i="2"/>
  <c r="AG124" i="2" s="1"/>
  <c r="R317" i="2" l="1"/>
  <c r="C318" i="2"/>
  <c r="AE317" i="2"/>
  <c r="L124" i="2"/>
  <c r="Q124" i="2"/>
  <c r="R318" i="2" l="1"/>
  <c r="C319" i="2"/>
  <c r="AE318" i="2"/>
  <c r="D125" i="2"/>
  <c r="J125" i="2"/>
  <c r="R319" i="2" l="1"/>
  <c r="C320" i="2"/>
  <c r="AE319" i="2"/>
  <c r="E125" i="2"/>
  <c r="F125" i="2" s="1"/>
  <c r="I125" i="2"/>
  <c r="H125" i="2"/>
  <c r="AD125" i="2" s="1"/>
  <c r="AF125" i="2" s="1"/>
  <c r="R320" i="2" l="1"/>
  <c r="C321" i="2"/>
  <c r="AE320" i="2"/>
  <c r="G125" i="2"/>
  <c r="K125" i="2"/>
  <c r="AG125" i="2" s="1"/>
  <c r="R321" i="2" l="1"/>
  <c r="C322" i="2"/>
  <c r="AE321" i="2"/>
  <c r="L125" i="2"/>
  <c r="Q125" i="2"/>
  <c r="R322" i="2" l="1"/>
  <c r="C323" i="2"/>
  <c r="AE322" i="2"/>
  <c r="J126" i="2"/>
  <c r="D126" i="2"/>
  <c r="R323" i="2" l="1"/>
  <c r="C324" i="2"/>
  <c r="AE323" i="2"/>
  <c r="H126" i="2"/>
  <c r="AD126" i="2" s="1"/>
  <c r="AF126" i="2" s="1"/>
  <c r="E126" i="2"/>
  <c r="F126" i="2" s="1"/>
  <c r="I126" i="2"/>
  <c r="R324" i="2" l="1"/>
  <c r="C325" i="2"/>
  <c r="AE324" i="2"/>
  <c r="K126" i="2"/>
  <c r="AG126" i="2" s="1"/>
  <c r="G126" i="2"/>
  <c r="R325" i="2" l="1"/>
  <c r="C326" i="2"/>
  <c r="AE325" i="2"/>
  <c r="L126" i="2"/>
  <c r="Q126" i="2"/>
  <c r="R326" i="2" l="1"/>
  <c r="C327" i="2"/>
  <c r="AE326" i="2"/>
  <c r="J127" i="2"/>
  <c r="D127" i="2"/>
  <c r="R327" i="2" l="1"/>
  <c r="C328" i="2"/>
  <c r="AE327" i="2"/>
  <c r="I127" i="2"/>
  <c r="H127" i="2"/>
  <c r="AD127" i="2" s="1"/>
  <c r="AF127" i="2" s="1"/>
  <c r="E127" i="2"/>
  <c r="F127" i="2" s="1"/>
  <c r="R328" i="2" l="1"/>
  <c r="C329" i="2"/>
  <c r="AE328" i="2"/>
  <c r="K127" i="2"/>
  <c r="AG127" i="2" s="1"/>
  <c r="G127" i="2"/>
  <c r="R329" i="2" l="1"/>
  <c r="C330" i="2"/>
  <c r="AE329" i="2"/>
  <c r="L127" i="2"/>
  <c r="Q127" i="2"/>
  <c r="R330" i="2" l="1"/>
  <c r="C331" i="2"/>
  <c r="AE330" i="2"/>
  <c r="J128" i="2"/>
  <c r="D128" i="2"/>
  <c r="R331" i="2" l="1"/>
  <c r="C332" i="2"/>
  <c r="AE331" i="2"/>
  <c r="E128" i="2"/>
  <c r="F128" i="2" s="1"/>
  <c r="H128" i="2"/>
  <c r="AD128" i="2" s="1"/>
  <c r="AF128" i="2" s="1"/>
  <c r="I128" i="2"/>
  <c r="R332" i="2" l="1"/>
  <c r="C333" i="2"/>
  <c r="AE332" i="2"/>
  <c r="K128" i="2"/>
  <c r="AG128" i="2" s="1"/>
  <c r="G128" i="2"/>
  <c r="R333" i="2" l="1"/>
  <c r="C334" i="2"/>
  <c r="AE333" i="2"/>
  <c r="L128" i="2"/>
  <c r="Q128" i="2"/>
  <c r="R334" i="2" l="1"/>
  <c r="C335" i="2"/>
  <c r="AE334" i="2"/>
  <c r="J129" i="2"/>
  <c r="D129" i="2"/>
  <c r="R335" i="2" l="1"/>
  <c r="C336" i="2"/>
  <c r="AE335" i="2"/>
  <c r="H129" i="2"/>
  <c r="AD129" i="2" s="1"/>
  <c r="AF129" i="2" s="1"/>
  <c r="E129" i="2"/>
  <c r="F129" i="2" s="1"/>
  <c r="I129" i="2"/>
  <c r="R336" i="2" l="1"/>
  <c r="C337" i="2"/>
  <c r="AE336" i="2"/>
  <c r="K129" i="2"/>
  <c r="AG129" i="2" s="1"/>
  <c r="G129" i="2"/>
  <c r="R337" i="2" l="1"/>
  <c r="C338" i="2"/>
  <c r="AE337" i="2"/>
  <c r="Q129" i="2"/>
  <c r="L129" i="2"/>
  <c r="R338" i="2" l="1"/>
  <c r="C339" i="2"/>
  <c r="AE338" i="2"/>
  <c r="J130" i="2"/>
  <c r="D130" i="2"/>
  <c r="R339" i="2" l="1"/>
  <c r="C340" i="2"/>
  <c r="AE339" i="2"/>
  <c r="I130" i="2"/>
  <c r="H130" i="2"/>
  <c r="AD130" i="2" s="1"/>
  <c r="AF130" i="2" s="1"/>
  <c r="E130" i="2"/>
  <c r="F130" i="2" s="1"/>
  <c r="R340" i="2" l="1"/>
  <c r="C341" i="2"/>
  <c r="AE340" i="2"/>
  <c r="K130" i="2"/>
  <c r="AG130" i="2" s="1"/>
  <c r="G130" i="2"/>
  <c r="R341" i="2" l="1"/>
  <c r="C342" i="2"/>
  <c r="AE341" i="2"/>
  <c r="L130" i="2"/>
  <c r="Q130" i="2"/>
  <c r="R342" i="2" l="1"/>
  <c r="C343" i="2"/>
  <c r="AE342" i="2"/>
  <c r="J131" i="2"/>
  <c r="D131" i="2"/>
  <c r="R343" i="2" l="1"/>
  <c r="C344" i="2"/>
  <c r="AE343" i="2"/>
  <c r="E131" i="2"/>
  <c r="F131" i="2" s="1"/>
  <c r="I131" i="2"/>
  <c r="H131" i="2"/>
  <c r="AD131" i="2" s="1"/>
  <c r="AF131" i="2" s="1"/>
  <c r="R344" i="2" l="1"/>
  <c r="C345" i="2"/>
  <c r="AE344" i="2"/>
  <c r="G131" i="2"/>
  <c r="K131" i="2"/>
  <c r="AG131" i="2" s="1"/>
  <c r="R345" i="2" l="1"/>
  <c r="C346" i="2"/>
  <c r="AE345" i="2"/>
  <c r="Q131" i="2"/>
  <c r="L131" i="2"/>
  <c r="R346" i="2" l="1"/>
  <c r="C347" i="2"/>
  <c r="AE346" i="2"/>
  <c r="D132" i="2"/>
  <c r="J132" i="2"/>
  <c r="R347" i="2" l="1"/>
  <c r="C348" i="2"/>
  <c r="AE347" i="2"/>
  <c r="E132" i="2"/>
  <c r="F132" i="2" s="1"/>
  <c r="H132" i="2"/>
  <c r="AD132" i="2" s="1"/>
  <c r="AF132" i="2" s="1"/>
  <c r="I132" i="2"/>
  <c r="R348" i="2" l="1"/>
  <c r="C349" i="2"/>
  <c r="AE348" i="2"/>
  <c r="K132" i="2"/>
  <c r="AG132" i="2" s="1"/>
  <c r="G132" i="2"/>
  <c r="R349" i="2" l="1"/>
  <c r="C350" i="2"/>
  <c r="AE349" i="2"/>
  <c r="L132" i="2"/>
  <c r="Q132" i="2"/>
  <c r="R350" i="2" l="1"/>
  <c r="AE350" i="2"/>
  <c r="C351" i="2"/>
  <c r="D133" i="2"/>
  <c r="J133" i="2"/>
  <c r="R351" i="2" l="1"/>
  <c r="AE351" i="2"/>
  <c r="C352" i="2"/>
  <c r="H133" i="2"/>
  <c r="AD133" i="2" s="1"/>
  <c r="AF133" i="2" s="1"/>
  <c r="I133" i="2"/>
  <c r="E133" i="2"/>
  <c r="F133" i="2" s="1"/>
  <c r="R352" i="2" l="1"/>
  <c r="C353" i="2"/>
  <c r="AE352" i="2"/>
  <c r="K133" i="2"/>
  <c r="AG133" i="2" s="1"/>
  <c r="G133" i="2"/>
  <c r="R353" i="2" l="1"/>
  <c r="C354" i="2"/>
  <c r="AE353" i="2"/>
  <c r="Q133" i="2"/>
  <c r="L133" i="2"/>
  <c r="R354" i="2" l="1"/>
  <c r="C355" i="2"/>
  <c r="AE354" i="2"/>
  <c r="D134" i="2"/>
  <c r="J134" i="2"/>
  <c r="R355" i="2" l="1"/>
  <c r="C356" i="2"/>
  <c r="AE355" i="2"/>
  <c r="E134" i="2"/>
  <c r="F134" i="2" s="1"/>
  <c r="H134" i="2"/>
  <c r="AD134" i="2" s="1"/>
  <c r="AF134" i="2" s="1"/>
  <c r="I134" i="2"/>
  <c r="R356" i="2" l="1"/>
  <c r="C357" i="2"/>
  <c r="AE356" i="2"/>
  <c r="K134" i="2"/>
  <c r="AG134" i="2" s="1"/>
  <c r="G134" i="2"/>
  <c r="R357" i="2" l="1"/>
  <c r="C358" i="2"/>
  <c r="AE357" i="2"/>
  <c r="L134" i="2"/>
  <c r="Q134" i="2"/>
  <c r="R358" i="2" l="1"/>
  <c r="C359" i="2"/>
  <c r="J28" i="2" s="1"/>
  <c r="AE358" i="2"/>
  <c r="J135" i="2"/>
  <c r="D135" i="2"/>
  <c r="R359" i="2" l="1"/>
  <c r="C360" i="2"/>
  <c r="AE359" i="2"/>
  <c r="E135" i="2"/>
  <c r="F135" i="2" s="1"/>
  <c r="H135" i="2"/>
  <c r="AD135" i="2" s="1"/>
  <c r="AF135" i="2" s="1"/>
  <c r="I135" i="2"/>
  <c r="R360" i="2" l="1"/>
  <c r="C361" i="2"/>
  <c r="AE360" i="2"/>
  <c r="K135" i="2"/>
  <c r="AG135" i="2" s="1"/>
  <c r="G135" i="2"/>
  <c r="R361" i="2" l="1"/>
  <c r="C362" i="2"/>
  <c r="AE361" i="2"/>
  <c r="Q135" i="2"/>
  <c r="L135" i="2"/>
  <c r="R362" i="2" l="1"/>
  <c r="C363" i="2"/>
  <c r="AE362" i="2"/>
  <c r="D136" i="2"/>
  <c r="J136" i="2"/>
  <c r="R363" i="2" l="1"/>
  <c r="C364" i="2"/>
  <c r="AE363" i="2"/>
  <c r="E136" i="2"/>
  <c r="F136" i="2" s="1"/>
  <c r="H136" i="2"/>
  <c r="AD136" i="2" s="1"/>
  <c r="AF136" i="2" s="1"/>
  <c r="I136" i="2"/>
  <c r="R364" i="2" l="1"/>
  <c r="C365" i="2"/>
  <c r="AE364" i="2"/>
  <c r="K136" i="2"/>
  <c r="AG136" i="2" s="1"/>
  <c r="G136" i="2"/>
  <c r="C366" i="2" l="1"/>
  <c r="R365" i="2"/>
  <c r="AE365" i="2"/>
  <c r="L136" i="2"/>
  <c r="Q136" i="2"/>
  <c r="C367" i="2" l="1"/>
  <c r="AE366" i="2"/>
  <c r="R366" i="2"/>
  <c r="D137" i="2"/>
  <c r="J137" i="2"/>
  <c r="R367" i="2" l="1"/>
  <c r="AE367" i="2"/>
  <c r="C368" i="2"/>
  <c r="H137" i="2"/>
  <c r="AD137" i="2" s="1"/>
  <c r="AF137" i="2" s="1"/>
  <c r="I137" i="2"/>
  <c r="E137" i="2"/>
  <c r="F137" i="2" s="1"/>
  <c r="R368" i="2" l="1"/>
  <c r="C369" i="2"/>
  <c r="AE368" i="2"/>
  <c r="K137" i="2"/>
  <c r="AG137" i="2" s="1"/>
  <c r="G137" i="2"/>
  <c r="R369" i="2" l="1"/>
  <c r="C370" i="2"/>
  <c r="AE369" i="2"/>
  <c r="Q137" i="2"/>
  <c r="L137" i="2"/>
  <c r="R370" i="2" l="1"/>
  <c r="C371" i="2"/>
  <c r="AE370" i="2"/>
  <c r="D138" i="2"/>
  <c r="J138" i="2"/>
  <c r="R371" i="2" l="1"/>
  <c r="C372" i="2"/>
  <c r="AE371" i="2"/>
  <c r="E138" i="2"/>
  <c r="F138" i="2" s="1"/>
  <c r="H138" i="2"/>
  <c r="AD138" i="2" s="1"/>
  <c r="AF138" i="2" s="1"/>
  <c r="I138" i="2"/>
  <c r="R372" i="2" l="1"/>
  <c r="C373" i="2"/>
  <c r="AE372" i="2"/>
  <c r="K138" i="2"/>
  <c r="AG138" i="2" s="1"/>
  <c r="G138" i="2"/>
  <c r="R373" i="2" l="1"/>
  <c r="C374" i="2"/>
  <c r="AE373" i="2"/>
  <c r="Q138" i="2"/>
  <c r="L138" i="2"/>
  <c r="R374" i="2" l="1"/>
  <c r="C375" i="2"/>
  <c r="AE374" i="2"/>
  <c r="J139" i="2"/>
  <c r="D139" i="2"/>
  <c r="R375" i="2" l="1"/>
  <c r="C376" i="2"/>
  <c r="AE375" i="2"/>
  <c r="E139" i="2"/>
  <c r="F139" i="2" s="1"/>
  <c r="I139" i="2"/>
  <c r="H139" i="2"/>
  <c r="AD139" i="2" s="1"/>
  <c r="AF139" i="2" s="1"/>
  <c r="R376" i="2" l="1"/>
  <c r="C377" i="2"/>
  <c r="AE376" i="2"/>
  <c r="G139" i="2"/>
  <c r="K139" i="2"/>
  <c r="AG139" i="2" s="1"/>
  <c r="R377" i="2" l="1"/>
  <c r="C378" i="2"/>
  <c r="AE377" i="2"/>
  <c r="L139" i="2"/>
  <c r="Q139" i="2"/>
  <c r="R378" i="2" l="1"/>
  <c r="C379" i="2"/>
  <c r="AE378" i="2"/>
  <c r="D140" i="2"/>
  <c r="J140" i="2"/>
  <c r="R379" i="2" l="1"/>
  <c r="C380" i="2"/>
  <c r="AE379" i="2"/>
  <c r="H140" i="2"/>
  <c r="AD140" i="2" s="1"/>
  <c r="AF140" i="2" s="1"/>
  <c r="I140" i="2"/>
  <c r="E140" i="2"/>
  <c r="F140" i="2" s="1"/>
  <c r="R380" i="2" l="1"/>
  <c r="C381" i="2"/>
  <c r="AE380" i="2"/>
  <c r="K140" i="2"/>
  <c r="AG140" i="2" s="1"/>
  <c r="G140" i="2"/>
  <c r="R381" i="2" l="1"/>
  <c r="C382" i="2"/>
  <c r="AE381" i="2"/>
  <c r="Q140" i="2"/>
  <c r="L140" i="2"/>
  <c r="R382" i="2" l="1"/>
  <c r="C383" i="2"/>
  <c r="AE382" i="2"/>
  <c r="J141" i="2"/>
  <c r="D141" i="2"/>
  <c r="R383" i="2" l="1"/>
  <c r="C384" i="2"/>
  <c r="AE383" i="2"/>
  <c r="H141" i="2"/>
  <c r="AD141" i="2" s="1"/>
  <c r="AF141" i="2" s="1"/>
  <c r="E141" i="2"/>
  <c r="F141" i="2" s="1"/>
  <c r="I141" i="2"/>
  <c r="C385" i="2" l="1"/>
  <c r="AE384" i="2"/>
  <c r="R384" i="2"/>
  <c r="K141" i="2"/>
  <c r="AG141" i="2" s="1"/>
  <c r="G141" i="2"/>
  <c r="R385" i="2" l="1"/>
  <c r="C386" i="2"/>
  <c r="AE385" i="2"/>
  <c r="Q141" i="2"/>
  <c r="L141" i="2"/>
  <c r="R386" i="2" l="1"/>
  <c r="AE386" i="2"/>
  <c r="C387" i="2"/>
  <c r="D142" i="2"/>
  <c r="J142" i="2"/>
  <c r="C388" i="2" l="1"/>
  <c r="AE387" i="2"/>
  <c r="R387" i="2"/>
  <c r="E142" i="2"/>
  <c r="F142" i="2" s="1"/>
  <c r="I142" i="2"/>
  <c r="H142" i="2"/>
  <c r="AD142" i="2" s="1"/>
  <c r="AF142" i="2" s="1"/>
  <c r="C389" i="2" l="1"/>
  <c r="AE388" i="2"/>
  <c r="R388" i="2"/>
  <c r="K142" i="2"/>
  <c r="AG142" i="2" s="1"/>
  <c r="G142" i="2"/>
  <c r="R389" i="2" l="1"/>
  <c r="AE389" i="2"/>
  <c r="C390" i="2"/>
  <c r="Q142" i="2"/>
  <c r="L142" i="2"/>
  <c r="R390" i="2" l="1"/>
  <c r="AE390" i="2"/>
  <c r="C391" i="2"/>
  <c r="D143" i="2"/>
  <c r="J143" i="2"/>
  <c r="R391" i="2" l="1"/>
  <c r="AE391" i="2"/>
  <c r="C392" i="2"/>
  <c r="I143" i="2"/>
  <c r="H143" i="2"/>
  <c r="AD143" i="2" s="1"/>
  <c r="AF143" i="2" s="1"/>
  <c r="E143" i="2"/>
  <c r="F143" i="2" s="1"/>
  <c r="R392" i="2" l="1"/>
  <c r="AE392" i="2"/>
  <c r="C393" i="2"/>
  <c r="G143" i="2"/>
  <c r="K143" i="2"/>
  <c r="AG143" i="2" s="1"/>
  <c r="R393" i="2" l="1"/>
  <c r="AE393" i="2"/>
  <c r="C394" i="2"/>
  <c r="L143" i="2"/>
  <c r="Q143" i="2"/>
  <c r="AE394" i="2" l="1"/>
  <c r="R394" i="2"/>
  <c r="C395" i="2"/>
  <c r="J144" i="2"/>
  <c r="D144" i="2"/>
  <c r="R395" i="2" l="1"/>
  <c r="AE395" i="2"/>
  <c r="C396" i="2"/>
  <c r="E144" i="2"/>
  <c r="F144" i="2" s="1"/>
  <c r="I144" i="2"/>
  <c r="H144" i="2"/>
  <c r="AD144" i="2" s="1"/>
  <c r="AF144" i="2" s="1"/>
  <c r="R396" i="2" l="1"/>
  <c r="AE396" i="2"/>
  <c r="C397" i="2"/>
  <c r="K144" i="2"/>
  <c r="AG144" i="2" s="1"/>
  <c r="G144" i="2"/>
  <c r="R397" i="2" l="1"/>
  <c r="AE397" i="2"/>
  <c r="C398" i="2"/>
  <c r="Q144" i="2"/>
  <c r="L144" i="2"/>
  <c r="AE398" i="2" l="1"/>
  <c r="R398" i="2"/>
  <c r="C399" i="2"/>
  <c r="D145" i="2"/>
  <c r="J145" i="2"/>
  <c r="AE399" i="2" l="1"/>
  <c r="R399" i="2"/>
  <c r="C400" i="2"/>
  <c r="I145" i="2"/>
  <c r="E145" i="2"/>
  <c r="F145" i="2" s="1"/>
  <c r="H145" i="2"/>
  <c r="AD145" i="2" s="1"/>
  <c r="AF145" i="2" s="1"/>
  <c r="AE400" i="2" l="1"/>
  <c r="R400" i="2"/>
  <c r="C401" i="2"/>
  <c r="G145" i="2"/>
  <c r="K145" i="2"/>
  <c r="AG145" i="2" s="1"/>
  <c r="AE401" i="2" l="1"/>
  <c r="R401" i="2"/>
  <c r="C402" i="2"/>
  <c r="Q145" i="2"/>
  <c r="L145" i="2"/>
  <c r="AE402" i="2" l="1"/>
  <c r="R402" i="2"/>
  <c r="C403" i="2"/>
  <c r="D146" i="2"/>
  <c r="J146" i="2"/>
  <c r="AE403" i="2" l="1"/>
  <c r="R403" i="2"/>
  <c r="C404" i="2"/>
  <c r="E146" i="2"/>
  <c r="F146" i="2" s="1"/>
  <c r="I146" i="2"/>
  <c r="H146" i="2"/>
  <c r="AD146" i="2" s="1"/>
  <c r="AF146" i="2" s="1"/>
  <c r="AE404" i="2" l="1"/>
  <c r="R404" i="2"/>
  <c r="C405" i="2"/>
  <c r="G146" i="2"/>
  <c r="K146" i="2"/>
  <c r="AG146" i="2" s="1"/>
  <c r="R405" i="2" l="1"/>
  <c r="AE405" i="2"/>
  <c r="C406" i="2"/>
  <c r="Q146" i="2"/>
  <c r="L146" i="2"/>
  <c r="AE406" i="2" l="1"/>
  <c r="R406" i="2"/>
  <c r="C407" i="2"/>
  <c r="D147" i="2"/>
  <c r="J147" i="2"/>
  <c r="AE407" i="2" l="1"/>
  <c r="R407" i="2"/>
  <c r="C408" i="2"/>
  <c r="H147" i="2"/>
  <c r="AD147" i="2" s="1"/>
  <c r="AF147" i="2" s="1"/>
  <c r="I147" i="2"/>
  <c r="E147" i="2"/>
  <c r="F147" i="2" s="1"/>
  <c r="AE408" i="2" l="1"/>
  <c r="R408" i="2"/>
  <c r="C409" i="2"/>
  <c r="K147" i="2"/>
  <c r="AG147" i="2" s="1"/>
  <c r="G147" i="2"/>
  <c r="AE409" i="2" l="1"/>
  <c r="R409" i="2"/>
  <c r="C410" i="2"/>
  <c r="L147" i="2"/>
  <c r="Q147" i="2"/>
  <c r="R410" i="2" l="1"/>
  <c r="AE410" i="2"/>
  <c r="C411" i="2"/>
  <c r="J148" i="2"/>
  <c r="D148" i="2"/>
  <c r="AE411" i="2" l="1"/>
  <c r="R411" i="2"/>
  <c r="C412" i="2"/>
  <c r="H148" i="2"/>
  <c r="AD148" i="2" s="1"/>
  <c r="AF148" i="2" s="1"/>
  <c r="E148" i="2"/>
  <c r="F148" i="2" s="1"/>
  <c r="I148" i="2"/>
  <c r="R412" i="2" l="1"/>
  <c r="AE412" i="2"/>
  <c r="C413" i="2"/>
  <c r="K148" i="2"/>
  <c r="AG148" i="2" s="1"/>
  <c r="G148" i="2"/>
  <c r="R413" i="2" l="1"/>
  <c r="AE413" i="2"/>
  <c r="C414" i="2"/>
  <c r="Q148" i="2"/>
  <c r="L148" i="2"/>
  <c r="AE414" i="2" l="1"/>
  <c r="R414" i="2"/>
  <c r="C415" i="2"/>
  <c r="D149" i="2"/>
  <c r="J149" i="2"/>
  <c r="AE415" i="2" l="1"/>
  <c r="R415" i="2"/>
  <c r="C416" i="2"/>
  <c r="H149" i="2"/>
  <c r="AD149" i="2" s="1"/>
  <c r="AF149" i="2" s="1"/>
  <c r="I149" i="2"/>
  <c r="E149" i="2"/>
  <c r="F149" i="2" s="1"/>
  <c r="AE416" i="2" l="1"/>
  <c r="R416" i="2"/>
  <c r="C417" i="2"/>
  <c r="K149" i="2"/>
  <c r="AG149" i="2" s="1"/>
  <c r="G149" i="2"/>
  <c r="C418" i="2" l="1"/>
  <c r="R417" i="2"/>
  <c r="AE417" i="2"/>
  <c r="L149" i="2"/>
  <c r="Q149" i="2"/>
  <c r="AE418" i="2" l="1"/>
  <c r="R418" i="2"/>
  <c r="C419" i="2"/>
  <c r="D150" i="2"/>
  <c r="J150" i="2"/>
  <c r="AE419" i="2" l="1"/>
  <c r="R419" i="2"/>
  <c r="I150" i="2"/>
  <c r="H150" i="2"/>
  <c r="AD150" i="2" s="1"/>
  <c r="AF150" i="2" s="1"/>
  <c r="E150" i="2"/>
  <c r="F150" i="2" s="1"/>
  <c r="K150" i="2" l="1"/>
  <c r="AG150" i="2" s="1"/>
  <c r="G150" i="2"/>
  <c r="L150" i="2" l="1"/>
  <c r="Q150" i="2"/>
  <c r="D151" i="2" l="1"/>
  <c r="J151" i="2"/>
  <c r="I151" i="2" l="1"/>
  <c r="H151" i="2"/>
  <c r="AD151" i="2" s="1"/>
  <c r="AF151" i="2" s="1"/>
  <c r="E151" i="2"/>
  <c r="F151" i="2" s="1"/>
  <c r="G151" i="2" l="1"/>
  <c r="K151" i="2"/>
  <c r="AG151" i="2" s="1"/>
  <c r="L151" i="2" l="1"/>
  <c r="Q151" i="2"/>
  <c r="D152" i="2" l="1"/>
  <c r="J152" i="2"/>
  <c r="I152" i="2" l="1"/>
  <c r="H152" i="2"/>
  <c r="AD152" i="2" s="1"/>
  <c r="AF152" i="2" s="1"/>
  <c r="E152" i="2"/>
  <c r="F152" i="2" s="1"/>
  <c r="K152" i="2" l="1"/>
  <c r="AG152" i="2" s="1"/>
  <c r="G152" i="2"/>
  <c r="L152" i="2" l="1"/>
  <c r="Q152" i="2"/>
  <c r="D153" i="2" l="1"/>
  <c r="J153" i="2"/>
  <c r="H153" i="2" l="1"/>
  <c r="AD153" i="2" s="1"/>
  <c r="AF153" i="2" s="1"/>
  <c r="E153" i="2"/>
  <c r="F153" i="2" s="1"/>
  <c r="I153" i="2"/>
  <c r="K153" i="2" l="1"/>
  <c r="AG153" i="2" s="1"/>
  <c r="G153" i="2"/>
  <c r="L153" i="2" l="1"/>
  <c r="Q153" i="2"/>
  <c r="D154" i="2" l="1"/>
  <c r="J154" i="2"/>
  <c r="H154" i="2" l="1"/>
  <c r="AD154" i="2" s="1"/>
  <c r="AF154" i="2" s="1"/>
  <c r="I154" i="2"/>
  <c r="E154" i="2"/>
  <c r="F154" i="2" s="1"/>
  <c r="K154" i="2" l="1"/>
  <c r="AG154" i="2" s="1"/>
  <c r="G154" i="2"/>
  <c r="L154" i="2" l="1"/>
  <c r="Q154" i="2"/>
  <c r="J155" i="2" l="1"/>
  <c r="D155" i="2"/>
  <c r="I155" i="2" l="1"/>
  <c r="E155" i="2"/>
  <c r="F155" i="2" s="1"/>
  <c r="H155" i="2"/>
  <c r="AD155" i="2" s="1"/>
  <c r="AF155" i="2" s="1"/>
  <c r="K155" i="2" l="1"/>
  <c r="AG155" i="2" s="1"/>
  <c r="G155" i="2"/>
  <c r="Q155" i="2" l="1"/>
  <c r="L155" i="2"/>
  <c r="J156" i="2" l="1"/>
  <c r="D156" i="2"/>
  <c r="I156" i="2" l="1"/>
  <c r="E156" i="2"/>
  <c r="F156" i="2" s="1"/>
  <c r="H156" i="2"/>
  <c r="AD156" i="2" s="1"/>
  <c r="AF156" i="2" s="1"/>
  <c r="G156" i="2" l="1"/>
  <c r="K156" i="2"/>
  <c r="AG156" i="2" s="1"/>
  <c r="L156" i="2" l="1"/>
  <c r="Q156" i="2"/>
  <c r="J157" i="2" l="1"/>
  <c r="D157" i="2"/>
  <c r="E157" i="2" l="1"/>
  <c r="F157" i="2" s="1"/>
  <c r="H157" i="2"/>
  <c r="AD157" i="2" s="1"/>
  <c r="AF157" i="2" s="1"/>
  <c r="I157" i="2"/>
  <c r="G157" i="2" l="1"/>
  <c r="K157" i="2"/>
  <c r="AG157" i="2" s="1"/>
  <c r="L157" i="2" l="1"/>
  <c r="Q157" i="2"/>
  <c r="D158" i="2" l="1"/>
  <c r="J158" i="2"/>
  <c r="E158" i="2" l="1"/>
  <c r="F158" i="2" s="1"/>
  <c r="H158" i="2"/>
  <c r="AD158" i="2" s="1"/>
  <c r="AF158" i="2" s="1"/>
  <c r="I158" i="2"/>
  <c r="K158" i="2" l="1"/>
  <c r="AG158" i="2" s="1"/>
  <c r="G158" i="2"/>
  <c r="L158" i="2" l="1"/>
  <c r="Q158" i="2"/>
  <c r="D159" i="2" l="1"/>
  <c r="J159" i="2"/>
  <c r="E159" i="2" l="1"/>
  <c r="F159" i="2" s="1"/>
  <c r="I159" i="2"/>
  <c r="H159" i="2"/>
  <c r="AD159" i="2" s="1"/>
  <c r="AF159" i="2" s="1"/>
  <c r="K159" i="2" l="1"/>
  <c r="AG159" i="2" s="1"/>
  <c r="G159" i="2"/>
  <c r="Q159" i="2" l="1"/>
  <c r="L159" i="2"/>
  <c r="J160" i="2" l="1"/>
  <c r="D160" i="2"/>
  <c r="I160" i="2" l="1"/>
  <c r="E160" i="2"/>
  <c r="F160" i="2" s="1"/>
  <c r="H160" i="2"/>
  <c r="AD160" i="2" s="1"/>
  <c r="AF160" i="2" s="1"/>
  <c r="K160" i="2" l="1"/>
  <c r="AG160" i="2" s="1"/>
  <c r="G160" i="2"/>
  <c r="L160" i="2" l="1"/>
  <c r="Q160" i="2"/>
  <c r="D161" i="2" l="1"/>
  <c r="J161" i="2"/>
  <c r="H161" i="2" l="1"/>
  <c r="AD161" i="2" s="1"/>
  <c r="AF161" i="2" s="1"/>
  <c r="E161" i="2"/>
  <c r="F161" i="2" s="1"/>
  <c r="I161" i="2"/>
  <c r="K161" i="2" l="1"/>
  <c r="AG161" i="2" s="1"/>
  <c r="G161" i="2"/>
  <c r="Q161" i="2" l="1"/>
  <c r="L161" i="2"/>
  <c r="J162" i="2" l="1"/>
  <c r="D162" i="2"/>
  <c r="E162" i="2" l="1"/>
  <c r="F162" i="2" s="1"/>
  <c r="I162" i="2"/>
  <c r="H162" i="2"/>
  <c r="AD162" i="2" s="1"/>
  <c r="AF162" i="2" s="1"/>
  <c r="K162" i="2" l="1"/>
  <c r="AG162" i="2" s="1"/>
  <c r="G162" i="2"/>
  <c r="Q162" i="2" l="1"/>
  <c r="L162" i="2"/>
  <c r="D163" i="2" l="1"/>
  <c r="J163" i="2"/>
  <c r="E163" i="2" l="1"/>
  <c r="F163" i="2" s="1"/>
  <c r="I163" i="2"/>
  <c r="H163" i="2"/>
  <c r="AD163" i="2" s="1"/>
  <c r="AF163" i="2" s="1"/>
  <c r="G163" i="2" l="1"/>
  <c r="K163" i="2"/>
  <c r="AG163" i="2" s="1"/>
  <c r="Q163" i="2" l="1"/>
  <c r="L163" i="2"/>
  <c r="J164" i="2" l="1"/>
  <c r="D164" i="2"/>
  <c r="E164" i="2" l="1"/>
  <c r="F164" i="2" s="1"/>
  <c r="I164" i="2"/>
  <c r="H164" i="2"/>
  <c r="AD164" i="2" s="1"/>
  <c r="AF164" i="2" s="1"/>
  <c r="K164" i="2" l="1"/>
  <c r="AG164" i="2" s="1"/>
  <c r="G164" i="2"/>
  <c r="Q164" i="2" l="1"/>
  <c r="L164" i="2"/>
  <c r="D165" i="2" l="1"/>
  <c r="J165" i="2"/>
  <c r="H165" i="2" l="1"/>
  <c r="AD165" i="2" s="1"/>
  <c r="AF165" i="2" s="1"/>
  <c r="I165" i="2"/>
  <c r="E165" i="2"/>
  <c r="F165" i="2" s="1"/>
  <c r="K165" i="2" l="1"/>
  <c r="AG165" i="2" s="1"/>
  <c r="G165" i="2"/>
  <c r="L165" i="2" l="1"/>
  <c r="Q165" i="2"/>
  <c r="D166" i="2" l="1"/>
  <c r="J166" i="2"/>
  <c r="E166" i="2" l="1"/>
  <c r="F166" i="2" s="1"/>
  <c r="I166" i="2"/>
  <c r="H166" i="2"/>
  <c r="AD166" i="2" s="1"/>
  <c r="AF166" i="2" s="1"/>
  <c r="K166" i="2" l="1"/>
  <c r="AG166" i="2" s="1"/>
  <c r="G166" i="2"/>
  <c r="L166" i="2" l="1"/>
  <c r="Q166" i="2"/>
  <c r="D167" i="2" l="1"/>
  <c r="J167" i="2"/>
  <c r="E167" i="2" l="1"/>
  <c r="F167" i="2" s="1"/>
  <c r="I167" i="2"/>
  <c r="H167" i="2"/>
  <c r="AD167" i="2" s="1"/>
  <c r="AF167" i="2" s="1"/>
  <c r="G167" i="2" l="1"/>
  <c r="K167" i="2"/>
  <c r="AG167" i="2" s="1"/>
  <c r="Q167" i="2" l="1"/>
  <c r="L167" i="2"/>
  <c r="D168" i="2" l="1"/>
  <c r="J168" i="2"/>
  <c r="I168" i="2" l="1"/>
  <c r="H168" i="2"/>
  <c r="AD168" i="2" s="1"/>
  <c r="AF168" i="2" s="1"/>
  <c r="E168" i="2"/>
  <c r="F168" i="2" s="1"/>
  <c r="G168" i="2" l="1"/>
  <c r="K168" i="2"/>
  <c r="AG168" i="2" s="1"/>
  <c r="L168" i="2" l="1"/>
  <c r="Q168" i="2"/>
  <c r="D169" i="2" l="1"/>
  <c r="J169" i="2"/>
  <c r="I169" i="2" l="1"/>
  <c r="H169" i="2"/>
  <c r="AD169" i="2" s="1"/>
  <c r="AF169" i="2" s="1"/>
  <c r="E169" i="2"/>
  <c r="F169" i="2" s="1"/>
  <c r="G169" i="2" l="1"/>
  <c r="K169" i="2"/>
  <c r="AG169" i="2" s="1"/>
  <c r="L169" i="2" l="1"/>
  <c r="Q169" i="2"/>
  <c r="J170" i="2" l="1"/>
  <c r="D170" i="2"/>
  <c r="I170" i="2" l="1"/>
  <c r="H170" i="2"/>
  <c r="AD170" i="2" s="1"/>
  <c r="AF170" i="2" s="1"/>
  <c r="E170" i="2"/>
  <c r="F170" i="2" s="1"/>
  <c r="G170" i="2" l="1"/>
  <c r="K170" i="2"/>
  <c r="AG170" i="2" s="1"/>
  <c r="L170" i="2" l="1"/>
  <c r="Q170" i="2"/>
  <c r="J171" i="2" l="1"/>
  <c r="D171" i="2"/>
  <c r="H171" i="2" l="1"/>
  <c r="AD171" i="2" s="1"/>
  <c r="AF171" i="2" s="1"/>
  <c r="E171" i="2"/>
  <c r="F171" i="2" s="1"/>
  <c r="I171" i="2"/>
  <c r="K171" i="2" l="1"/>
  <c r="AG171" i="2" s="1"/>
  <c r="G171" i="2"/>
  <c r="L171" i="2" l="1"/>
  <c r="Q171" i="2"/>
  <c r="D172" i="2" l="1"/>
  <c r="J172" i="2"/>
  <c r="H172" i="2" l="1"/>
  <c r="AD172" i="2" s="1"/>
  <c r="AF172" i="2" s="1"/>
  <c r="E172" i="2"/>
  <c r="F172" i="2" s="1"/>
  <c r="I172" i="2"/>
  <c r="K172" i="2" l="1"/>
  <c r="AG172" i="2" s="1"/>
  <c r="G172" i="2"/>
  <c r="L172" i="2" l="1"/>
  <c r="Q172" i="2"/>
  <c r="D173" i="2" l="1"/>
  <c r="J173" i="2"/>
  <c r="I173" i="2" l="1"/>
  <c r="E173" i="2"/>
  <c r="F173" i="2" s="1"/>
  <c r="H173" i="2"/>
  <c r="AD173" i="2" s="1"/>
  <c r="AF173" i="2" s="1"/>
  <c r="G173" i="2" l="1"/>
  <c r="K173" i="2"/>
  <c r="AG173" i="2" s="1"/>
  <c r="L173" i="2" l="1"/>
  <c r="Q173" i="2"/>
  <c r="J174" i="2" l="1"/>
  <c r="D174" i="2"/>
  <c r="E174" i="2" l="1"/>
  <c r="F174" i="2" s="1"/>
  <c r="I174" i="2"/>
  <c r="H174" i="2"/>
  <c r="AD174" i="2" s="1"/>
  <c r="AF174" i="2" s="1"/>
  <c r="G174" i="2" l="1"/>
  <c r="K174" i="2"/>
  <c r="AG174" i="2" s="1"/>
  <c r="L174" i="2" l="1"/>
  <c r="Q174" i="2"/>
  <c r="J175" i="2" l="1"/>
  <c r="D175" i="2"/>
  <c r="E175" i="2" l="1"/>
  <c r="F175" i="2" s="1"/>
  <c r="H175" i="2"/>
  <c r="AD175" i="2" s="1"/>
  <c r="AF175" i="2" s="1"/>
  <c r="I175" i="2"/>
  <c r="K175" i="2" l="1"/>
  <c r="AG175" i="2" s="1"/>
  <c r="G175" i="2"/>
  <c r="L175" i="2" l="1"/>
  <c r="Q175" i="2"/>
  <c r="D176" i="2" l="1"/>
  <c r="J176" i="2"/>
  <c r="I176" i="2" l="1"/>
  <c r="E176" i="2"/>
  <c r="F176" i="2" s="1"/>
  <c r="H176" i="2"/>
  <c r="AD176" i="2" s="1"/>
  <c r="AF176" i="2" s="1"/>
  <c r="G176" i="2" l="1"/>
  <c r="K176" i="2"/>
  <c r="AG176" i="2" s="1"/>
  <c r="L176" i="2" l="1"/>
  <c r="Q176" i="2"/>
  <c r="D177" i="2" l="1"/>
  <c r="J177" i="2"/>
  <c r="H177" i="2" l="1"/>
  <c r="AD177" i="2" s="1"/>
  <c r="AF177" i="2" s="1"/>
  <c r="I177" i="2"/>
  <c r="E177" i="2"/>
  <c r="F177" i="2" s="1"/>
  <c r="K177" i="2" l="1"/>
  <c r="AG177" i="2" s="1"/>
  <c r="G177" i="2"/>
  <c r="Q177" i="2" l="1"/>
  <c r="L177" i="2"/>
  <c r="D178" i="2" l="1"/>
  <c r="J178" i="2"/>
  <c r="E178" i="2" l="1"/>
  <c r="F178" i="2" s="1"/>
  <c r="I178" i="2"/>
  <c r="H178" i="2"/>
  <c r="AD178" i="2" s="1"/>
  <c r="AF178" i="2" s="1"/>
  <c r="G178" i="2" l="1"/>
  <c r="K178" i="2"/>
  <c r="AG178" i="2" s="1"/>
  <c r="L178" i="2" l="1"/>
  <c r="Q178" i="2"/>
  <c r="D179" i="2" l="1"/>
  <c r="J179" i="2"/>
  <c r="E179" i="2" l="1"/>
  <c r="F179" i="2" s="1"/>
  <c r="I179" i="2"/>
  <c r="H179" i="2"/>
  <c r="AD179" i="2" s="1"/>
  <c r="AF179" i="2" s="1"/>
  <c r="K179" i="2" l="1"/>
  <c r="AG179" i="2" s="1"/>
  <c r="G179" i="2"/>
  <c r="L179" i="2" l="1"/>
  <c r="Q179" i="2"/>
  <c r="D180" i="2" l="1"/>
  <c r="J180" i="2"/>
  <c r="H180" i="2" l="1"/>
  <c r="AD180" i="2" s="1"/>
  <c r="AF180" i="2" s="1"/>
  <c r="I180" i="2"/>
  <c r="E180" i="2"/>
  <c r="F180" i="2" s="1"/>
  <c r="K180" i="2" l="1"/>
  <c r="AG180" i="2" s="1"/>
  <c r="G180" i="2"/>
  <c r="Q180" i="2" l="1"/>
  <c r="L180" i="2"/>
  <c r="J181" i="2" l="1"/>
  <c r="D181" i="2"/>
  <c r="E181" i="2" l="1"/>
  <c r="F181" i="2" s="1"/>
  <c r="I181" i="2"/>
  <c r="H181" i="2"/>
  <c r="AD181" i="2" s="1"/>
  <c r="AF181" i="2" s="1"/>
  <c r="G181" i="2" l="1"/>
  <c r="K181" i="2"/>
  <c r="AG181" i="2" s="1"/>
  <c r="L181" i="2" l="1"/>
  <c r="Q181" i="2"/>
  <c r="D182" i="2" l="1"/>
  <c r="J182" i="2"/>
  <c r="E182" i="2" l="1"/>
  <c r="F182" i="2" s="1"/>
  <c r="I182" i="2"/>
  <c r="H182" i="2"/>
  <c r="AD182" i="2" s="1"/>
  <c r="AF182" i="2" s="1"/>
  <c r="K182" i="2" l="1"/>
  <c r="AG182" i="2" s="1"/>
  <c r="G182" i="2"/>
  <c r="Q182" i="2" l="1"/>
  <c r="L182" i="2"/>
  <c r="J183" i="2" l="1"/>
  <c r="D183" i="2"/>
  <c r="I183" i="2" l="1"/>
  <c r="E183" i="2"/>
  <c r="F183" i="2" s="1"/>
  <c r="H183" i="2"/>
  <c r="AD183" i="2" s="1"/>
  <c r="AF183" i="2" s="1"/>
  <c r="G183" i="2" l="1"/>
  <c r="K183" i="2"/>
  <c r="AG183" i="2" s="1"/>
  <c r="Q183" i="2" l="1"/>
  <c r="L183" i="2"/>
  <c r="D184" i="2" l="1"/>
  <c r="J184" i="2"/>
  <c r="I184" i="2" l="1"/>
  <c r="E184" i="2"/>
  <c r="F184" i="2" s="1"/>
  <c r="H184" i="2"/>
  <c r="AD184" i="2" s="1"/>
  <c r="AF184" i="2" s="1"/>
  <c r="K184" i="2" l="1"/>
  <c r="AG184" i="2" s="1"/>
  <c r="G184" i="2"/>
  <c r="L184" i="2" l="1"/>
  <c r="Q184" i="2"/>
  <c r="D185" i="2" l="1"/>
  <c r="J185" i="2"/>
  <c r="H185" i="2" l="1"/>
  <c r="AD185" i="2" s="1"/>
  <c r="AF185" i="2" s="1"/>
  <c r="E185" i="2"/>
  <c r="F185" i="2" s="1"/>
  <c r="I185" i="2"/>
  <c r="K185" i="2" l="1"/>
  <c r="AG185" i="2" s="1"/>
  <c r="G185" i="2"/>
  <c r="Q185" i="2" l="1"/>
  <c r="L185" i="2"/>
  <c r="J186" i="2" l="1"/>
  <c r="D186" i="2"/>
  <c r="I186" i="2" l="1"/>
  <c r="H186" i="2"/>
  <c r="AD186" i="2" s="1"/>
  <c r="AF186" i="2" s="1"/>
  <c r="E186" i="2"/>
  <c r="F186" i="2" s="1"/>
  <c r="K186" i="2" l="1"/>
  <c r="AG186" i="2" s="1"/>
  <c r="G186" i="2"/>
  <c r="Q186" i="2" l="1"/>
  <c r="L186" i="2"/>
  <c r="J187" i="2" l="1"/>
  <c r="D187" i="2"/>
  <c r="I187" i="2" l="1"/>
  <c r="H187" i="2"/>
  <c r="AD187" i="2" s="1"/>
  <c r="AF187" i="2" s="1"/>
  <c r="E187" i="2"/>
  <c r="F187" i="2" s="1"/>
  <c r="K187" i="2" l="1"/>
  <c r="AG187" i="2" s="1"/>
  <c r="G187" i="2"/>
  <c r="Q187" i="2" l="1"/>
  <c r="L187" i="2"/>
  <c r="D188" i="2" l="1"/>
  <c r="J188" i="2"/>
  <c r="E188" i="2" l="1"/>
  <c r="F188" i="2" s="1"/>
  <c r="H188" i="2"/>
  <c r="AD188" i="2" s="1"/>
  <c r="AF188" i="2" s="1"/>
  <c r="I188" i="2"/>
  <c r="K188" i="2" l="1"/>
  <c r="AG188" i="2" s="1"/>
  <c r="G188" i="2"/>
  <c r="Q188" i="2" l="1"/>
  <c r="L188" i="2"/>
  <c r="J189" i="2" l="1"/>
  <c r="D189" i="2"/>
  <c r="I189" i="2" l="1"/>
  <c r="E189" i="2"/>
  <c r="F189" i="2" s="1"/>
  <c r="H189" i="2"/>
  <c r="AD189" i="2" s="1"/>
  <c r="AF189" i="2" s="1"/>
  <c r="G189" i="2" l="1"/>
  <c r="K189" i="2"/>
  <c r="AG189" i="2" s="1"/>
  <c r="L189" i="2" l="1"/>
  <c r="Q189" i="2"/>
  <c r="D190" i="2" l="1"/>
  <c r="J190" i="2"/>
  <c r="H190" i="2" l="1"/>
  <c r="AD190" i="2" s="1"/>
  <c r="AF190" i="2" s="1"/>
  <c r="I190" i="2"/>
  <c r="E190" i="2"/>
  <c r="F190" i="2" s="1"/>
  <c r="K190" i="2" l="1"/>
  <c r="AG190" i="2" s="1"/>
  <c r="G190" i="2"/>
  <c r="L190" i="2" l="1"/>
  <c r="Q190" i="2"/>
  <c r="J191" i="2" l="1"/>
  <c r="D191" i="2"/>
  <c r="H191" i="2" l="1"/>
  <c r="AD191" i="2" s="1"/>
  <c r="AF191" i="2" s="1"/>
  <c r="I191" i="2"/>
  <c r="E191" i="2"/>
  <c r="F191" i="2" s="1"/>
  <c r="K191" i="2" l="1"/>
  <c r="AG191" i="2" s="1"/>
  <c r="G191" i="2"/>
  <c r="L191" i="2" l="1"/>
  <c r="Q191" i="2"/>
  <c r="D192" i="2" l="1"/>
  <c r="J192" i="2"/>
  <c r="I192" i="2" l="1"/>
  <c r="H192" i="2"/>
  <c r="AD192" i="2" s="1"/>
  <c r="AF192" i="2" s="1"/>
  <c r="E192" i="2"/>
  <c r="F192" i="2" s="1"/>
  <c r="G192" i="2" l="1"/>
  <c r="K192" i="2"/>
  <c r="AG192" i="2" s="1"/>
  <c r="L192" i="2" l="1"/>
  <c r="Q192" i="2"/>
  <c r="J193" i="2" l="1"/>
  <c r="D193" i="2"/>
  <c r="E193" i="2" l="1"/>
  <c r="F193" i="2" s="1"/>
  <c r="I193" i="2"/>
  <c r="H193" i="2"/>
  <c r="AD193" i="2" s="1"/>
  <c r="AF193" i="2" s="1"/>
  <c r="K193" i="2" l="1"/>
  <c r="AG193" i="2" s="1"/>
  <c r="G193" i="2"/>
  <c r="L193" i="2" l="1"/>
  <c r="Q193" i="2"/>
  <c r="D194" i="2" l="1"/>
  <c r="J194" i="2"/>
  <c r="H194" i="2" l="1"/>
  <c r="AD194" i="2" s="1"/>
  <c r="AF194" i="2" s="1"/>
  <c r="I194" i="2"/>
  <c r="E194" i="2"/>
  <c r="F194" i="2" s="1"/>
  <c r="K194" i="2" l="1"/>
  <c r="AG194" i="2" s="1"/>
  <c r="G194" i="2"/>
  <c r="L194" i="2" l="1"/>
  <c r="Q194" i="2"/>
  <c r="D195" i="2" l="1"/>
  <c r="J195" i="2"/>
  <c r="H195" i="2" l="1"/>
  <c r="AD195" i="2" s="1"/>
  <c r="AF195" i="2" s="1"/>
  <c r="I195" i="2"/>
  <c r="E195" i="2"/>
  <c r="F195" i="2" s="1"/>
  <c r="K195" i="2" l="1"/>
  <c r="AG195" i="2" s="1"/>
  <c r="G195" i="2"/>
  <c r="L195" i="2" l="1"/>
  <c r="Q195" i="2"/>
  <c r="D196" i="2" l="1"/>
  <c r="J196" i="2"/>
  <c r="I196" i="2" l="1"/>
  <c r="H196" i="2"/>
  <c r="AD196" i="2" s="1"/>
  <c r="AF196" i="2" s="1"/>
  <c r="E196" i="2"/>
  <c r="F196" i="2" s="1"/>
  <c r="G196" i="2" l="1"/>
  <c r="K196" i="2"/>
  <c r="AG196" i="2" s="1"/>
  <c r="Q196" i="2" l="1"/>
  <c r="L196" i="2"/>
  <c r="J197" i="2" l="1"/>
  <c r="D197" i="2"/>
  <c r="E197" i="2" l="1"/>
  <c r="F197" i="2" s="1"/>
  <c r="I197" i="2"/>
  <c r="H197" i="2"/>
  <c r="AD197" i="2" s="1"/>
  <c r="AF197" i="2" s="1"/>
  <c r="G197" i="2" l="1"/>
  <c r="K197" i="2"/>
  <c r="AG197" i="2" s="1"/>
  <c r="L197" i="2" l="1"/>
  <c r="Q197" i="2"/>
  <c r="D198" i="2" l="1"/>
  <c r="J198" i="2"/>
  <c r="E198" i="2" l="1"/>
  <c r="F198" i="2" s="1"/>
  <c r="H198" i="2"/>
  <c r="AD198" i="2" s="1"/>
  <c r="AF198" i="2" s="1"/>
  <c r="I198" i="2"/>
  <c r="K198" i="2" l="1"/>
  <c r="AG198" i="2" s="1"/>
  <c r="G198" i="2"/>
  <c r="L198" i="2" l="1"/>
  <c r="Q198" i="2"/>
  <c r="D199" i="2" l="1"/>
  <c r="J199" i="2"/>
  <c r="H199" i="2" l="1"/>
  <c r="AD199" i="2" s="1"/>
  <c r="AF199" i="2" s="1"/>
  <c r="I199" i="2"/>
  <c r="E199" i="2"/>
  <c r="F199" i="2" s="1"/>
  <c r="K199" i="2" l="1"/>
  <c r="AG199" i="2" s="1"/>
  <c r="G199" i="2"/>
  <c r="L199" i="2" l="1"/>
  <c r="Q199" i="2"/>
  <c r="D200" i="2" l="1"/>
  <c r="J200" i="2"/>
  <c r="H200" i="2" l="1"/>
  <c r="AD200" i="2" s="1"/>
  <c r="AF200" i="2" s="1"/>
  <c r="I200" i="2"/>
  <c r="E200" i="2"/>
  <c r="F200" i="2" s="1"/>
  <c r="K200" i="2" l="1"/>
  <c r="AG200" i="2" s="1"/>
  <c r="G200" i="2"/>
  <c r="L200" i="2" l="1"/>
  <c r="Q200" i="2"/>
  <c r="D201" i="2" l="1"/>
  <c r="J201" i="2"/>
  <c r="E201" i="2" l="1"/>
  <c r="F201" i="2" s="1"/>
  <c r="H201" i="2"/>
  <c r="AD201" i="2" s="1"/>
  <c r="AF201" i="2" s="1"/>
  <c r="I201" i="2"/>
  <c r="K201" i="2" l="1"/>
  <c r="AG201" i="2" s="1"/>
  <c r="G201" i="2"/>
  <c r="L201" i="2" l="1"/>
  <c r="Q201" i="2"/>
  <c r="D202" i="2" l="1"/>
  <c r="J202" i="2"/>
  <c r="I202" i="2" l="1"/>
  <c r="E202" i="2"/>
  <c r="F202" i="2" s="1"/>
  <c r="H202" i="2"/>
  <c r="AD202" i="2" s="1"/>
  <c r="AF202" i="2" s="1"/>
  <c r="K202" i="2" l="1"/>
  <c r="AG202" i="2" s="1"/>
  <c r="G202" i="2"/>
  <c r="Q202" i="2" l="1"/>
  <c r="L202" i="2"/>
  <c r="D203" i="2" l="1"/>
  <c r="J203" i="2"/>
  <c r="E203" i="2" l="1"/>
  <c r="F203" i="2" s="1"/>
  <c r="I203" i="2"/>
  <c r="H203" i="2"/>
  <c r="AD203" i="2" s="1"/>
  <c r="AF203" i="2" s="1"/>
  <c r="G203" i="2" l="1"/>
  <c r="K203" i="2"/>
  <c r="AG203" i="2" s="1"/>
  <c r="L203" i="2" l="1"/>
  <c r="Q203" i="2"/>
  <c r="D204" i="2" l="1"/>
  <c r="J204" i="2"/>
  <c r="H204" i="2" l="1"/>
  <c r="AD204" i="2" s="1"/>
  <c r="AF204" i="2" s="1"/>
  <c r="E204" i="2"/>
  <c r="F204" i="2" s="1"/>
  <c r="I204" i="2"/>
  <c r="K204" i="2" l="1"/>
  <c r="AG204" i="2" s="1"/>
  <c r="G204" i="2"/>
  <c r="Q204" i="2" l="1"/>
  <c r="L204" i="2"/>
  <c r="J205" i="2" l="1"/>
  <c r="D205" i="2"/>
  <c r="H205" i="2" l="1"/>
  <c r="AD205" i="2" s="1"/>
  <c r="AF205" i="2" s="1"/>
  <c r="E205" i="2"/>
  <c r="F205" i="2" s="1"/>
  <c r="I205" i="2"/>
  <c r="K205" i="2" l="1"/>
  <c r="AG205" i="2" s="1"/>
  <c r="G205" i="2"/>
  <c r="L205" i="2" l="1"/>
  <c r="Q205" i="2"/>
  <c r="D206" i="2" l="1"/>
  <c r="J206" i="2"/>
  <c r="H206" i="2" l="1"/>
  <c r="AD206" i="2" s="1"/>
  <c r="AF206" i="2" s="1"/>
  <c r="E206" i="2"/>
  <c r="F206" i="2" s="1"/>
  <c r="I206" i="2"/>
  <c r="K206" i="2" l="1"/>
  <c r="AG206" i="2" s="1"/>
  <c r="G206" i="2"/>
  <c r="Q206" i="2" l="1"/>
  <c r="L206" i="2"/>
  <c r="J207" i="2" l="1"/>
  <c r="D207" i="2"/>
  <c r="H207" i="2" l="1"/>
  <c r="AD207" i="2" s="1"/>
  <c r="AF207" i="2" s="1"/>
  <c r="I207" i="2"/>
  <c r="E207" i="2"/>
  <c r="F207" i="2" s="1"/>
  <c r="K207" i="2" l="1"/>
  <c r="AG207" i="2" s="1"/>
  <c r="G207" i="2"/>
  <c r="L207" i="2" l="1"/>
  <c r="Q207" i="2"/>
  <c r="D208" i="2" l="1"/>
  <c r="J208" i="2"/>
  <c r="E208" i="2" l="1"/>
  <c r="F208" i="2" s="1"/>
  <c r="I208" i="2"/>
  <c r="H208" i="2"/>
  <c r="AD208" i="2" s="1"/>
  <c r="AF208" i="2" s="1"/>
  <c r="G208" i="2" l="1"/>
  <c r="K208" i="2"/>
  <c r="AG208" i="2" s="1"/>
  <c r="L208" i="2" l="1"/>
  <c r="Q208" i="2"/>
  <c r="D209" i="2" l="1"/>
  <c r="J209" i="2"/>
  <c r="I209" i="2" l="1"/>
  <c r="H209" i="2"/>
  <c r="AD209" i="2" s="1"/>
  <c r="AF209" i="2" s="1"/>
  <c r="E209" i="2"/>
  <c r="F209" i="2" s="1"/>
  <c r="G209" i="2" l="1"/>
  <c r="K209" i="2"/>
  <c r="AG209" i="2" s="1"/>
  <c r="L209" i="2" l="1"/>
  <c r="Q209" i="2"/>
  <c r="J210" i="2" l="1"/>
  <c r="D210" i="2"/>
  <c r="H210" i="2" l="1"/>
  <c r="AD210" i="2" s="1"/>
  <c r="AF210" i="2" s="1"/>
  <c r="I210" i="2"/>
  <c r="E210" i="2"/>
  <c r="F210" i="2" s="1"/>
  <c r="K210" i="2" l="1"/>
  <c r="AG210" i="2" s="1"/>
  <c r="G210" i="2"/>
  <c r="Q210" i="2" l="1"/>
  <c r="L210" i="2"/>
  <c r="J211" i="2" l="1"/>
  <c r="D211" i="2"/>
  <c r="E211" i="2" l="1"/>
  <c r="F211" i="2" s="1"/>
  <c r="H211" i="2"/>
  <c r="AD211" i="2" s="1"/>
  <c r="AF211" i="2" s="1"/>
  <c r="I211" i="2"/>
  <c r="K211" i="2" l="1"/>
  <c r="AG211" i="2" s="1"/>
  <c r="G211" i="2"/>
  <c r="L211" i="2" l="1"/>
  <c r="Q211" i="2"/>
  <c r="D212" i="2" l="1"/>
  <c r="J212" i="2"/>
  <c r="H212" i="2" l="1"/>
  <c r="AD212" i="2" s="1"/>
  <c r="AF212" i="2" s="1"/>
  <c r="I212" i="2"/>
  <c r="E212" i="2"/>
  <c r="F212" i="2" s="1"/>
  <c r="K212" i="2" l="1"/>
  <c r="AG212" i="2" s="1"/>
  <c r="G212" i="2"/>
  <c r="Q212" i="2" l="1"/>
  <c r="L212" i="2"/>
  <c r="J213" i="2" l="1"/>
  <c r="D213" i="2"/>
  <c r="H213" i="2" l="1"/>
  <c r="AD213" i="2" s="1"/>
  <c r="AF213" i="2" s="1"/>
  <c r="I213" i="2"/>
  <c r="E213" i="2"/>
  <c r="F213" i="2" s="1"/>
  <c r="K213" i="2" l="1"/>
  <c r="AG213" i="2" s="1"/>
  <c r="G213" i="2"/>
  <c r="L213" i="2" l="1"/>
  <c r="Q213" i="2"/>
  <c r="D214" i="2" l="1"/>
  <c r="J214" i="2"/>
  <c r="H214" i="2" l="1"/>
  <c r="AD214" i="2" s="1"/>
  <c r="AF214" i="2" s="1"/>
  <c r="E214" i="2"/>
  <c r="F214" i="2" s="1"/>
  <c r="I214" i="2"/>
  <c r="K214" i="2" l="1"/>
  <c r="AG214" i="2" s="1"/>
  <c r="G214" i="2"/>
  <c r="Q214" i="2" l="1"/>
  <c r="L214" i="2"/>
  <c r="J215" i="2" l="1"/>
  <c r="D215" i="2"/>
  <c r="E215" i="2" l="1"/>
  <c r="F215" i="2" s="1"/>
  <c r="H215" i="2"/>
  <c r="AD215" i="2" s="1"/>
  <c r="AF215" i="2" s="1"/>
  <c r="I215" i="2"/>
  <c r="K215" i="2" l="1"/>
  <c r="AG215" i="2" s="1"/>
  <c r="G215" i="2"/>
  <c r="Q215" i="2" l="1"/>
  <c r="L215" i="2"/>
  <c r="J216" i="2" l="1"/>
  <c r="D216" i="2"/>
  <c r="H216" i="2" l="1"/>
  <c r="AD216" i="2" s="1"/>
  <c r="AF216" i="2" s="1"/>
  <c r="E216" i="2"/>
  <c r="F216" i="2" s="1"/>
  <c r="I216" i="2"/>
  <c r="K216" i="2" l="1"/>
  <c r="AG216" i="2" s="1"/>
  <c r="G216" i="2"/>
  <c r="L216" i="2" l="1"/>
  <c r="Q216" i="2"/>
  <c r="D217" i="2" l="1"/>
  <c r="J217" i="2"/>
  <c r="H217" i="2" l="1"/>
  <c r="AD217" i="2" s="1"/>
  <c r="AF217" i="2" s="1"/>
  <c r="E217" i="2"/>
  <c r="F217" i="2" s="1"/>
  <c r="I217" i="2"/>
  <c r="K217" i="2" l="1"/>
  <c r="AG217" i="2" s="1"/>
  <c r="G217" i="2"/>
  <c r="Q217" i="2" l="1"/>
  <c r="L217" i="2"/>
  <c r="D218" i="2" l="1"/>
  <c r="J218" i="2"/>
  <c r="H218" i="2" l="1"/>
  <c r="AD218" i="2" s="1"/>
  <c r="AF218" i="2" s="1"/>
  <c r="I218" i="2"/>
  <c r="E218" i="2"/>
  <c r="F218" i="2" s="1"/>
  <c r="K218" i="2" l="1"/>
  <c r="AG218" i="2" s="1"/>
  <c r="G218" i="2"/>
  <c r="Q218" i="2" l="1"/>
  <c r="L218" i="2"/>
  <c r="J219" i="2" l="1"/>
  <c r="D219" i="2"/>
  <c r="H219" i="2" l="1"/>
  <c r="AD219" i="2" s="1"/>
  <c r="AF219" i="2" s="1"/>
  <c r="E219" i="2"/>
  <c r="F219" i="2" s="1"/>
  <c r="I219" i="2"/>
  <c r="K219" i="2" l="1"/>
  <c r="AG219" i="2" s="1"/>
  <c r="G219" i="2"/>
  <c r="Q219" i="2" l="1"/>
  <c r="L219" i="2"/>
  <c r="D220" i="2" l="1"/>
  <c r="J220" i="2"/>
  <c r="E220" i="2" l="1"/>
  <c r="F220" i="2" s="1"/>
  <c r="H220" i="2"/>
  <c r="AD220" i="2" s="1"/>
  <c r="AF220" i="2" s="1"/>
  <c r="I220" i="2"/>
  <c r="K220" i="2" l="1"/>
  <c r="AG220" i="2" s="1"/>
  <c r="G220" i="2"/>
  <c r="L220" i="2" l="1"/>
  <c r="Q220" i="2"/>
  <c r="D221" i="2" l="1"/>
  <c r="J221" i="2"/>
  <c r="E221" i="2" l="1"/>
  <c r="F221" i="2" s="1"/>
  <c r="I221" i="2"/>
  <c r="H221" i="2"/>
  <c r="AD221" i="2" s="1"/>
  <c r="AF221" i="2" s="1"/>
  <c r="G221" i="2" l="1"/>
  <c r="K221" i="2"/>
  <c r="AG221" i="2" s="1"/>
  <c r="L221" i="2" l="1"/>
  <c r="Q221" i="2"/>
  <c r="D222" i="2" l="1"/>
  <c r="J222" i="2"/>
  <c r="H222" i="2" l="1"/>
  <c r="AD222" i="2" s="1"/>
  <c r="AF222" i="2" s="1"/>
  <c r="E222" i="2"/>
  <c r="F222" i="2" s="1"/>
  <c r="I222" i="2"/>
  <c r="K222" i="2" l="1"/>
  <c r="AG222" i="2" s="1"/>
  <c r="G222" i="2"/>
  <c r="Q222" i="2" l="1"/>
  <c r="L222" i="2"/>
  <c r="J223" i="2" l="1"/>
  <c r="D223" i="2"/>
  <c r="H223" i="2" l="1"/>
  <c r="AD223" i="2" s="1"/>
  <c r="AF223" i="2" s="1"/>
  <c r="E223" i="2"/>
  <c r="F223" i="2" s="1"/>
  <c r="I223" i="2"/>
  <c r="K223" i="2" l="1"/>
  <c r="AG223" i="2" s="1"/>
  <c r="G223" i="2"/>
  <c r="L223" i="2" l="1"/>
  <c r="Q223" i="2"/>
  <c r="J224" i="2" l="1"/>
  <c r="D224" i="2"/>
  <c r="I224" i="2" l="1"/>
  <c r="H224" i="2"/>
  <c r="AD224" i="2" s="1"/>
  <c r="AF224" i="2" s="1"/>
  <c r="E224" i="2"/>
  <c r="F224" i="2" s="1"/>
  <c r="G224" i="2" l="1"/>
  <c r="K224" i="2"/>
  <c r="AG224" i="2" s="1"/>
  <c r="L224" i="2" l="1"/>
  <c r="Q224" i="2"/>
  <c r="J225" i="2" l="1"/>
  <c r="D225" i="2"/>
  <c r="H225" i="2" l="1"/>
  <c r="AD225" i="2" s="1"/>
  <c r="AF225" i="2" s="1"/>
  <c r="I225" i="2"/>
  <c r="E225" i="2"/>
  <c r="F225" i="2" s="1"/>
  <c r="G225" i="2" l="1"/>
  <c r="K225" i="2"/>
  <c r="AG225" i="2" s="1"/>
  <c r="L225" i="2" l="1"/>
  <c r="Q225" i="2"/>
  <c r="J226" i="2" l="1"/>
  <c r="D226" i="2"/>
  <c r="H226" i="2" l="1"/>
  <c r="AD226" i="2" s="1"/>
  <c r="AF226" i="2" s="1"/>
  <c r="I226" i="2"/>
  <c r="E226" i="2"/>
  <c r="F226" i="2" s="1"/>
  <c r="K226" i="2" l="1"/>
  <c r="AG226" i="2" s="1"/>
  <c r="G226" i="2"/>
  <c r="Q226" i="2" l="1"/>
  <c r="L226" i="2"/>
  <c r="D227" i="2" l="1"/>
  <c r="J227" i="2"/>
  <c r="I227" i="2" l="1"/>
  <c r="H227" i="2"/>
  <c r="AD227" i="2" s="1"/>
  <c r="AF227" i="2" s="1"/>
  <c r="E227" i="2"/>
  <c r="F227" i="2" s="1"/>
  <c r="G227" i="2" l="1"/>
  <c r="K227" i="2"/>
  <c r="AG227" i="2" s="1"/>
  <c r="L227" i="2" l="1"/>
  <c r="Q227" i="2"/>
  <c r="J228" i="2" l="1"/>
  <c r="D228" i="2"/>
  <c r="H228" i="2" l="1"/>
  <c r="AD228" i="2" s="1"/>
  <c r="AF228" i="2" s="1"/>
  <c r="E228" i="2"/>
  <c r="F228" i="2" s="1"/>
  <c r="I228" i="2"/>
  <c r="K228" i="2" l="1"/>
  <c r="AG228" i="2" s="1"/>
  <c r="G228" i="2"/>
  <c r="Q228" i="2" l="1"/>
  <c r="L228" i="2"/>
  <c r="J229" i="2" l="1"/>
  <c r="D229" i="2"/>
  <c r="E229" i="2" l="1"/>
  <c r="F229" i="2" s="1"/>
  <c r="I229" i="2"/>
  <c r="H229" i="2"/>
  <c r="AD229" i="2" s="1"/>
  <c r="AF229" i="2" s="1"/>
  <c r="K229" i="2" l="1"/>
  <c r="AG229" i="2" s="1"/>
  <c r="G229" i="2"/>
  <c r="Q229" i="2" l="1"/>
  <c r="L229" i="2"/>
  <c r="J230" i="2" l="1"/>
  <c r="D230" i="2"/>
  <c r="H230" i="2" l="1"/>
  <c r="AD230" i="2" s="1"/>
  <c r="AF230" i="2" s="1"/>
  <c r="I230" i="2"/>
  <c r="E230" i="2"/>
  <c r="F230" i="2" s="1"/>
  <c r="K230" i="2" l="1"/>
  <c r="AG230" i="2" s="1"/>
  <c r="G230" i="2"/>
  <c r="Q230" i="2" l="1"/>
  <c r="L230" i="2"/>
  <c r="D231" i="2" l="1"/>
  <c r="J231" i="2"/>
  <c r="E231" i="2" l="1"/>
  <c r="F231" i="2" s="1"/>
  <c r="I231" i="2"/>
  <c r="H231" i="2"/>
  <c r="AD231" i="2" s="1"/>
  <c r="AF231" i="2" s="1"/>
  <c r="K231" i="2" l="1"/>
  <c r="AG231" i="2" s="1"/>
  <c r="G231" i="2"/>
  <c r="Q231" i="2" l="1"/>
  <c r="L231" i="2"/>
  <c r="D232" i="2" l="1"/>
  <c r="J232" i="2"/>
  <c r="E232" i="2" l="1"/>
  <c r="F232" i="2" s="1"/>
  <c r="H232" i="2"/>
  <c r="AD232" i="2" s="1"/>
  <c r="AF232" i="2" s="1"/>
  <c r="I232" i="2"/>
  <c r="G232" i="2" l="1"/>
  <c r="K232" i="2"/>
  <c r="AG232" i="2" s="1"/>
  <c r="L232" i="2" l="1"/>
  <c r="Q232" i="2"/>
  <c r="J233" i="2" l="1"/>
  <c r="D233" i="2"/>
  <c r="H233" i="2" l="1"/>
  <c r="AD233" i="2" s="1"/>
  <c r="AF233" i="2" s="1"/>
  <c r="E233" i="2"/>
  <c r="F233" i="2" s="1"/>
  <c r="I233" i="2"/>
  <c r="K233" i="2" l="1"/>
  <c r="AG233" i="2" s="1"/>
  <c r="G233" i="2"/>
  <c r="L233" i="2" l="1"/>
  <c r="Q233" i="2"/>
  <c r="D234" i="2" l="1"/>
  <c r="J234" i="2"/>
  <c r="H234" i="2" l="1"/>
  <c r="AD234" i="2" s="1"/>
  <c r="AF234" i="2" s="1"/>
  <c r="E234" i="2"/>
  <c r="F234" i="2" s="1"/>
  <c r="I234" i="2"/>
  <c r="K234" i="2" l="1"/>
  <c r="AG234" i="2" s="1"/>
  <c r="G234" i="2"/>
  <c r="Q234" i="2" l="1"/>
  <c r="L234" i="2"/>
  <c r="J235" i="2" l="1"/>
  <c r="D235" i="2"/>
  <c r="I235" i="2" l="1"/>
  <c r="E235" i="2"/>
  <c r="F235" i="2" s="1"/>
  <c r="H235" i="2"/>
  <c r="AD235" i="2" s="1"/>
  <c r="AF235" i="2" s="1"/>
  <c r="K235" i="2" l="1"/>
  <c r="AG235" i="2" s="1"/>
  <c r="G235" i="2"/>
  <c r="Q235" i="2" l="1"/>
  <c r="L235" i="2"/>
  <c r="D236" i="2" l="1"/>
  <c r="J236" i="2"/>
  <c r="I236" i="2" l="1"/>
  <c r="E236" i="2"/>
  <c r="F236" i="2" s="1"/>
  <c r="H236" i="2"/>
  <c r="AD236" i="2" s="1"/>
  <c r="AF236" i="2" s="1"/>
  <c r="G236" i="2" l="1"/>
  <c r="K236" i="2"/>
  <c r="AG236" i="2" s="1"/>
  <c r="L236" i="2" l="1"/>
  <c r="Q236" i="2"/>
  <c r="J237" i="2" l="1"/>
  <c r="D237" i="2"/>
  <c r="I237" i="2" l="1"/>
  <c r="E237" i="2"/>
  <c r="F237" i="2" s="1"/>
  <c r="H237" i="2"/>
  <c r="AD237" i="2" s="1"/>
  <c r="AF237" i="2" s="1"/>
  <c r="K237" i="2" l="1"/>
  <c r="AG237" i="2" s="1"/>
  <c r="G237" i="2"/>
  <c r="Q237" i="2" l="1"/>
  <c r="L237" i="2"/>
  <c r="J238" i="2" l="1"/>
  <c r="D238" i="2"/>
  <c r="H238" i="2" l="1"/>
  <c r="AD238" i="2" s="1"/>
  <c r="AF238" i="2" s="1"/>
  <c r="I238" i="2"/>
  <c r="E238" i="2"/>
  <c r="F238" i="2" s="1"/>
  <c r="K238" i="2" l="1"/>
  <c r="AG238" i="2" s="1"/>
  <c r="G238" i="2"/>
  <c r="L238" i="2" l="1"/>
  <c r="Q238" i="2"/>
  <c r="D239" i="2" l="1"/>
  <c r="J239" i="2"/>
  <c r="H239" i="2" l="1"/>
  <c r="AD239" i="2" s="1"/>
  <c r="AF239" i="2" s="1"/>
  <c r="E239" i="2"/>
  <c r="F239" i="2" s="1"/>
  <c r="I239" i="2"/>
  <c r="K239" i="2" l="1"/>
  <c r="AG239" i="2" s="1"/>
  <c r="G239" i="2"/>
  <c r="Q239" i="2" l="1"/>
  <c r="L239" i="2"/>
  <c r="J240" i="2" l="1"/>
  <c r="D240" i="2"/>
  <c r="E240" i="2" l="1"/>
  <c r="F240" i="2" s="1"/>
  <c r="H240" i="2"/>
  <c r="AD240" i="2" s="1"/>
  <c r="AF240" i="2" s="1"/>
  <c r="I240" i="2"/>
  <c r="G240" i="2" l="1"/>
  <c r="K240" i="2"/>
  <c r="AG240" i="2" s="1"/>
  <c r="L240" i="2" l="1"/>
  <c r="Q240" i="2"/>
  <c r="D241" i="2" l="1"/>
  <c r="J241" i="2"/>
  <c r="H241" i="2" l="1"/>
  <c r="AD241" i="2" s="1"/>
  <c r="AF241" i="2" s="1"/>
  <c r="I241" i="2"/>
  <c r="E241" i="2"/>
  <c r="F241" i="2" s="1"/>
  <c r="K241" i="2" l="1"/>
  <c r="AG241" i="2" s="1"/>
  <c r="G241" i="2"/>
  <c r="Q241" i="2" l="1"/>
  <c r="L241" i="2"/>
  <c r="J242" i="2" l="1"/>
  <c r="D242" i="2"/>
  <c r="H242" i="2" l="1"/>
  <c r="AD242" i="2" s="1"/>
  <c r="AF242" i="2" s="1"/>
  <c r="I242" i="2"/>
  <c r="E242" i="2"/>
  <c r="F242" i="2" s="1"/>
  <c r="K242" i="2" l="1"/>
  <c r="AG242" i="2" s="1"/>
  <c r="G242" i="2"/>
  <c r="L242" i="2" l="1"/>
  <c r="Q242" i="2"/>
  <c r="D243" i="2" l="1"/>
  <c r="J243" i="2"/>
  <c r="I243" i="2" l="1"/>
  <c r="H243" i="2"/>
  <c r="AD243" i="2" s="1"/>
  <c r="AF243" i="2" s="1"/>
  <c r="E243" i="2"/>
  <c r="F243" i="2" s="1"/>
  <c r="G243" i="2" l="1"/>
  <c r="K243" i="2"/>
  <c r="AG243" i="2" s="1"/>
  <c r="L243" i="2" l="1"/>
  <c r="Q243" i="2"/>
  <c r="D244" i="2" l="1"/>
  <c r="J244" i="2"/>
  <c r="E244" i="2" l="1"/>
  <c r="F244" i="2" s="1"/>
  <c r="I244" i="2"/>
  <c r="H244" i="2"/>
  <c r="AD244" i="2" s="1"/>
  <c r="AF244" i="2" s="1"/>
  <c r="G244" i="2" l="1"/>
  <c r="K244" i="2"/>
  <c r="AG244" i="2" s="1"/>
  <c r="L244" i="2" l="1"/>
  <c r="Q244" i="2"/>
  <c r="D245" i="2" l="1"/>
  <c r="J245" i="2"/>
  <c r="H245" i="2" l="1"/>
  <c r="AD245" i="2" s="1"/>
  <c r="AF245" i="2" s="1"/>
  <c r="I245" i="2"/>
  <c r="E245" i="2"/>
  <c r="F245" i="2" s="1"/>
  <c r="K245" i="2" l="1"/>
  <c r="AG245" i="2" s="1"/>
  <c r="G245" i="2"/>
  <c r="L245" i="2" l="1"/>
  <c r="Q245" i="2"/>
  <c r="D246" i="2" l="1"/>
  <c r="J246" i="2"/>
  <c r="E246" i="2" l="1"/>
  <c r="F246" i="2" s="1"/>
  <c r="H246" i="2"/>
  <c r="AD246" i="2" s="1"/>
  <c r="AF246" i="2" s="1"/>
  <c r="I246" i="2"/>
  <c r="K246" i="2" l="1"/>
  <c r="AG246" i="2" s="1"/>
  <c r="G246" i="2"/>
  <c r="L246" i="2" l="1"/>
  <c r="Q246" i="2"/>
  <c r="D247" i="2" l="1"/>
  <c r="J247" i="2"/>
  <c r="E247" i="2" l="1"/>
  <c r="F247" i="2" s="1"/>
  <c r="H247" i="2"/>
  <c r="AD247" i="2" s="1"/>
  <c r="AF247" i="2" s="1"/>
  <c r="I247" i="2"/>
  <c r="G247" i="2" l="1"/>
  <c r="K247" i="2"/>
  <c r="AG247" i="2" s="1"/>
  <c r="L247" i="2" l="1"/>
  <c r="Q247" i="2"/>
  <c r="J248" i="2" l="1"/>
  <c r="D248" i="2"/>
  <c r="H248" i="2" l="1"/>
  <c r="AD248" i="2" s="1"/>
  <c r="AF248" i="2" s="1"/>
  <c r="E248" i="2"/>
  <c r="F248" i="2" s="1"/>
  <c r="I248" i="2"/>
  <c r="K248" i="2" l="1"/>
  <c r="AG248" i="2" s="1"/>
  <c r="G248" i="2"/>
  <c r="Q248" i="2" l="1"/>
  <c r="L248" i="2"/>
  <c r="J249" i="2" l="1"/>
  <c r="D249" i="2"/>
  <c r="E249" i="2" l="1"/>
  <c r="F249" i="2" s="1"/>
  <c r="H249" i="2"/>
  <c r="AD249" i="2" s="1"/>
  <c r="AF249" i="2" s="1"/>
  <c r="I249" i="2"/>
  <c r="G249" i="2" l="1"/>
  <c r="K249" i="2"/>
  <c r="AG249" i="2" s="1"/>
  <c r="L249" i="2" l="1"/>
  <c r="Q249" i="2"/>
  <c r="J250" i="2" l="1"/>
  <c r="D250" i="2"/>
  <c r="H250" i="2" l="1"/>
  <c r="AD250" i="2" s="1"/>
  <c r="AF250" i="2" s="1"/>
  <c r="E250" i="2"/>
  <c r="F250" i="2" s="1"/>
  <c r="I250" i="2"/>
  <c r="K250" i="2" l="1"/>
  <c r="AG250" i="2" s="1"/>
  <c r="G250" i="2"/>
  <c r="L250" i="2" l="1"/>
  <c r="Q250" i="2"/>
  <c r="D251" i="2" l="1"/>
  <c r="J251" i="2"/>
  <c r="H251" i="2" l="1"/>
  <c r="AD251" i="2" s="1"/>
  <c r="AF251" i="2" s="1"/>
  <c r="I251" i="2"/>
  <c r="E251" i="2"/>
  <c r="F251" i="2" s="1"/>
  <c r="K251" i="2" l="1"/>
  <c r="AG251" i="2" s="1"/>
  <c r="G251" i="2"/>
  <c r="Q251" i="2" l="1"/>
  <c r="L251" i="2"/>
  <c r="J252" i="2" l="1"/>
  <c r="D252" i="2"/>
  <c r="E252" i="2" l="1"/>
  <c r="F252" i="2" s="1"/>
  <c r="H252" i="2"/>
  <c r="AD252" i="2" s="1"/>
  <c r="AF252" i="2" s="1"/>
  <c r="I252" i="2"/>
  <c r="G252" i="2" l="1"/>
  <c r="K252" i="2"/>
  <c r="AG252" i="2" s="1"/>
  <c r="L252" i="2" l="1"/>
  <c r="Q252" i="2"/>
  <c r="D253" i="2" l="1"/>
  <c r="J253" i="2"/>
  <c r="H253" i="2" l="1"/>
  <c r="AD253" i="2" s="1"/>
  <c r="AF253" i="2" s="1"/>
  <c r="E253" i="2"/>
  <c r="F253" i="2" s="1"/>
  <c r="I253" i="2"/>
  <c r="K253" i="2" l="1"/>
  <c r="AG253" i="2" s="1"/>
  <c r="G253" i="2"/>
  <c r="L253" i="2" l="1"/>
  <c r="Q253" i="2"/>
  <c r="J254" i="2" l="1"/>
  <c r="D254" i="2"/>
  <c r="I254" i="2" l="1"/>
  <c r="H254" i="2"/>
  <c r="AD254" i="2" s="1"/>
  <c r="AF254" i="2" s="1"/>
  <c r="E254" i="2"/>
  <c r="F254" i="2" s="1"/>
  <c r="K254" i="2" l="1"/>
  <c r="AG254" i="2" s="1"/>
  <c r="G254" i="2"/>
  <c r="Q254" i="2" l="1"/>
  <c r="L254" i="2"/>
  <c r="J255" i="2" l="1"/>
  <c r="D255" i="2"/>
  <c r="H255" i="2" l="1"/>
  <c r="AD255" i="2" s="1"/>
  <c r="AF255" i="2" s="1"/>
  <c r="I255" i="2"/>
  <c r="E255" i="2"/>
  <c r="F255" i="2" s="1"/>
  <c r="K255" i="2" l="1"/>
  <c r="AG255" i="2" s="1"/>
  <c r="G255" i="2"/>
  <c r="L255" i="2" l="1"/>
  <c r="Q255" i="2"/>
  <c r="J256" i="2" l="1"/>
  <c r="D256" i="2"/>
  <c r="H256" i="2" l="1"/>
  <c r="AD256" i="2" s="1"/>
  <c r="AF256" i="2" s="1"/>
  <c r="I256" i="2"/>
  <c r="E256" i="2"/>
  <c r="F256" i="2" s="1"/>
  <c r="K256" i="2" l="1"/>
  <c r="AG256" i="2" s="1"/>
  <c r="G256" i="2"/>
  <c r="Q256" i="2" l="1"/>
  <c r="L256" i="2"/>
  <c r="D257" i="2" l="1"/>
  <c r="J257" i="2"/>
  <c r="H257" i="2" l="1"/>
  <c r="AD257" i="2" s="1"/>
  <c r="AF257" i="2" s="1"/>
  <c r="E257" i="2"/>
  <c r="F257" i="2" s="1"/>
  <c r="I257" i="2"/>
  <c r="K257" i="2" l="1"/>
  <c r="AG257" i="2" s="1"/>
  <c r="G257" i="2"/>
  <c r="Q257" i="2" l="1"/>
  <c r="L257" i="2"/>
  <c r="D258" i="2" l="1"/>
  <c r="J258" i="2"/>
  <c r="H258" i="2" l="1"/>
  <c r="AD258" i="2" s="1"/>
  <c r="AF258" i="2" s="1"/>
  <c r="E258" i="2"/>
  <c r="F258" i="2" s="1"/>
  <c r="I258" i="2"/>
  <c r="K258" i="2" l="1"/>
  <c r="AG258" i="2" s="1"/>
  <c r="G258" i="2"/>
  <c r="Q258" i="2" l="1"/>
  <c r="L258" i="2"/>
  <c r="J259" i="2" l="1"/>
  <c r="D259" i="2"/>
  <c r="I259" i="2" l="1"/>
  <c r="H259" i="2"/>
  <c r="AD259" i="2" s="1"/>
  <c r="AF259" i="2" s="1"/>
  <c r="E259" i="2"/>
  <c r="F259" i="2" s="1"/>
  <c r="G259" i="2" l="1"/>
  <c r="K259" i="2"/>
  <c r="AG259" i="2" s="1"/>
  <c r="L259" i="2" l="1"/>
  <c r="Q259" i="2"/>
  <c r="J260" i="2" l="1"/>
  <c r="D260" i="2"/>
  <c r="I260" i="2" l="1"/>
  <c r="E260" i="2"/>
  <c r="F260" i="2" s="1"/>
  <c r="H260" i="2"/>
  <c r="AD260" i="2" s="1"/>
  <c r="AF260" i="2" s="1"/>
  <c r="G260" i="2" l="1"/>
  <c r="K260" i="2"/>
  <c r="AG260" i="2" s="1"/>
  <c r="L260" i="2" l="1"/>
  <c r="Q260" i="2"/>
  <c r="J261" i="2" l="1"/>
  <c r="D261" i="2"/>
  <c r="H261" i="2" l="1"/>
  <c r="AD261" i="2" s="1"/>
  <c r="AF261" i="2" s="1"/>
  <c r="E261" i="2"/>
  <c r="F261" i="2" s="1"/>
  <c r="I261" i="2"/>
  <c r="K261" i="2" l="1"/>
  <c r="AG261" i="2" s="1"/>
  <c r="G261" i="2"/>
  <c r="L261" i="2" l="1"/>
  <c r="Q261" i="2"/>
  <c r="D262" i="2" l="1"/>
  <c r="J262" i="2"/>
  <c r="H262" i="2" l="1"/>
  <c r="AD262" i="2" s="1"/>
  <c r="AF262" i="2" s="1"/>
  <c r="E262" i="2"/>
  <c r="F262" i="2" s="1"/>
  <c r="I262" i="2"/>
  <c r="K262" i="2" l="1"/>
  <c r="AG262" i="2" s="1"/>
  <c r="G262" i="2"/>
  <c r="L262" i="2" l="1"/>
  <c r="Q262" i="2"/>
  <c r="D263" i="2" l="1"/>
  <c r="J263" i="2"/>
  <c r="H263" i="2" l="1"/>
  <c r="AD263" i="2" s="1"/>
  <c r="AF263" i="2" s="1"/>
  <c r="E263" i="2"/>
  <c r="F263" i="2" s="1"/>
  <c r="I263" i="2"/>
  <c r="K263" i="2" l="1"/>
  <c r="AG263" i="2" s="1"/>
  <c r="G263" i="2"/>
  <c r="Q263" i="2" l="1"/>
  <c r="L263" i="2"/>
  <c r="D264" i="2" l="1"/>
  <c r="J264" i="2"/>
  <c r="I264" i="2" l="1"/>
  <c r="E264" i="2"/>
  <c r="F264" i="2" s="1"/>
  <c r="H264" i="2"/>
  <c r="AD264" i="2" s="1"/>
  <c r="AF264" i="2" s="1"/>
  <c r="G264" i="2" l="1"/>
  <c r="K264" i="2"/>
  <c r="AG264" i="2" s="1"/>
  <c r="L264" i="2" l="1"/>
  <c r="Q264" i="2"/>
  <c r="D265" i="2" l="1"/>
  <c r="J265" i="2"/>
  <c r="I265" i="2" l="1"/>
  <c r="E265" i="2"/>
  <c r="F265" i="2" s="1"/>
  <c r="H265" i="2"/>
  <c r="AD265" i="2" s="1"/>
  <c r="AF265" i="2" s="1"/>
  <c r="G265" i="2" l="1"/>
  <c r="K265" i="2"/>
  <c r="AG265" i="2" s="1"/>
  <c r="L265" i="2" l="1"/>
  <c r="Q265" i="2"/>
  <c r="J266" i="2" l="1"/>
  <c r="D266" i="2"/>
  <c r="H266" i="2" l="1"/>
  <c r="AD266" i="2" s="1"/>
  <c r="AF266" i="2" s="1"/>
  <c r="E266" i="2"/>
  <c r="F266" i="2" s="1"/>
  <c r="I266" i="2"/>
  <c r="K266" i="2" l="1"/>
  <c r="AG266" i="2" s="1"/>
  <c r="G266" i="2"/>
  <c r="Q266" i="2" l="1"/>
  <c r="L266" i="2"/>
  <c r="D267" i="2" l="1"/>
  <c r="J267" i="2"/>
  <c r="E267" i="2" l="1"/>
  <c r="F267" i="2" s="1"/>
  <c r="I267" i="2"/>
  <c r="H267" i="2"/>
  <c r="AD267" i="2" s="1"/>
  <c r="AF267" i="2" s="1"/>
  <c r="G267" i="2" l="1"/>
  <c r="K267" i="2"/>
  <c r="AG267" i="2" s="1"/>
  <c r="L267" i="2" l="1"/>
  <c r="Q267" i="2"/>
  <c r="J268" i="2" l="1"/>
  <c r="D268" i="2"/>
  <c r="E268" i="2" l="1"/>
  <c r="F268" i="2" s="1"/>
  <c r="I268" i="2"/>
  <c r="H268" i="2"/>
  <c r="AD268" i="2" s="1"/>
  <c r="AF268" i="2" s="1"/>
  <c r="K268" i="2" l="1"/>
  <c r="AG268" i="2" s="1"/>
  <c r="G268" i="2"/>
  <c r="L268" i="2" l="1"/>
  <c r="Q268" i="2"/>
  <c r="D269" i="2" l="1"/>
  <c r="J269" i="2"/>
  <c r="E269" i="2" l="1"/>
  <c r="F269" i="2" s="1"/>
  <c r="H269" i="2"/>
  <c r="AD269" i="2" s="1"/>
  <c r="AF269" i="2" s="1"/>
  <c r="I269" i="2"/>
  <c r="K269" i="2" l="1"/>
  <c r="AG269" i="2" s="1"/>
  <c r="G269" i="2"/>
  <c r="Q269" i="2" l="1"/>
  <c r="L269" i="2"/>
  <c r="J270" i="2" l="1"/>
  <c r="D270" i="2"/>
  <c r="I270" i="2" l="1"/>
  <c r="E270" i="2"/>
  <c r="F270" i="2" s="1"/>
  <c r="H270" i="2"/>
  <c r="AD270" i="2" s="1"/>
  <c r="AF270" i="2" s="1"/>
  <c r="G270" i="2" l="1"/>
  <c r="K270" i="2"/>
  <c r="AG270" i="2" s="1"/>
  <c r="L270" i="2" l="1"/>
  <c r="Q270" i="2"/>
  <c r="D271" i="2" l="1"/>
  <c r="J271" i="2"/>
  <c r="H271" i="2" l="1"/>
  <c r="AD271" i="2" s="1"/>
  <c r="AF271" i="2" s="1"/>
  <c r="E271" i="2"/>
  <c r="F271" i="2" s="1"/>
  <c r="I271" i="2"/>
  <c r="K271" i="2" l="1"/>
  <c r="AG271" i="2" s="1"/>
  <c r="G271" i="2"/>
  <c r="L271" i="2" l="1"/>
  <c r="Q271" i="2"/>
  <c r="D272" i="2" l="1"/>
  <c r="J272" i="2"/>
  <c r="H272" i="2" l="1"/>
  <c r="AD272" i="2" s="1"/>
  <c r="AF272" i="2" s="1"/>
  <c r="E272" i="2"/>
  <c r="F272" i="2" s="1"/>
  <c r="I272" i="2"/>
  <c r="K272" i="2" l="1"/>
  <c r="AG272" i="2" s="1"/>
  <c r="G272" i="2"/>
  <c r="Q272" i="2" l="1"/>
  <c r="L272" i="2"/>
  <c r="J273" i="2" l="1"/>
  <c r="D273" i="2"/>
  <c r="E273" i="2" l="1"/>
  <c r="F273" i="2" s="1"/>
  <c r="H273" i="2"/>
  <c r="AD273" i="2" s="1"/>
  <c r="AF273" i="2" s="1"/>
  <c r="I273" i="2"/>
  <c r="K273" i="2" l="1"/>
  <c r="AG273" i="2" s="1"/>
  <c r="G273" i="2"/>
  <c r="L273" i="2" l="1"/>
  <c r="Q273" i="2"/>
  <c r="D274" i="2" l="1"/>
  <c r="J274" i="2"/>
  <c r="I274" i="2" l="1"/>
  <c r="H274" i="2"/>
  <c r="AD274" i="2" s="1"/>
  <c r="AF274" i="2" s="1"/>
  <c r="E274" i="2"/>
  <c r="F274" i="2" s="1"/>
  <c r="G274" i="2" l="1"/>
  <c r="K274" i="2"/>
  <c r="AG274" i="2" s="1"/>
  <c r="L274" i="2" l="1"/>
  <c r="Q274" i="2"/>
  <c r="J275" i="2" l="1"/>
  <c r="D275" i="2"/>
  <c r="E275" i="2" l="1"/>
  <c r="F275" i="2" s="1"/>
  <c r="H275" i="2"/>
  <c r="AD275" i="2" s="1"/>
  <c r="AF275" i="2" s="1"/>
  <c r="I275" i="2"/>
  <c r="G275" i="2" l="1"/>
  <c r="K275" i="2"/>
  <c r="AG275" i="2" s="1"/>
  <c r="L275" i="2" l="1"/>
  <c r="Q275" i="2"/>
  <c r="D276" i="2" l="1"/>
  <c r="J276" i="2"/>
  <c r="E276" i="2" l="1"/>
  <c r="F276" i="2" s="1"/>
  <c r="H276" i="2"/>
  <c r="AD276" i="2" s="1"/>
  <c r="AF276" i="2" s="1"/>
  <c r="I276" i="2"/>
  <c r="G276" i="2" l="1"/>
  <c r="K276" i="2"/>
  <c r="AG276" i="2" s="1"/>
  <c r="L276" i="2" l="1"/>
  <c r="Q276" i="2"/>
  <c r="J277" i="2" l="1"/>
  <c r="D277" i="2"/>
  <c r="H277" i="2" l="1"/>
  <c r="AD277" i="2" s="1"/>
  <c r="AF277" i="2" s="1"/>
  <c r="E277" i="2"/>
  <c r="F277" i="2" s="1"/>
  <c r="I277" i="2"/>
  <c r="K277" i="2" l="1"/>
  <c r="AG277" i="2" s="1"/>
  <c r="G277" i="2"/>
  <c r="L277" i="2" l="1"/>
  <c r="Q277" i="2"/>
  <c r="D278" i="2" l="1"/>
  <c r="J278" i="2"/>
  <c r="H278" i="2" l="1"/>
  <c r="AD278" i="2" s="1"/>
  <c r="AF278" i="2" s="1"/>
  <c r="I278" i="2"/>
  <c r="E278" i="2"/>
  <c r="F278" i="2" s="1"/>
  <c r="K278" i="2" l="1"/>
  <c r="AG278" i="2" s="1"/>
  <c r="G278" i="2"/>
  <c r="Q278" i="2" l="1"/>
  <c r="L278" i="2"/>
  <c r="D279" i="2" l="1"/>
  <c r="J279" i="2"/>
  <c r="H279" i="2" l="1"/>
  <c r="AD279" i="2" s="1"/>
  <c r="AF279" i="2" s="1"/>
  <c r="I279" i="2"/>
  <c r="E279" i="2"/>
  <c r="F279" i="2" s="1"/>
  <c r="K279" i="2" l="1"/>
  <c r="AG279" i="2" s="1"/>
  <c r="G279" i="2"/>
  <c r="L279" i="2" l="1"/>
  <c r="Q279" i="2"/>
  <c r="D280" i="2" l="1"/>
  <c r="J280" i="2"/>
  <c r="I280" i="2" l="1"/>
  <c r="E280" i="2"/>
  <c r="F280" i="2" s="1"/>
  <c r="H280" i="2"/>
  <c r="AD280" i="2" s="1"/>
  <c r="AF280" i="2" s="1"/>
  <c r="K280" i="2" l="1"/>
  <c r="AG280" i="2" s="1"/>
  <c r="G280" i="2"/>
  <c r="Q280" i="2" l="1"/>
  <c r="L280" i="2"/>
  <c r="J281" i="2" l="1"/>
  <c r="D281" i="2"/>
  <c r="I281" i="2" l="1"/>
  <c r="E281" i="2"/>
  <c r="F281" i="2" s="1"/>
  <c r="H281" i="2"/>
  <c r="AD281" i="2" s="1"/>
  <c r="AF281" i="2" s="1"/>
  <c r="G281" i="2" l="1"/>
  <c r="K281" i="2"/>
  <c r="AG281" i="2" s="1"/>
  <c r="Q281" i="2" l="1"/>
  <c r="L281" i="2"/>
  <c r="J282" i="2" l="1"/>
  <c r="D282" i="2"/>
  <c r="H282" i="2" l="1"/>
  <c r="AD282" i="2" s="1"/>
  <c r="AF282" i="2" s="1"/>
  <c r="E282" i="2"/>
  <c r="F282" i="2" s="1"/>
  <c r="I282" i="2"/>
  <c r="K282" i="2" l="1"/>
  <c r="AG282" i="2" s="1"/>
  <c r="G282" i="2"/>
  <c r="L282" i="2" l="1"/>
  <c r="Q282" i="2"/>
  <c r="D283" i="2" l="1"/>
  <c r="J283" i="2"/>
  <c r="E283" i="2" l="1"/>
  <c r="F283" i="2" s="1"/>
  <c r="H283" i="2"/>
  <c r="AD283" i="2" s="1"/>
  <c r="AF283" i="2" s="1"/>
  <c r="I283" i="2"/>
  <c r="K283" i="2" l="1"/>
  <c r="AG283" i="2" s="1"/>
  <c r="G283" i="2"/>
  <c r="L283" i="2" l="1"/>
  <c r="Q283" i="2"/>
  <c r="J284" i="2" l="1"/>
  <c r="D284" i="2"/>
  <c r="E284" i="2" l="1"/>
  <c r="F284" i="2" s="1"/>
  <c r="H284" i="2"/>
  <c r="AD284" i="2" s="1"/>
  <c r="AF284" i="2" s="1"/>
  <c r="I284" i="2"/>
  <c r="G284" i="2" l="1"/>
  <c r="K284" i="2"/>
  <c r="AG284" i="2" s="1"/>
  <c r="L284" i="2" l="1"/>
  <c r="Q284" i="2"/>
  <c r="D285" i="2" l="1"/>
  <c r="J285" i="2"/>
  <c r="H285" i="2" l="1"/>
  <c r="AD285" i="2" s="1"/>
  <c r="AF285" i="2" s="1"/>
  <c r="E285" i="2"/>
  <c r="F285" i="2" s="1"/>
  <c r="I285" i="2"/>
  <c r="K285" i="2" l="1"/>
  <c r="AG285" i="2" s="1"/>
  <c r="G285" i="2"/>
  <c r="Q285" i="2" l="1"/>
  <c r="L285" i="2"/>
  <c r="J286" i="2" l="1"/>
  <c r="D286" i="2"/>
  <c r="I286" i="2" l="1"/>
  <c r="E286" i="2"/>
  <c r="F286" i="2" s="1"/>
  <c r="H286" i="2"/>
  <c r="AD286" i="2" s="1"/>
  <c r="AF286" i="2" s="1"/>
  <c r="G286" i="2" l="1"/>
  <c r="K286" i="2"/>
  <c r="AG286" i="2" s="1"/>
  <c r="Q286" i="2" l="1"/>
  <c r="L286" i="2"/>
  <c r="D287" i="2" l="1"/>
  <c r="J287" i="2"/>
  <c r="H287" i="2" l="1"/>
  <c r="AD287" i="2" s="1"/>
  <c r="AF287" i="2" s="1"/>
  <c r="E287" i="2"/>
  <c r="F287" i="2" s="1"/>
  <c r="I287" i="2"/>
  <c r="K287" i="2" l="1"/>
  <c r="AG287" i="2" s="1"/>
  <c r="G287" i="2"/>
  <c r="L287" i="2" l="1"/>
  <c r="Q287" i="2"/>
  <c r="J288" i="2" l="1"/>
  <c r="D288" i="2"/>
  <c r="I288" i="2" l="1"/>
  <c r="H288" i="2"/>
  <c r="AD288" i="2" s="1"/>
  <c r="AF288" i="2" s="1"/>
  <c r="E288" i="2"/>
  <c r="F288" i="2" s="1"/>
  <c r="G288" i="2" l="1"/>
  <c r="K288" i="2"/>
  <c r="AG288" i="2" s="1"/>
  <c r="L288" i="2" l="1"/>
  <c r="Q288" i="2"/>
  <c r="J289" i="2" l="1"/>
  <c r="D289" i="2"/>
  <c r="H289" i="2" l="1"/>
  <c r="AD289" i="2" s="1"/>
  <c r="AF289" i="2" s="1"/>
  <c r="I289" i="2"/>
  <c r="E289" i="2"/>
  <c r="F289" i="2" s="1"/>
  <c r="K289" i="2" l="1"/>
  <c r="AG289" i="2" s="1"/>
  <c r="G289" i="2"/>
  <c r="L289" i="2" l="1"/>
  <c r="Q289" i="2"/>
  <c r="D290" i="2" l="1"/>
  <c r="J290" i="2"/>
  <c r="H290" i="2" l="1"/>
  <c r="AD290" i="2" s="1"/>
  <c r="AF290" i="2" s="1"/>
  <c r="E290" i="2"/>
  <c r="F290" i="2" s="1"/>
  <c r="I290" i="2"/>
  <c r="K290" i="2" l="1"/>
  <c r="AG290" i="2" s="1"/>
  <c r="G290" i="2"/>
  <c r="L290" i="2" l="1"/>
  <c r="Q290" i="2"/>
  <c r="D291" i="2" l="1"/>
  <c r="J291" i="2"/>
  <c r="I291" i="2" l="1"/>
  <c r="H291" i="2"/>
  <c r="AD291" i="2" s="1"/>
  <c r="AF291" i="2" s="1"/>
  <c r="E291" i="2"/>
  <c r="F291" i="2" s="1"/>
  <c r="G291" i="2" l="1"/>
  <c r="K291" i="2"/>
  <c r="AG291" i="2" s="1"/>
  <c r="L291" i="2" l="1"/>
  <c r="Q291" i="2"/>
  <c r="J292" i="2" l="1"/>
  <c r="D292" i="2"/>
  <c r="I292" i="2" l="1"/>
  <c r="E292" i="2"/>
  <c r="F292" i="2" s="1"/>
  <c r="H292" i="2"/>
  <c r="AD292" i="2" s="1"/>
  <c r="AF292" i="2" s="1"/>
  <c r="G292" i="2" l="1"/>
  <c r="K292" i="2"/>
  <c r="AG292" i="2" s="1"/>
  <c r="L292" i="2" l="1"/>
  <c r="Q292" i="2"/>
  <c r="D293" i="2" l="1"/>
  <c r="J293" i="2"/>
  <c r="I293" i="2" l="1"/>
  <c r="E293" i="2"/>
  <c r="F293" i="2" s="1"/>
  <c r="H293" i="2"/>
  <c r="AD293" i="2" s="1"/>
  <c r="AF293" i="2" s="1"/>
  <c r="G293" i="2" l="1"/>
  <c r="K293" i="2"/>
  <c r="AG293" i="2" s="1"/>
  <c r="Q293" i="2" l="1"/>
  <c r="L293" i="2"/>
  <c r="D294" i="2" l="1"/>
  <c r="J294" i="2"/>
  <c r="E294" i="2" l="1"/>
  <c r="F294" i="2" s="1"/>
  <c r="H294" i="2"/>
  <c r="AD294" i="2" s="1"/>
  <c r="AF294" i="2" s="1"/>
  <c r="I294" i="2"/>
  <c r="G294" i="2" l="1"/>
  <c r="K294" i="2"/>
  <c r="AG294" i="2" s="1"/>
  <c r="L294" i="2" l="1"/>
  <c r="Q294" i="2"/>
  <c r="D295" i="2" l="1"/>
  <c r="J295" i="2"/>
  <c r="H295" i="2" l="1"/>
  <c r="AD295" i="2" s="1"/>
  <c r="AF295" i="2" s="1"/>
  <c r="I295" i="2"/>
  <c r="E295" i="2"/>
  <c r="F295" i="2" s="1"/>
  <c r="K295" i="2" l="1"/>
  <c r="AG295" i="2" s="1"/>
  <c r="G295" i="2"/>
  <c r="L295" i="2" l="1"/>
  <c r="Q295" i="2"/>
  <c r="D296" i="2" l="1"/>
  <c r="J296" i="2"/>
  <c r="H296" i="2" l="1"/>
  <c r="AD296" i="2" s="1"/>
  <c r="AF296" i="2" s="1"/>
  <c r="I296" i="2"/>
  <c r="E296" i="2"/>
  <c r="F296" i="2" s="1"/>
  <c r="K296" i="2" l="1"/>
  <c r="AG296" i="2" s="1"/>
  <c r="G296" i="2"/>
  <c r="L296" i="2" l="1"/>
  <c r="Q296" i="2"/>
  <c r="D297" i="2" l="1"/>
  <c r="J297" i="2"/>
  <c r="I297" i="2" l="1"/>
  <c r="H297" i="2"/>
  <c r="AD297" i="2" s="1"/>
  <c r="AF297" i="2" s="1"/>
  <c r="E297" i="2"/>
  <c r="F297" i="2" s="1"/>
  <c r="G297" i="2" l="1"/>
  <c r="K297" i="2"/>
  <c r="AG297" i="2" s="1"/>
  <c r="L297" i="2" l="1"/>
  <c r="Q297" i="2"/>
  <c r="D298" i="2" l="1"/>
  <c r="J298" i="2"/>
  <c r="H298" i="2" l="1"/>
  <c r="AD298" i="2" s="1"/>
  <c r="AF298" i="2" s="1"/>
  <c r="E298" i="2"/>
  <c r="F298" i="2" s="1"/>
  <c r="I298" i="2"/>
  <c r="K298" i="2" l="1"/>
  <c r="AG298" i="2" s="1"/>
  <c r="G298" i="2"/>
  <c r="Q298" i="2" l="1"/>
  <c r="L298" i="2"/>
  <c r="D299" i="2" l="1"/>
  <c r="J299" i="2"/>
  <c r="H299" i="2" l="1"/>
  <c r="AD299" i="2" s="1"/>
  <c r="AF299" i="2" s="1"/>
  <c r="E299" i="2"/>
  <c r="I299" i="2"/>
  <c r="K299" i="2" l="1"/>
  <c r="AG299" i="2" s="1"/>
  <c r="F299" i="2"/>
  <c r="AD420" i="2"/>
  <c r="G299" i="2"/>
  <c r="L299" i="2" l="1"/>
  <c r="Q299" i="2"/>
  <c r="J300" i="2" l="1"/>
  <c r="D300" i="2"/>
  <c r="E300" i="2" l="1"/>
  <c r="F300" i="2" s="1"/>
  <c r="I300" i="2"/>
  <c r="H300" i="2"/>
  <c r="AD300" i="2" l="1"/>
  <c r="AF300" i="2" s="1"/>
  <c r="G300" i="2"/>
  <c r="K300" i="2"/>
  <c r="AG300" i="2" s="1"/>
  <c r="Q300" i="2" l="1"/>
  <c r="L300" i="2"/>
  <c r="D301" i="2" l="1"/>
  <c r="J301" i="2"/>
  <c r="I301" i="2" l="1"/>
  <c r="E301" i="2"/>
  <c r="F301" i="2" s="1"/>
  <c r="H301" i="2"/>
  <c r="K301" i="2" l="1"/>
  <c r="AG301" i="2" s="1"/>
  <c r="AD301" i="2"/>
  <c r="AF301" i="2" s="1"/>
  <c r="G301" i="2"/>
  <c r="Q301" i="2" l="1"/>
  <c r="L301" i="2"/>
  <c r="J302" i="2" l="1"/>
  <c r="D302" i="2"/>
  <c r="H302" i="2" l="1"/>
  <c r="I302" i="2"/>
  <c r="E302" i="2"/>
  <c r="F302" i="2" s="1"/>
  <c r="K302" i="2" l="1"/>
  <c r="AG302" i="2" s="1"/>
  <c r="AD302" i="2"/>
  <c r="AF302" i="2" s="1"/>
  <c r="G302" i="2"/>
  <c r="Q302" i="2" l="1"/>
  <c r="L302" i="2"/>
  <c r="J303" i="2" l="1"/>
  <c r="D303" i="2"/>
  <c r="I303" i="2" l="1"/>
  <c r="E303" i="2"/>
  <c r="F303" i="2" s="1"/>
  <c r="H303" i="2"/>
  <c r="K303" i="2" l="1"/>
  <c r="AG303" i="2" s="1"/>
  <c r="AD303" i="2"/>
  <c r="AF303" i="2" s="1"/>
  <c r="G303" i="2"/>
  <c r="Q303" i="2" l="1"/>
  <c r="L303" i="2"/>
  <c r="J304" i="2" l="1"/>
  <c r="D304" i="2"/>
  <c r="I304" i="2" l="1"/>
  <c r="H304" i="2"/>
  <c r="E304" i="2"/>
  <c r="F304" i="2" s="1"/>
  <c r="K304" i="2" l="1"/>
  <c r="AG304" i="2" s="1"/>
  <c r="AG426" i="2" s="1"/>
  <c r="AD304" i="2"/>
  <c r="AF304" i="2" s="1"/>
  <c r="G304" i="2"/>
  <c r="Q304" i="2" l="1"/>
  <c r="L304" i="2"/>
  <c r="J305" i="2" l="1"/>
  <c r="D305" i="2"/>
  <c r="I305" i="2" l="1"/>
  <c r="H305" i="2"/>
  <c r="E305" i="2"/>
  <c r="F305" i="2" s="1"/>
  <c r="AD305" i="2" l="1"/>
  <c r="AF305" i="2" s="1"/>
  <c r="G305" i="2"/>
  <c r="K305" i="2"/>
  <c r="AG305" i="2" s="1"/>
  <c r="Q305" i="2" l="1"/>
  <c r="L305" i="2"/>
  <c r="J306" i="2" l="1"/>
  <c r="D306" i="2"/>
  <c r="H306" i="2" l="1"/>
  <c r="I306" i="2"/>
  <c r="E306" i="2"/>
  <c r="F306" i="2" s="1"/>
  <c r="K306" i="2" l="1"/>
  <c r="AG306" i="2" s="1"/>
  <c r="AD306" i="2"/>
  <c r="AF306" i="2" s="1"/>
  <c r="G306" i="2"/>
  <c r="Q306" i="2" l="1"/>
  <c r="L306" i="2"/>
  <c r="D307" i="2" l="1"/>
  <c r="J307" i="2"/>
  <c r="I307" i="2" l="1"/>
  <c r="H307" i="2"/>
  <c r="E307" i="2"/>
  <c r="F307" i="2" s="1"/>
  <c r="K307" i="2" l="1"/>
  <c r="AG307" i="2" s="1"/>
  <c r="AD307" i="2"/>
  <c r="AF307" i="2" s="1"/>
  <c r="G307" i="2"/>
  <c r="Q307" i="2" l="1"/>
  <c r="L307" i="2"/>
  <c r="J308" i="2" l="1"/>
  <c r="D308" i="2"/>
  <c r="I308" i="2" l="1"/>
  <c r="E308" i="2"/>
  <c r="F308" i="2" s="1"/>
  <c r="H308" i="2"/>
  <c r="AD308" i="2" l="1"/>
  <c r="AF308" i="2" s="1"/>
  <c r="G308" i="2"/>
  <c r="K308" i="2"/>
  <c r="AG308" i="2" s="1"/>
  <c r="Q308" i="2" l="1"/>
  <c r="L308" i="2"/>
  <c r="J309" i="2" l="1"/>
  <c r="D309" i="2"/>
  <c r="H309" i="2" l="1"/>
  <c r="I309" i="2"/>
  <c r="E309" i="2"/>
  <c r="F309" i="2" s="1"/>
  <c r="K309" i="2" l="1"/>
  <c r="AG309" i="2" s="1"/>
  <c r="AD309" i="2"/>
  <c r="AF309" i="2" s="1"/>
  <c r="G309" i="2"/>
  <c r="Q309" i="2" l="1"/>
  <c r="L309" i="2"/>
  <c r="J310" i="2" l="1"/>
  <c r="D310" i="2"/>
  <c r="I310" i="2" l="1"/>
  <c r="H310" i="2"/>
  <c r="E310" i="2"/>
  <c r="F310" i="2" s="1"/>
  <c r="K310" i="2" l="1"/>
  <c r="AG310" i="2" s="1"/>
  <c r="AD310" i="2"/>
  <c r="AF310" i="2" s="1"/>
  <c r="G310" i="2"/>
  <c r="Q310" i="2" l="1"/>
  <c r="L310" i="2"/>
  <c r="D311" i="2" l="1"/>
  <c r="J311" i="2"/>
  <c r="I311" i="2" l="1"/>
  <c r="H311" i="2"/>
  <c r="E311" i="2"/>
  <c r="F311" i="2" s="1"/>
  <c r="K311" i="2" l="1"/>
  <c r="AG311" i="2" s="1"/>
  <c r="AD311" i="2"/>
  <c r="AF311" i="2" s="1"/>
  <c r="G311" i="2"/>
  <c r="Q311" i="2" l="1"/>
  <c r="L311" i="2"/>
  <c r="D312" i="2" l="1"/>
  <c r="J312" i="2"/>
  <c r="I312" i="2" l="1"/>
  <c r="E312" i="2"/>
  <c r="F312" i="2" s="1"/>
  <c r="H312" i="2"/>
  <c r="K312" i="2" l="1"/>
  <c r="AG312" i="2" s="1"/>
  <c r="AD312" i="2"/>
  <c r="AF312" i="2" s="1"/>
  <c r="G312" i="2"/>
  <c r="Q312" i="2" l="1"/>
  <c r="L312" i="2"/>
  <c r="D313" i="2" l="1"/>
  <c r="J313" i="2"/>
  <c r="I313" i="2" l="1"/>
  <c r="H313" i="2"/>
  <c r="E313" i="2"/>
  <c r="F313" i="2" s="1"/>
  <c r="K313" i="2" l="1"/>
  <c r="AG313" i="2" s="1"/>
  <c r="AD313" i="2"/>
  <c r="AF313" i="2" s="1"/>
  <c r="G313" i="2"/>
  <c r="Q313" i="2" l="1"/>
  <c r="L313" i="2"/>
  <c r="J314" i="2" l="1"/>
  <c r="D314" i="2"/>
  <c r="E314" i="2" l="1"/>
  <c r="F314" i="2" s="1"/>
  <c r="I314" i="2"/>
  <c r="H314" i="2"/>
  <c r="AD314" i="2" l="1"/>
  <c r="AF314" i="2" s="1"/>
  <c r="G314" i="2"/>
  <c r="K314" i="2"/>
  <c r="AG314" i="2" s="1"/>
  <c r="Q314" i="2" l="1"/>
  <c r="L314" i="2"/>
  <c r="J315" i="2" l="1"/>
  <c r="D315" i="2"/>
  <c r="H315" i="2" l="1"/>
  <c r="E315" i="2"/>
  <c r="F315" i="2" s="1"/>
  <c r="I315" i="2"/>
  <c r="K315" i="2" l="1"/>
  <c r="AG315" i="2" s="1"/>
  <c r="AD315" i="2"/>
  <c r="AF315" i="2" s="1"/>
  <c r="G315" i="2"/>
  <c r="Q315" i="2" l="1"/>
  <c r="L315" i="2"/>
  <c r="D316" i="2" l="1"/>
  <c r="J316" i="2"/>
  <c r="E316" i="2" l="1"/>
  <c r="F316" i="2" s="1"/>
  <c r="I316" i="2"/>
  <c r="H316" i="2"/>
  <c r="K316" i="2" l="1"/>
  <c r="AG316" i="2" s="1"/>
  <c r="AD316" i="2"/>
  <c r="AF316" i="2" s="1"/>
  <c r="G316" i="2"/>
  <c r="Q316" i="2" l="1"/>
  <c r="L316" i="2"/>
  <c r="J317" i="2" l="1"/>
  <c r="D317" i="2"/>
  <c r="I317" i="2" l="1"/>
  <c r="H317" i="2"/>
  <c r="E317" i="2"/>
  <c r="F317" i="2" s="1"/>
  <c r="K317" i="2" l="1"/>
  <c r="AG317" i="2" s="1"/>
  <c r="AD317" i="2"/>
  <c r="AF317" i="2" s="1"/>
  <c r="G317" i="2"/>
  <c r="Q317" i="2" l="1"/>
  <c r="L317" i="2"/>
  <c r="D318" i="2" l="1"/>
  <c r="J318" i="2"/>
  <c r="I318" i="2" l="1"/>
  <c r="H318" i="2"/>
  <c r="E318" i="2"/>
  <c r="F318" i="2" s="1"/>
  <c r="K318" i="2" l="1"/>
  <c r="AG318" i="2" s="1"/>
  <c r="AD318" i="2"/>
  <c r="AF318" i="2" s="1"/>
  <c r="G318" i="2"/>
  <c r="Q318" i="2" l="1"/>
  <c r="L318" i="2"/>
  <c r="D319" i="2" l="1"/>
  <c r="J319" i="2"/>
  <c r="H319" i="2" l="1"/>
  <c r="I319" i="2"/>
  <c r="E319" i="2"/>
  <c r="F319" i="2" s="1"/>
  <c r="K319" i="2" l="1"/>
  <c r="AG319" i="2" s="1"/>
  <c r="AD319" i="2"/>
  <c r="AF319" i="2" s="1"/>
  <c r="G319" i="2"/>
  <c r="Q319" i="2" l="1"/>
  <c r="L319" i="2"/>
  <c r="D320" i="2" l="1"/>
  <c r="J320" i="2"/>
  <c r="I320" i="2" l="1"/>
  <c r="E320" i="2"/>
  <c r="F320" i="2" s="1"/>
  <c r="H320" i="2"/>
  <c r="K320" i="2" l="1"/>
  <c r="AG320" i="2" s="1"/>
  <c r="AD320" i="2"/>
  <c r="AF320" i="2" s="1"/>
  <c r="G320" i="2"/>
  <c r="Q320" i="2" l="1"/>
  <c r="L320" i="2"/>
  <c r="J321" i="2" l="1"/>
  <c r="D321" i="2"/>
  <c r="I321" i="2" l="1"/>
  <c r="H321" i="2"/>
  <c r="E321" i="2"/>
  <c r="F321" i="2" s="1"/>
  <c r="K321" i="2" l="1"/>
  <c r="AG321" i="2" s="1"/>
  <c r="AD321" i="2"/>
  <c r="AF321" i="2" s="1"/>
  <c r="G321" i="2"/>
  <c r="Q321" i="2" l="1"/>
  <c r="L321" i="2"/>
  <c r="D322" i="2" l="1"/>
  <c r="J322" i="2"/>
  <c r="I322" i="2" l="1"/>
  <c r="E322" i="2"/>
  <c r="F322" i="2" s="1"/>
  <c r="H322" i="2"/>
  <c r="K322" i="2" l="1"/>
  <c r="AG322" i="2" s="1"/>
  <c r="AD322" i="2"/>
  <c r="AF322" i="2" s="1"/>
  <c r="G322" i="2"/>
  <c r="Q322" i="2" l="1"/>
  <c r="L322" i="2"/>
  <c r="J323" i="2" l="1"/>
  <c r="D323" i="2"/>
  <c r="H323" i="2" l="1"/>
  <c r="E323" i="2"/>
  <c r="F323" i="2" s="1"/>
  <c r="I323" i="2"/>
  <c r="K323" i="2" l="1"/>
  <c r="AG323" i="2" s="1"/>
  <c r="AD323" i="2"/>
  <c r="AF323" i="2" s="1"/>
  <c r="G323" i="2"/>
  <c r="Q323" i="2" l="1"/>
  <c r="L323" i="2"/>
  <c r="D324" i="2" l="1"/>
  <c r="J324" i="2"/>
  <c r="E324" i="2" l="1"/>
  <c r="F324" i="2" s="1"/>
  <c r="H324" i="2"/>
  <c r="I324" i="2"/>
  <c r="K324" i="2" l="1"/>
  <c r="AG324" i="2" s="1"/>
  <c r="AD324" i="2"/>
  <c r="AF324" i="2" s="1"/>
  <c r="G324" i="2"/>
  <c r="Q324" i="2" l="1"/>
  <c r="L324" i="2"/>
  <c r="J325" i="2" l="1"/>
  <c r="D325" i="2"/>
  <c r="E325" i="2" l="1"/>
  <c r="F325" i="2" s="1"/>
  <c r="I325" i="2"/>
  <c r="H325" i="2"/>
  <c r="K325" i="2" l="1"/>
  <c r="AG325" i="2" s="1"/>
  <c r="AD325" i="2"/>
  <c r="AF325" i="2" s="1"/>
  <c r="G325" i="2"/>
  <c r="Q325" i="2" l="1"/>
  <c r="L325" i="2"/>
  <c r="J326" i="2" l="1"/>
  <c r="D326" i="2"/>
  <c r="E326" i="2" l="1"/>
  <c r="F326" i="2" s="1"/>
  <c r="H326" i="2"/>
  <c r="I326" i="2"/>
  <c r="AD326" i="2" l="1"/>
  <c r="AF326" i="2" s="1"/>
  <c r="G326" i="2"/>
  <c r="K326" i="2"/>
  <c r="AG326" i="2" s="1"/>
  <c r="Q326" i="2" l="1"/>
  <c r="L326" i="2"/>
  <c r="D327" i="2" l="1"/>
  <c r="J327" i="2"/>
  <c r="H327" i="2" l="1"/>
  <c r="E327" i="2"/>
  <c r="F327" i="2" s="1"/>
  <c r="I327" i="2"/>
  <c r="K327" i="2" l="1"/>
  <c r="AG327" i="2" s="1"/>
  <c r="AD327" i="2"/>
  <c r="AF327" i="2" s="1"/>
  <c r="G327" i="2"/>
  <c r="Q327" i="2" l="1"/>
  <c r="L327" i="2"/>
  <c r="J328" i="2" l="1"/>
  <c r="D328" i="2"/>
  <c r="I328" i="2" l="1"/>
  <c r="E328" i="2"/>
  <c r="F328" i="2" s="1"/>
  <c r="H328" i="2"/>
  <c r="AD328" i="2" l="1"/>
  <c r="AF328" i="2" s="1"/>
  <c r="G328" i="2"/>
  <c r="K328" i="2"/>
  <c r="AG328" i="2" s="1"/>
  <c r="Q328" i="2" l="1"/>
  <c r="L328" i="2"/>
  <c r="J329" i="2" l="1"/>
  <c r="D329" i="2"/>
  <c r="I329" i="2" l="1"/>
  <c r="H329" i="2"/>
  <c r="E329" i="2"/>
  <c r="F329" i="2" s="1"/>
  <c r="K329" i="2" l="1"/>
  <c r="AG329" i="2" s="1"/>
  <c r="AD329" i="2"/>
  <c r="AF329" i="2" s="1"/>
  <c r="G329" i="2"/>
  <c r="Q329" i="2" l="1"/>
  <c r="L329" i="2"/>
  <c r="D330" i="2" l="1"/>
  <c r="J330" i="2"/>
  <c r="E330" i="2" l="1"/>
  <c r="F330" i="2" s="1"/>
  <c r="I330" i="2"/>
  <c r="H330" i="2"/>
  <c r="K330" i="2" l="1"/>
  <c r="AG330" i="2" s="1"/>
  <c r="AD330" i="2"/>
  <c r="AF330" i="2" s="1"/>
  <c r="G330" i="2"/>
  <c r="Q330" i="2" l="1"/>
  <c r="L330" i="2"/>
  <c r="J331" i="2" l="1"/>
  <c r="D331" i="2"/>
  <c r="I331" i="2" l="1"/>
  <c r="H331" i="2"/>
  <c r="E331" i="2"/>
  <c r="F331" i="2" s="1"/>
  <c r="K331" i="2" l="1"/>
  <c r="AG331" i="2" s="1"/>
  <c r="AD331" i="2"/>
  <c r="AF331" i="2" s="1"/>
  <c r="G331" i="2"/>
  <c r="Q331" i="2" l="1"/>
  <c r="L331" i="2"/>
  <c r="J332" i="2" l="1"/>
  <c r="D332" i="2"/>
  <c r="H332" i="2" l="1"/>
  <c r="I332" i="2"/>
  <c r="E332" i="2"/>
  <c r="F332" i="2" s="1"/>
  <c r="K332" i="2" l="1"/>
  <c r="AG332" i="2" s="1"/>
  <c r="AD332" i="2"/>
  <c r="AF332" i="2" s="1"/>
  <c r="G332" i="2"/>
  <c r="Q332" i="2" l="1"/>
  <c r="L332" i="2"/>
  <c r="J333" i="2" l="1"/>
  <c r="D333" i="2"/>
  <c r="I333" i="2" l="1"/>
  <c r="H333" i="2"/>
  <c r="E333" i="2"/>
  <c r="F333" i="2" s="1"/>
  <c r="K333" i="2" l="1"/>
  <c r="AG333" i="2" s="1"/>
  <c r="AD333" i="2"/>
  <c r="AF333" i="2" s="1"/>
  <c r="G333" i="2"/>
  <c r="Q333" i="2" l="1"/>
  <c r="L333" i="2"/>
  <c r="J334" i="2" l="1"/>
  <c r="D334" i="2"/>
  <c r="E334" i="2" l="1"/>
  <c r="F334" i="2" s="1"/>
  <c r="H334" i="2"/>
  <c r="I334" i="2"/>
  <c r="K334" i="2" l="1"/>
  <c r="AG334" i="2" s="1"/>
  <c r="AD334" i="2"/>
  <c r="AF334" i="2" s="1"/>
  <c r="G334" i="2"/>
  <c r="Q334" i="2" l="1"/>
  <c r="L334" i="2"/>
  <c r="D335" i="2" l="1"/>
  <c r="J335" i="2"/>
  <c r="H335" i="2" l="1"/>
  <c r="I335" i="2"/>
  <c r="E335" i="2"/>
  <c r="F335" i="2" s="1"/>
  <c r="K335" i="2" l="1"/>
  <c r="AG335" i="2" s="1"/>
  <c r="AD335" i="2"/>
  <c r="AF335" i="2" s="1"/>
  <c r="G335" i="2"/>
  <c r="Q335" i="2" l="1"/>
  <c r="L335" i="2"/>
  <c r="D336" i="2" l="1"/>
  <c r="J336" i="2"/>
  <c r="H336" i="2" l="1"/>
  <c r="E336" i="2"/>
  <c r="F336" i="2" s="1"/>
  <c r="I336" i="2"/>
  <c r="K336" i="2" l="1"/>
  <c r="AG336" i="2" s="1"/>
  <c r="AD336" i="2"/>
  <c r="AF336" i="2" s="1"/>
  <c r="G336" i="2"/>
  <c r="Q336" i="2" l="1"/>
  <c r="L336" i="2"/>
  <c r="J337" i="2" l="1"/>
  <c r="D337" i="2"/>
  <c r="I337" i="2" l="1"/>
  <c r="H337" i="2"/>
  <c r="E337" i="2"/>
  <c r="F337" i="2" s="1"/>
  <c r="K337" i="2" l="1"/>
  <c r="AG337" i="2" s="1"/>
  <c r="AD337" i="2"/>
  <c r="AF337" i="2" s="1"/>
  <c r="G337" i="2"/>
  <c r="Q337" i="2" l="1"/>
  <c r="L337" i="2"/>
  <c r="J338" i="2" l="1"/>
  <c r="D338" i="2"/>
  <c r="E338" i="2" l="1"/>
  <c r="F338" i="2" s="1"/>
  <c r="I338" i="2"/>
  <c r="H338" i="2"/>
  <c r="K338" i="2" l="1"/>
  <c r="AG338" i="2" s="1"/>
  <c r="AD338" i="2"/>
  <c r="AF338" i="2" s="1"/>
  <c r="G338" i="2"/>
  <c r="Q338" i="2" l="1"/>
  <c r="L338" i="2"/>
  <c r="D339" i="2" l="1"/>
  <c r="J339" i="2"/>
  <c r="H339" i="2" l="1"/>
  <c r="I339" i="2"/>
  <c r="E339" i="2"/>
  <c r="F339" i="2" s="1"/>
  <c r="K339" i="2" l="1"/>
  <c r="AG339" i="2" s="1"/>
  <c r="AD339" i="2"/>
  <c r="AF339" i="2" s="1"/>
  <c r="G339" i="2"/>
  <c r="Q339" i="2" l="1"/>
  <c r="L339" i="2"/>
  <c r="D340" i="2" l="1"/>
  <c r="J340" i="2"/>
  <c r="H340" i="2" l="1"/>
  <c r="E340" i="2"/>
  <c r="F340" i="2" s="1"/>
  <c r="I340" i="2"/>
  <c r="K340" i="2" l="1"/>
  <c r="AG340" i="2" s="1"/>
  <c r="AD340" i="2"/>
  <c r="AF340" i="2" s="1"/>
  <c r="G340" i="2"/>
  <c r="Q340" i="2" l="1"/>
  <c r="L340" i="2"/>
  <c r="J341" i="2" l="1"/>
  <c r="D341" i="2"/>
  <c r="I341" i="2" l="1"/>
  <c r="H341" i="2"/>
  <c r="E341" i="2"/>
  <c r="F341" i="2" s="1"/>
  <c r="K341" i="2" l="1"/>
  <c r="AG341" i="2" s="1"/>
  <c r="AD341" i="2"/>
  <c r="AF341" i="2" s="1"/>
  <c r="G341" i="2"/>
  <c r="Q341" i="2" l="1"/>
  <c r="L341" i="2"/>
  <c r="D342" i="2" l="1"/>
  <c r="J342" i="2"/>
  <c r="H342" i="2" l="1"/>
  <c r="I342" i="2"/>
  <c r="E342" i="2"/>
  <c r="F342" i="2" s="1"/>
  <c r="K342" i="2" l="1"/>
  <c r="AG342" i="2" s="1"/>
  <c r="AD342" i="2"/>
  <c r="AF342" i="2" s="1"/>
  <c r="G342" i="2"/>
  <c r="Q342" i="2" l="1"/>
  <c r="L342" i="2"/>
  <c r="D343" i="2" l="1"/>
  <c r="J343" i="2"/>
  <c r="H343" i="2" l="1"/>
  <c r="I343" i="2"/>
  <c r="E343" i="2"/>
  <c r="F343" i="2" s="1"/>
  <c r="K343" i="2" l="1"/>
  <c r="AG343" i="2" s="1"/>
  <c r="AD343" i="2"/>
  <c r="AF343" i="2" s="1"/>
  <c r="G343" i="2"/>
  <c r="Q343" i="2" l="1"/>
  <c r="L343" i="2"/>
  <c r="J344" i="2" l="1"/>
  <c r="D344" i="2"/>
  <c r="H344" i="2" l="1"/>
  <c r="E344" i="2"/>
  <c r="F344" i="2" s="1"/>
  <c r="I344" i="2"/>
  <c r="K344" i="2" l="1"/>
  <c r="AG344" i="2" s="1"/>
  <c r="AD344" i="2"/>
  <c r="AF344" i="2" s="1"/>
  <c r="G344" i="2"/>
  <c r="Q344" i="2" l="1"/>
  <c r="L344" i="2"/>
  <c r="J345" i="2" l="1"/>
  <c r="D345" i="2"/>
  <c r="I345" i="2" l="1"/>
  <c r="H345" i="2"/>
  <c r="E345" i="2"/>
  <c r="F345" i="2" s="1"/>
  <c r="K345" i="2" l="1"/>
  <c r="AG345" i="2" s="1"/>
  <c r="AD345" i="2"/>
  <c r="AF345" i="2" s="1"/>
  <c r="G345" i="2"/>
  <c r="Q345" i="2" l="1"/>
  <c r="L345" i="2"/>
  <c r="D346" i="2" l="1"/>
  <c r="J346" i="2"/>
  <c r="I346" i="2" l="1"/>
  <c r="H346" i="2"/>
  <c r="E346" i="2"/>
  <c r="F346" i="2" s="1"/>
  <c r="K346" i="2" l="1"/>
  <c r="AG346" i="2" s="1"/>
  <c r="AD346" i="2"/>
  <c r="AF346" i="2" s="1"/>
  <c r="G346" i="2"/>
  <c r="Q346" i="2" l="1"/>
  <c r="L346" i="2"/>
  <c r="D347" i="2" l="1"/>
  <c r="J347" i="2"/>
  <c r="H347" i="2" l="1"/>
  <c r="I347" i="2"/>
  <c r="E347" i="2"/>
  <c r="F347" i="2" s="1"/>
  <c r="K347" i="2" l="1"/>
  <c r="AG347" i="2" s="1"/>
  <c r="AD347" i="2"/>
  <c r="AF347" i="2" s="1"/>
  <c r="G347" i="2"/>
  <c r="Q347" i="2" l="1"/>
  <c r="L347" i="2"/>
  <c r="D348" i="2" l="1"/>
  <c r="J348" i="2"/>
  <c r="H348" i="2" l="1"/>
  <c r="I348" i="2"/>
  <c r="E348" i="2"/>
  <c r="F348" i="2" s="1"/>
  <c r="K348" i="2" l="1"/>
  <c r="AG348" i="2" s="1"/>
  <c r="AD348" i="2"/>
  <c r="AF348" i="2" s="1"/>
  <c r="G348" i="2"/>
  <c r="Q348" i="2" l="1"/>
  <c r="L348" i="2"/>
  <c r="J349" i="2" l="1"/>
  <c r="D349" i="2"/>
  <c r="I349" i="2" l="1"/>
  <c r="H349" i="2"/>
  <c r="E349" i="2"/>
  <c r="F349" i="2" s="1"/>
  <c r="K349" i="2" l="1"/>
  <c r="AG349" i="2" s="1"/>
  <c r="AD349" i="2"/>
  <c r="AF349" i="2" s="1"/>
  <c r="G349" i="2"/>
  <c r="Q349" i="2" l="1"/>
  <c r="L349" i="2"/>
  <c r="D350" i="2" l="1"/>
  <c r="J350" i="2"/>
  <c r="H350" i="2" l="1"/>
  <c r="I350" i="2"/>
  <c r="E350" i="2"/>
  <c r="F350" i="2" s="1"/>
  <c r="K350" i="2" l="1"/>
  <c r="AG350" i="2" s="1"/>
  <c r="AD350" i="2"/>
  <c r="AF350" i="2" s="1"/>
  <c r="G350" i="2"/>
  <c r="Q350" i="2" l="1"/>
  <c r="L350" i="2"/>
  <c r="D351" i="2" l="1"/>
  <c r="J351" i="2"/>
  <c r="I351" i="2" l="1"/>
  <c r="H351" i="2"/>
  <c r="E351" i="2"/>
  <c r="F351" i="2" s="1"/>
  <c r="K351" i="2" l="1"/>
  <c r="AG351" i="2" s="1"/>
  <c r="AD351" i="2"/>
  <c r="AF351" i="2" s="1"/>
  <c r="G351" i="2"/>
  <c r="Q351" i="2" l="1"/>
  <c r="L351" i="2"/>
  <c r="D352" i="2" l="1"/>
  <c r="J352" i="2"/>
  <c r="E352" i="2" l="1"/>
  <c r="F352" i="2" s="1"/>
  <c r="H352" i="2"/>
  <c r="I352" i="2"/>
  <c r="K352" i="2" l="1"/>
  <c r="AG352" i="2" s="1"/>
  <c r="AD352" i="2"/>
  <c r="AF352" i="2" s="1"/>
  <c r="G352" i="2"/>
  <c r="Q352" i="2" l="1"/>
  <c r="L352" i="2"/>
  <c r="J353" i="2" l="1"/>
  <c r="D353" i="2"/>
  <c r="I353" i="2" l="1"/>
  <c r="H353" i="2"/>
  <c r="E353" i="2"/>
  <c r="F353" i="2" s="1"/>
  <c r="K353" i="2" l="1"/>
  <c r="AG353" i="2" s="1"/>
  <c r="AD353" i="2"/>
  <c r="AF353" i="2" s="1"/>
  <c r="G353" i="2"/>
  <c r="Q353" i="2" l="1"/>
  <c r="L353" i="2"/>
  <c r="J354" i="2" l="1"/>
  <c r="D354" i="2"/>
  <c r="I354" i="2" l="1"/>
  <c r="E354" i="2"/>
  <c r="F354" i="2" s="1"/>
  <c r="H354" i="2"/>
  <c r="K354" i="2" l="1"/>
  <c r="AG354" i="2" s="1"/>
  <c r="AD354" i="2"/>
  <c r="AF354" i="2" s="1"/>
  <c r="G354" i="2"/>
  <c r="Q354" i="2" l="1"/>
  <c r="L354" i="2"/>
  <c r="D355" i="2" l="1"/>
  <c r="J355" i="2"/>
  <c r="H355" i="2" l="1"/>
  <c r="I355" i="2"/>
  <c r="E355" i="2"/>
  <c r="F355" i="2" s="1"/>
  <c r="K355" i="2" l="1"/>
  <c r="AG355" i="2" s="1"/>
  <c r="AD355" i="2"/>
  <c r="AF355" i="2" s="1"/>
  <c r="G355" i="2"/>
  <c r="Q355" i="2" l="1"/>
  <c r="L355" i="2"/>
  <c r="D356" i="2" l="1"/>
  <c r="J356" i="2"/>
  <c r="I356" i="2" l="1"/>
  <c r="H356" i="2"/>
  <c r="E356" i="2"/>
  <c r="F356" i="2" s="1"/>
  <c r="K356" i="2" l="1"/>
  <c r="AG356" i="2" s="1"/>
  <c r="AD356" i="2"/>
  <c r="AF356" i="2" s="1"/>
  <c r="G356" i="2"/>
  <c r="Q356" i="2" l="1"/>
  <c r="L356" i="2"/>
  <c r="J357" i="2" l="1"/>
  <c r="D357" i="2"/>
  <c r="I357" i="2" l="1"/>
  <c r="H357" i="2"/>
  <c r="E357" i="2"/>
  <c r="F357" i="2" s="1"/>
  <c r="K357" i="2" l="1"/>
  <c r="AG357" i="2" s="1"/>
  <c r="AD357" i="2"/>
  <c r="AF357" i="2" s="1"/>
  <c r="G357" i="2"/>
  <c r="Q357" i="2" l="1"/>
  <c r="L357" i="2"/>
  <c r="D358" i="2" l="1"/>
  <c r="J358" i="2"/>
  <c r="H358" i="2" l="1"/>
  <c r="E358" i="2"/>
  <c r="F358" i="2" s="1"/>
  <c r="I358" i="2"/>
  <c r="K358" i="2" l="1"/>
  <c r="AG358" i="2" s="1"/>
  <c r="AD358" i="2"/>
  <c r="AF358" i="2" s="1"/>
  <c r="G358" i="2"/>
  <c r="Q358" i="2" l="1"/>
  <c r="L358" i="2"/>
  <c r="D359" i="2" l="1"/>
  <c r="J359" i="2"/>
  <c r="H359" i="2" l="1"/>
  <c r="E359" i="2"/>
  <c r="F359" i="2" s="1"/>
  <c r="I359" i="2"/>
  <c r="K359" i="2" l="1"/>
  <c r="AG359" i="2" s="1"/>
  <c r="AD359" i="2"/>
  <c r="AF359" i="2" s="1"/>
  <c r="G359" i="2"/>
  <c r="Q359" i="2" l="1"/>
  <c r="L359" i="2"/>
  <c r="J360" i="2" l="1"/>
  <c r="D360" i="2"/>
  <c r="H360" i="2" l="1"/>
  <c r="E360" i="2"/>
  <c r="F360" i="2" s="1"/>
  <c r="I360" i="2"/>
  <c r="K360" i="2" l="1"/>
  <c r="AG360" i="2" s="1"/>
  <c r="AD360" i="2"/>
  <c r="G360" i="2"/>
  <c r="Q360" i="2" l="1"/>
  <c r="L360" i="2"/>
  <c r="AF360" i="2"/>
  <c r="J361" i="2" l="1"/>
  <c r="D361" i="2"/>
  <c r="H361" i="2" l="1"/>
  <c r="I361" i="2"/>
  <c r="E361" i="2"/>
  <c r="F361" i="2" s="1"/>
  <c r="K361" i="2" l="1"/>
  <c r="AG361" i="2" s="1"/>
  <c r="AD361" i="2"/>
  <c r="G361" i="2"/>
  <c r="Q361" i="2" l="1"/>
  <c r="L361" i="2"/>
  <c r="AF361" i="2"/>
  <c r="J362" i="2" l="1"/>
  <c r="D362" i="2"/>
  <c r="H362" i="2" l="1"/>
  <c r="I362" i="2"/>
  <c r="E362" i="2"/>
  <c r="F362" i="2" s="1"/>
  <c r="K362" i="2" l="1"/>
  <c r="AG362" i="2" s="1"/>
  <c r="AD362" i="2"/>
  <c r="G362" i="2"/>
  <c r="Q362" i="2" l="1"/>
  <c r="L362" i="2"/>
  <c r="AF362" i="2"/>
  <c r="J363" i="2" l="1"/>
  <c r="D363" i="2"/>
  <c r="E363" i="2" l="1"/>
  <c r="F363" i="2" s="1"/>
  <c r="I363" i="2"/>
  <c r="H363" i="2"/>
  <c r="K363" i="2" l="1"/>
  <c r="AG363" i="2" s="1"/>
  <c r="AD363" i="2"/>
  <c r="G363" i="2"/>
  <c r="Q363" i="2" l="1"/>
  <c r="L363" i="2"/>
  <c r="AF363" i="2"/>
  <c r="J364" i="2" l="1"/>
  <c r="D364" i="2"/>
  <c r="E364" i="2" l="1"/>
  <c r="F364" i="2" s="1"/>
  <c r="I364" i="2"/>
  <c r="H364" i="2"/>
  <c r="K364" i="2" l="1"/>
  <c r="AG364" i="2" s="1"/>
  <c r="AD364" i="2"/>
  <c r="AF364" i="2" s="1"/>
  <c r="G364" i="2"/>
  <c r="Q364" i="2" l="1"/>
  <c r="L364" i="2"/>
  <c r="J365" i="2" l="1"/>
  <c r="D365" i="2"/>
  <c r="I365" i="2" l="1"/>
  <c r="E365" i="2"/>
  <c r="F365" i="2" s="1"/>
  <c r="H365" i="2"/>
  <c r="K365" i="2" l="1"/>
  <c r="AG365" i="2" s="1"/>
  <c r="AD365" i="2"/>
  <c r="AF365" i="2" s="1"/>
  <c r="G365" i="2"/>
  <c r="Q365" i="2" l="1"/>
  <c r="L365" i="2"/>
  <c r="J366" i="2" l="1"/>
  <c r="D366" i="2"/>
  <c r="H366" i="2" l="1"/>
  <c r="I366" i="2"/>
  <c r="E366" i="2"/>
  <c r="F366" i="2" s="1"/>
  <c r="K366" i="2" l="1"/>
  <c r="AG366" i="2" s="1"/>
  <c r="AD366" i="2"/>
  <c r="AF366" i="2" s="1"/>
  <c r="G366" i="2"/>
  <c r="Q366" i="2" l="1"/>
  <c r="L366" i="2"/>
  <c r="J367" i="2" l="1"/>
  <c r="D367" i="2"/>
  <c r="H367" i="2" l="1"/>
  <c r="E367" i="2"/>
  <c r="F367" i="2" s="1"/>
  <c r="I367" i="2"/>
  <c r="K367" i="2" l="1"/>
  <c r="AG367" i="2" s="1"/>
  <c r="AD367" i="2"/>
  <c r="AF367" i="2" s="1"/>
  <c r="G367" i="2"/>
  <c r="Q367" i="2" l="1"/>
  <c r="L367" i="2"/>
  <c r="J368" i="2" l="1"/>
  <c r="D368" i="2"/>
  <c r="H368" i="2" l="1"/>
  <c r="E368" i="2"/>
  <c r="F368" i="2" s="1"/>
  <c r="I368" i="2"/>
  <c r="K368" i="2" l="1"/>
  <c r="AG368" i="2" s="1"/>
  <c r="AD368" i="2"/>
  <c r="AF368" i="2" s="1"/>
  <c r="G368" i="2"/>
  <c r="Q368" i="2" l="1"/>
  <c r="L368" i="2"/>
  <c r="J369" i="2" l="1"/>
  <c r="D369" i="2"/>
  <c r="I369" i="2" l="1"/>
  <c r="H369" i="2"/>
  <c r="E369" i="2"/>
  <c r="F369" i="2" s="1"/>
  <c r="K369" i="2" l="1"/>
  <c r="AG369" i="2" s="1"/>
  <c r="AD369" i="2"/>
  <c r="AF369" i="2" s="1"/>
  <c r="G369" i="2"/>
  <c r="Q369" i="2" l="1"/>
  <c r="L369" i="2"/>
  <c r="J370" i="2" l="1"/>
  <c r="D370" i="2"/>
  <c r="I370" i="2" l="1"/>
  <c r="H370" i="2"/>
  <c r="E370" i="2"/>
  <c r="F370" i="2" s="1"/>
  <c r="K370" i="2" l="1"/>
  <c r="AG370" i="2" s="1"/>
  <c r="AD370" i="2"/>
  <c r="AF370" i="2" s="1"/>
  <c r="G370" i="2"/>
  <c r="Q370" i="2" l="1"/>
  <c r="L370" i="2"/>
  <c r="J371" i="2" l="1"/>
  <c r="D371" i="2"/>
  <c r="H371" i="2" l="1"/>
  <c r="I371" i="2"/>
  <c r="E371" i="2"/>
  <c r="F371" i="2" s="1"/>
  <c r="K371" i="2" l="1"/>
  <c r="AG371" i="2" s="1"/>
  <c r="AD371" i="2"/>
  <c r="AF371" i="2" s="1"/>
  <c r="G371" i="2"/>
  <c r="Q371" i="2" l="1"/>
  <c r="L371" i="2"/>
  <c r="J372" i="2" l="1"/>
  <c r="D372" i="2"/>
  <c r="H372" i="2" l="1"/>
  <c r="E372" i="2"/>
  <c r="F372" i="2" s="1"/>
  <c r="I372" i="2"/>
  <c r="K372" i="2" l="1"/>
  <c r="AG372" i="2" s="1"/>
  <c r="AD372" i="2"/>
  <c r="AF372" i="2" s="1"/>
  <c r="G372" i="2"/>
  <c r="Q372" i="2" l="1"/>
  <c r="L372" i="2"/>
  <c r="J373" i="2" l="1"/>
  <c r="D373" i="2"/>
  <c r="I373" i="2" l="1"/>
  <c r="E373" i="2"/>
  <c r="F373" i="2" s="1"/>
  <c r="H373" i="2"/>
  <c r="K373" i="2" l="1"/>
  <c r="AG373" i="2" s="1"/>
  <c r="AD373" i="2"/>
  <c r="AF373" i="2" s="1"/>
  <c r="G373" i="2"/>
  <c r="Q373" i="2" l="1"/>
  <c r="L373" i="2"/>
  <c r="J374" i="2" l="1"/>
  <c r="D374" i="2"/>
  <c r="I374" i="2" l="1"/>
  <c r="H374" i="2"/>
  <c r="E374" i="2"/>
  <c r="F374" i="2" s="1"/>
  <c r="K374" i="2" l="1"/>
  <c r="AG374" i="2" s="1"/>
  <c r="AD374" i="2"/>
  <c r="AF374" i="2" s="1"/>
  <c r="G374" i="2"/>
  <c r="Q374" i="2" l="1"/>
  <c r="L374" i="2"/>
  <c r="J375" i="2" l="1"/>
  <c r="D375" i="2"/>
  <c r="H375" i="2" l="1"/>
  <c r="I375" i="2"/>
  <c r="E375" i="2"/>
  <c r="F375" i="2" s="1"/>
  <c r="K375" i="2" l="1"/>
  <c r="AG375" i="2" s="1"/>
  <c r="AD375" i="2"/>
  <c r="AF375" i="2" s="1"/>
  <c r="G375" i="2"/>
  <c r="Q375" i="2" l="1"/>
  <c r="L375" i="2"/>
  <c r="J376" i="2" l="1"/>
  <c r="D376" i="2"/>
  <c r="I376" i="2" l="1"/>
  <c r="H376" i="2"/>
  <c r="E376" i="2"/>
  <c r="F376" i="2" s="1"/>
  <c r="K376" i="2" l="1"/>
  <c r="AG376" i="2" s="1"/>
  <c r="AD376" i="2"/>
  <c r="AF376" i="2" s="1"/>
  <c r="G376" i="2"/>
  <c r="Q376" i="2" l="1"/>
  <c r="L376" i="2"/>
  <c r="D377" i="2" l="1"/>
  <c r="J377" i="2"/>
  <c r="H377" i="2" l="1"/>
  <c r="I377" i="2"/>
  <c r="E377" i="2"/>
  <c r="F377" i="2" s="1"/>
  <c r="K377" i="2" l="1"/>
  <c r="AG377" i="2" s="1"/>
  <c r="AD377" i="2"/>
  <c r="AF377" i="2" s="1"/>
  <c r="G377" i="2"/>
  <c r="Q377" i="2" l="1"/>
  <c r="L377" i="2"/>
  <c r="D378" i="2" l="1"/>
  <c r="J378" i="2"/>
  <c r="I378" i="2" l="1"/>
  <c r="H378" i="2"/>
  <c r="E378" i="2"/>
  <c r="F378" i="2" s="1"/>
  <c r="K378" i="2" l="1"/>
  <c r="AG378" i="2" s="1"/>
  <c r="AD378" i="2"/>
  <c r="AF378" i="2" s="1"/>
  <c r="G378" i="2"/>
  <c r="Q378" i="2" l="1"/>
  <c r="L378" i="2"/>
  <c r="J379" i="2" l="1"/>
  <c r="D379" i="2"/>
  <c r="E379" i="2" l="1"/>
  <c r="F379" i="2" s="1"/>
  <c r="I379" i="2"/>
  <c r="H379" i="2"/>
  <c r="K379" i="2" l="1"/>
  <c r="AG379" i="2" s="1"/>
  <c r="AD379" i="2"/>
  <c r="AF379" i="2" s="1"/>
  <c r="G379" i="2"/>
  <c r="Q379" i="2" l="1"/>
  <c r="L379" i="2"/>
  <c r="J380" i="2" l="1"/>
  <c r="D380" i="2"/>
  <c r="H380" i="2" l="1"/>
  <c r="E380" i="2"/>
  <c r="F380" i="2" s="1"/>
  <c r="I380" i="2"/>
  <c r="K380" i="2" l="1"/>
  <c r="AG380" i="2" s="1"/>
  <c r="AD380" i="2"/>
  <c r="AF380" i="2" s="1"/>
  <c r="G380" i="2"/>
  <c r="Q380" i="2" l="1"/>
  <c r="L380" i="2"/>
  <c r="J381" i="2" l="1"/>
  <c r="D381" i="2"/>
  <c r="I381" i="2" l="1"/>
  <c r="E381" i="2"/>
  <c r="F381" i="2" s="1"/>
  <c r="H381" i="2"/>
  <c r="K381" i="2" l="1"/>
  <c r="AG381" i="2" s="1"/>
  <c r="AD381" i="2"/>
  <c r="AF381" i="2" s="1"/>
  <c r="G381" i="2"/>
  <c r="Q381" i="2" l="1"/>
  <c r="L381" i="2"/>
  <c r="J382" i="2" l="1"/>
  <c r="D382" i="2"/>
  <c r="I382" i="2" l="1"/>
  <c r="H382" i="2"/>
  <c r="E382" i="2"/>
  <c r="F382" i="2" s="1"/>
  <c r="K382" i="2" l="1"/>
  <c r="AG382" i="2" s="1"/>
  <c r="AD382" i="2"/>
  <c r="AF382" i="2" s="1"/>
  <c r="G382" i="2"/>
  <c r="Q382" i="2" l="1"/>
  <c r="L382" i="2"/>
  <c r="J383" i="2" l="1"/>
  <c r="D383" i="2"/>
  <c r="E383" i="2" l="1"/>
  <c r="F383" i="2" s="1"/>
  <c r="I383" i="2"/>
  <c r="H383" i="2"/>
  <c r="K383" i="2" l="1"/>
  <c r="AG383" i="2" s="1"/>
  <c r="AD383" i="2"/>
  <c r="AF383" i="2" s="1"/>
  <c r="G383" i="2"/>
  <c r="Q383" i="2" l="1"/>
  <c r="L383" i="2"/>
  <c r="D384" i="2" l="1"/>
  <c r="J384" i="2"/>
  <c r="I384" i="2" l="1"/>
  <c r="H384" i="2"/>
  <c r="E384" i="2"/>
  <c r="F384" i="2" s="1"/>
  <c r="K384" i="2" l="1"/>
  <c r="AG384" i="2" s="1"/>
  <c r="AD384" i="2"/>
  <c r="AF384" i="2" s="1"/>
  <c r="G384" i="2"/>
  <c r="Q384" i="2" l="1"/>
  <c r="L384" i="2"/>
  <c r="J385" i="2" l="1"/>
  <c r="D385" i="2"/>
  <c r="I385" i="2" l="1"/>
  <c r="H385" i="2"/>
  <c r="E385" i="2"/>
  <c r="F385" i="2" s="1"/>
  <c r="K385" i="2" l="1"/>
  <c r="AG385" i="2" s="1"/>
  <c r="AD385" i="2"/>
  <c r="AF385" i="2" s="1"/>
  <c r="G385" i="2"/>
  <c r="Q385" i="2" l="1"/>
  <c r="L385" i="2"/>
  <c r="J386" i="2" l="1"/>
  <c r="D386" i="2"/>
  <c r="H386" i="2" l="1"/>
  <c r="I386" i="2"/>
  <c r="E386" i="2"/>
  <c r="F386" i="2" s="1"/>
  <c r="K386" i="2" l="1"/>
  <c r="AG386" i="2" s="1"/>
  <c r="AD386" i="2"/>
  <c r="AF386" i="2" s="1"/>
  <c r="G386" i="2"/>
  <c r="Q386" i="2" l="1"/>
  <c r="L386" i="2"/>
  <c r="J387" i="2" l="1"/>
  <c r="D387" i="2"/>
  <c r="H387" i="2" l="1"/>
  <c r="I387" i="2"/>
  <c r="E387" i="2"/>
  <c r="F387" i="2" s="1"/>
  <c r="K387" i="2" l="1"/>
  <c r="AG387" i="2" s="1"/>
  <c r="AD387" i="2"/>
  <c r="AF387" i="2" s="1"/>
  <c r="G387" i="2"/>
  <c r="Q387" i="2" l="1"/>
  <c r="L387" i="2"/>
  <c r="J388" i="2" l="1"/>
  <c r="D388" i="2"/>
  <c r="H388" i="2" l="1"/>
  <c r="E388" i="2"/>
  <c r="F388" i="2" s="1"/>
  <c r="I388" i="2"/>
  <c r="K388" i="2" l="1"/>
  <c r="AG388" i="2" s="1"/>
  <c r="AD388" i="2"/>
  <c r="AF388" i="2" s="1"/>
  <c r="G388" i="2"/>
  <c r="Q388" i="2" l="1"/>
  <c r="L388" i="2"/>
  <c r="J389" i="2" l="1"/>
  <c r="D389" i="2"/>
  <c r="I389" i="2" l="1"/>
  <c r="E389" i="2"/>
  <c r="F389" i="2" s="1"/>
  <c r="H389" i="2"/>
  <c r="K389" i="2" l="1"/>
  <c r="AG389" i="2" s="1"/>
  <c r="AD389" i="2"/>
  <c r="AF389" i="2" s="1"/>
  <c r="G389" i="2"/>
  <c r="Q389" i="2" l="1"/>
  <c r="L389" i="2"/>
  <c r="J390" i="2" l="1"/>
  <c r="D390" i="2"/>
  <c r="H390" i="2" l="1"/>
  <c r="I390" i="2"/>
  <c r="E390" i="2"/>
  <c r="F390" i="2" s="1"/>
  <c r="K390" i="2" l="1"/>
  <c r="AG390" i="2" s="1"/>
  <c r="AD390" i="2"/>
  <c r="AF390" i="2" s="1"/>
  <c r="G390" i="2"/>
  <c r="Q390" i="2" l="1"/>
  <c r="L390" i="2"/>
  <c r="J391" i="2" l="1"/>
  <c r="D391" i="2"/>
  <c r="H391" i="2" l="1"/>
  <c r="E391" i="2"/>
  <c r="F391" i="2" s="1"/>
  <c r="I391" i="2"/>
  <c r="K391" i="2" l="1"/>
  <c r="AG391" i="2" s="1"/>
  <c r="AD391" i="2"/>
  <c r="AF391" i="2" s="1"/>
  <c r="G391" i="2"/>
  <c r="Q391" i="2" l="1"/>
  <c r="L391" i="2"/>
  <c r="J392" i="2" l="1"/>
  <c r="D392" i="2"/>
  <c r="I392" i="2" l="1"/>
  <c r="E392" i="2"/>
  <c r="F392" i="2" s="1"/>
  <c r="H392" i="2"/>
  <c r="K392" i="2" l="1"/>
  <c r="AG392" i="2" s="1"/>
  <c r="AD392" i="2"/>
  <c r="AF392" i="2" s="1"/>
  <c r="G392" i="2"/>
  <c r="Q392" i="2" l="1"/>
  <c r="L392" i="2"/>
  <c r="J393" i="2" l="1"/>
  <c r="D393" i="2"/>
  <c r="I393" i="2" l="1"/>
  <c r="E393" i="2"/>
  <c r="F393" i="2" s="1"/>
  <c r="H393" i="2"/>
  <c r="K393" i="2" l="1"/>
  <c r="AG393" i="2" s="1"/>
  <c r="AD393" i="2"/>
  <c r="AF393" i="2" s="1"/>
  <c r="G393" i="2"/>
  <c r="Q393" i="2" l="1"/>
  <c r="L393" i="2"/>
  <c r="J394" i="2" l="1"/>
  <c r="D394" i="2"/>
  <c r="I394" i="2" l="1"/>
  <c r="H394" i="2"/>
  <c r="E394" i="2"/>
  <c r="F394" i="2" s="1"/>
  <c r="K394" i="2" l="1"/>
  <c r="AG394" i="2" s="1"/>
  <c r="AD394" i="2"/>
  <c r="AF394" i="2" s="1"/>
  <c r="G394" i="2"/>
  <c r="Q394" i="2" l="1"/>
  <c r="L394" i="2"/>
  <c r="J395" i="2" l="1"/>
  <c r="D395" i="2"/>
  <c r="E395" i="2" l="1"/>
  <c r="F395" i="2" s="1"/>
  <c r="I395" i="2"/>
  <c r="H395" i="2"/>
  <c r="K395" i="2" l="1"/>
  <c r="AG395" i="2" s="1"/>
  <c r="AD395" i="2"/>
  <c r="AF395" i="2" s="1"/>
  <c r="G395" i="2"/>
  <c r="Q395" i="2" l="1"/>
  <c r="L395" i="2"/>
  <c r="J396" i="2" l="1"/>
  <c r="D396" i="2"/>
  <c r="H396" i="2" l="1"/>
  <c r="E396" i="2"/>
  <c r="F396" i="2" s="1"/>
  <c r="I396" i="2"/>
  <c r="K396" i="2" l="1"/>
  <c r="AG396" i="2" s="1"/>
  <c r="AD396" i="2"/>
  <c r="AF396" i="2" s="1"/>
  <c r="G396" i="2"/>
  <c r="Q396" i="2" l="1"/>
  <c r="L396" i="2"/>
  <c r="J397" i="2" l="1"/>
  <c r="D397" i="2"/>
  <c r="I397" i="2" l="1"/>
  <c r="E397" i="2"/>
  <c r="F397" i="2" s="1"/>
  <c r="H397" i="2"/>
  <c r="K397" i="2" l="1"/>
  <c r="AG397" i="2" s="1"/>
  <c r="AD397" i="2"/>
  <c r="AF397" i="2" s="1"/>
  <c r="G397" i="2"/>
  <c r="Q397" i="2" l="1"/>
  <c r="L397" i="2"/>
  <c r="J398" i="2" l="1"/>
  <c r="D398" i="2"/>
  <c r="H398" i="2" l="1"/>
  <c r="I398" i="2"/>
  <c r="E398" i="2"/>
  <c r="F398" i="2" s="1"/>
  <c r="K398" i="2" l="1"/>
  <c r="AG398" i="2" s="1"/>
  <c r="AD398" i="2"/>
  <c r="AF398" i="2" s="1"/>
  <c r="G398" i="2"/>
  <c r="Q398" i="2" l="1"/>
  <c r="L398" i="2"/>
  <c r="J399" i="2" l="1"/>
  <c r="D399" i="2"/>
  <c r="H399" i="2" l="1"/>
  <c r="I399" i="2"/>
  <c r="E399" i="2"/>
  <c r="F399" i="2" s="1"/>
  <c r="K399" i="2" l="1"/>
  <c r="AG399" i="2" s="1"/>
  <c r="AD399" i="2"/>
  <c r="AF399" i="2" s="1"/>
  <c r="G399" i="2"/>
  <c r="Q399" i="2" l="1"/>
  <c r="L399" i="2"/>
  <c r="J400" i="2" l="1"/>
  <c r="D400" i="2"/>
  <c r="H400" i="2" l="1"/>
  <c r="E400" i="2"/>
  <c r="F400" i="2" s="1"/>
  <c r="I400" i="2"/>
  <c r="K400" i="2" l="1"/>
  <c r="AG400" i="2" s="1"/>
  <c r="AD400" i="2"/>
  <c r="AF400" i="2" s="1"/>
  <c r="G400" i="2"/>
  <c r="Q400" i="2" l="1"/>
  <c r="L400" i="2"/>
  <c r="J401" i="2" l="1"/>
  <c r="D401" i="2"/>
  <c r="H401" i="2" l="1"/>
  <c r="I401" i="2"/>
  <c r="E401" i="2"/>
  <c r="F401" i="2" s="1"/>
  <c r="K401" i="2" l="1"/>
  <c r="AG401" i="2" s="1"/>
  <c r="AD401" i="2"/>
  <c r="AF401" i="2" s="1"/>
  <c r="G401" i="2"/>
  <c r="Q401" i="2" l="1"/>
  <c r="L401" i="2"/>
  <c r="J402" i="2" l="1"/>
  <c r="D402" i="2"/>
  <c r="H402" i="2" l="1"/>
  <c r="I402" i="2"/>
  <c r="E402" i="2"/>
  <c r="F402" i="2" s="1"/>
  <c r="K402" i="2" l="1"/>
  <c r="AG402" i="2" s="1"/>
  <c r="AD402" i="2"/>
  <c r="AF402" i="2" s="1"/>
  <c r="G402" i="2"/>
  <c r="Q402" i="2" l="1"/>
  <c r="L402" i="2"/>
  <c r="J403" i="2" l="1"/>
  <c r="D403" i="2"/>
  <c r="H403" i="2" l="1"/>
  <c r="E403" i="2"/>
  <c r="F403" i="2" s="1"/>
  <c r="I403" i="2"/>
  <c r="K403" i="2" l="1"/>
  <c r="AG403" i="2" s="1"/>
  <c r="AD403" i="2"/>
  <c r="AF403" i="2" s="1"/>
  <c r="G403" i="2"/>
  <c r="Q403" i="2" l="1"/>
  <c r="L403" i="2"/>
  <c r="J404" i="2" l="1"/>
  <c r="D404" i="2"/>
  <c r="H404" i="2" l="1"/>
  <c r="E404" i="2"/>
  <c r="F404" i="2" s="1"/>
  <c r="I404" i="2"/>
  <c r="K404" i="2" l="1"/>
  <c r="AG404" i="2" s="1"/>
  <c r="AD404" i="2"/>
  <c r="AF404" i="2" s="1"/>
  <c r="G404" i="2"/>
  <c r="Q404" i="2" l="1"/>
  <c r="L404" i="2"/>
  <c r="J405" i="2" l="1"/>
  <c r="D405" i="2"/>
  <c r="I405" i="2" l="1"/>
  <c r="E405" i="2"/>
  <c r="F405" i="2" s="1"/>
  <c r="H405" i="2"/>
  <c r="K405" i="2" l="1"/>
  <c r="AG405" i="2" s="1"/>
  <c r="AD405" i="2"/>
  <c r="AF405" i="2" s="1"/>
  <c r="G405" i="2"/>
  <c r="Q405" i="2" l="1"/>
  <c r="L405" i="2"/>
  <c r="J406" i="2" l="1"/>
  <c r="D406" i="2"/>
  <c r="H406" i="2" l="1"/>
  <c r="I406" i="2"/>
  <c r="E406" i="2"/>
  <c r="F406" i="2" s="1"/>
  <c r="K406" i="2" l="1"/>
  <c r="AG406" i="2" s="1"/>
  <c r="AD406" i="2"/>
  <c r="AF406" i="2" s="1"/>
  <c r="G406" i="2"/>
  <c r="Q406" i="2" l="1"/>
  <c r="L406" i="2"/>
  <c r="J407" i="2" l="1"/>
  <c r="D407" i="2"/>
  <c r="H407" i="2" l="1"/>
  <c r="I407" i="2"/>
  <c r="E407" i="2"/>
  <c r="F407" i="2" s="1"/>
  <c r="K407" i="2" l="1"/>
  <c r="AG407" i="2" s="1"/>
  <c r="AD407" i="2"/>
  <c r="AF407" i="2" s="1"/>
  <c r="G407" i="2"/>
  <c r="Q407" i="2" l="1"/>
  <c r="L407" i="2"/>
  <c r="J408" i="2" l="1"/>
  <c r="D408" i="2"/>
  <c r="H408" i="2" l="1"/>
  <c r="I408" i="2"/>
  <c r="E408" i="2"/>
  <c r="F408" i="2" s="1"/>
  <c r="K408" i="2" l="1"/>
  <c r="AG408" i="2" s="1"/>
  <c r="AD408" i="2"/>
  <c r="AF408" i="2" s="1"/>
  <c r="G408" i="2"/>
  <c r="Q408" i="2" l="1"/>
  <c r="L408" i="2"/>
  <c r="J409" i="2" l="1"/>
  <c r="D409" i="2"/>
  <c r="I409" i="2" l="1"/>
  <c r="E409" i="2"/>
  <c r="F409" i="2" s="1"/>
  <c r="H409" i="2"/>
  <c r="K409" i="2" l="1"/>
  <c r="AG409" i="2" s="1"/>
  <c r="AD409" i="2"/>
  <c r="AF409" i="2" s="1"/>
  <c r="G409" i="2"/>
  <c r="Q409" i="2" l="1"/>
  <c r="L409" i="2"/>
  <c r="J410" i="2" l="1"/>
  <c r="D410" i="2"/>
  <c r="I410" i="2" l="1"/>
  <c r="H410" i="2"/>
  <c r="E410" i="2"/>
  <c r="F410" i="2" s="1"/>
  <c r="K410" i="2" l="1"/>
  <c r="AG410" i="2" s="1"/>
  <c r="AD410" i="2"/>
  <c r="AF410" i="2" s="1"/>
  <c r="G410" i="2"/>
  <c r="Q410" i="2" l="1"/>
  <c r="L410" i="2"/>
  <c r="J411" i="2" l="1"/>
  <c r="D411" i="2"/>
  <c r="E411" i="2" l="1"/>
  <c r="F411" i="2" s="1"/>
  <c r="I411" i="2"/>
  <c r="H411" i="2"/>
  <c r="K411" i="2" l="1"/>
  <c r="AG411" i="2" s="1"/>
  <c r="AD411" i="2"/>
  <c r="AF411" i="2" s="1"/>
  <c r="G411" i="2"/>
  <c r="Q411" i="2" l="1"/>
  <c r="L411" i="2"/>
  <c r="J412" i="2" l="1"/>
  <c r="D412" i="2"/>
  <c r="E412" i="2" l="1"/>
  <c r="F412" i="2" s="1"/>
  <c r="H412" i="2"/>
  <c r="I412" i="2"/>
  <c r="K412" i="2" l="1"/>
  <c r="AG412" i="2" s="1"/>
  <c r="AD412" i="2"/>
  <c r="AF412" i="2" s="1"/>
  <c r="G412" i="2"/>
  <c r="Q412" i="2" l="1"/>
  <c r="L412" i="2"/>
  <c r="J413" i="2" l="1"/>
  <c r="D413" i="2"/>
  <c r="I413" i="2" l="1"/>
  <c r="E413" i="2"/>
  <c r="F413" i="2" s="1"/>
  <c r="H413" i="2"/>
  <c r="K413" i="2" l="1"/>
  <c r="AG413" i="2" s="1"/>
  <c r="AD413" i="2"/>
  <c r="AF413" i="2" s="1"/>
  <c r="G413" i="2"/>
  <c r="Q413" i="2" l="1"/>
  <c r="L413" i="2"/>
  <c r="J414" i="2" l="1"/>
  <c r="D414" i="2"/>
  <c r="H414" i="2" l="1"/>
  <c r="I414" i="2"/>
  <c r="E414" i="2"/>
  <c r="F414" i="2" s="1"/>
  <c r="K414" i="2" l="1"/>
  <c r="AG414" i="2" s="1"/>
  <c r="AD414" i="2"/>
  <c r="AF414" i="2" s="1"/>
  <c r="G414" i="2"/>
  <c r="Q414" i="2" l="1"/>
  <c r="L414" i="2"/>
  <c r="J415" i="2" l="1"/>
  <c r="D415" i="2"/>
  <c r="E415" i="2" l="1"/>
  <c r="F415" i="2" s="1"/>
  <c r="I415" i="2"/>
  <c r="H415" i="2"/>
  <c r="K415" i="2" l="1"/>
  <c r="AG415" i="2" s="1"/>
  <c r="AD415" i="2"/>
  <c r="AF415" i="2" s="1"/>
  <c r="G415" i="2"/>
  <c r="Q415" i="2" l="1"/>
  <c r="L415" i="2"/>
  <c r="J416" i="2" l="1"/>
  <c r="D416" i="2"/>
  <c r="H416" i="2" l="1"/>
  <c r="E416" i="2"/>
  <c r="F416" i="2" s="1"/>
  <c r="I416" i="2"/>
  <c r="K416" i="2" l="1"/>
  <c r="AG416" i="2" s="1"/>
  <c r="AD416" i="2"/>
  <c r="AF416" i="2" s="1"/>
  <c r="G416" i="2"/>
  <c r="Q416" i="2" l="1"/>
  <c r="L416" i="2"/>
  <c r="J417" i="2" l="1"/>
  <c r="D417" i="2"/>
  <c r="H417" i="2" l="1"/>
  <c r="I417" i="2"/>
  <c r="E417" i="2"/>
  <c r="F417" i="2" s="1"/>
  <c r="K417" i="2" l="1"/>
  <c r="AG417" i="2" s="1"/>
  <c r="AD417" i="2"/>
  <c r="AF417" i="2" s="1"/>
  <c r="G417" i="2"/>
  <c r="Q417" i="2" l="1"/>
  <c r="L417" i="2"/>
  <c r="J418" i="2" l="1"/>
  <c r="D418" i="2"/>
  <c r="I418" i="2" l="1"/>
  <c r="H418" i="2"/>
  <c r="E418" i="2"/>
  <c r="F418" i="2" s="1"/>
  <c r="K418" i="2" l="1"/>
  <c r="AG418" i="2" s="1"/>
  <c r="AD418" i="2"/>
  <c r="AF418" i="2" s="1"/>
  <c r="G418" i="2"/>
  <c r="Q418" i="2" l="1"/>
  <c r="L418" i="2"/>
  <c r="J419" i="2" l="1"/>
  <c r="J420" i="2" s="1"/>
  <c r="D419" i="2"/>
  <c r="H419" i="2" l="1"/>
  <c r="E419" i="2"/>
  <c r="F419" i="2" s="1"/>
  <c r="I419" i="2"/>
  <c r="I420" i="2" s="1"/>
  <c r="K419" i="2" l="1"/>
  <c r="AG419" i="2" s="1"/>
  <c r="AD419" i="2"/>
  <c r="AD421" i="2" s="1"/>
  <c r="AD422" i="2" s="1"/>
  <c r="G419" i="2"/>
  <c r="Q419" i="2" l="1"/>
  <c r="R44" i="2" s="1"/>
  <c r="S44" i="2" s="1"/>
  <c r="G420" i="2"/>
  <c r="L419" i="2"/>
  <c r="AF419" i="2"/>
  <c r="AD426" i="2"/>
  <c r="J20" i="2" l="1"/>
  <c r="K20" i="2" s="1"/>
  <c r="K19" i="2"/>
  <c r="AF59" i="2" l="1"/>
  <c r="AG59" i="2" s="1"/>
  <c r="AG421" i="2" s="1"/>
  <c r="K59" i="2"/>
  <c r="AF421" i="2" l="1"/>
  <c r="AF424" i="2" s="1"/>
  <c r="AF426" i="2" s="1"/>
  <c r="AG424" i="2"/>
  <c r="J35" i="2" s="1"/>
  <c r="AG422" i="2"/>
  <c r="AF422" i="2" l="1"/>
</calcChain>
</file>

<file path=xl/sharedStrings.xml><?xml version="1.0" encoding="utf-8"?>
<sst xmlns="http://schemas.openxmlformats.org/spreadsheetml/2006/main" count="1130" uniqueCount="404">
  <si>
    <t>Produto</t>
  </si>
  <si>
    <t>Tipo Imóvel</t>
  </si>
  <si>
    <t>Apartamento</t>
  </si>
  <si>
    <t>Valor do Crédito Bruto</t>
  </si>
  <si>
    <t>Valor Estimado do Imóvel</t>
  </si>
  <si>
    <t>LTV</t>
  </si>
  <si>
    <t>Prazo</t>
  </si>
  <si>
    <t>Sistema Amortização</t>
  </si>
  <si>
    <t>Cliente</t>
  </si>
  <si>
    <t>Nascimento</t>
  </si>
  <si>
    <t>Renda Necessária</t>
  </si>
  <si>
    <t xml:space="preserve">&lt; Insira dados do cleinte mais velho&gt; </t>
  </si>
  <si>
    <t>Valores da Operação - Aproximados</t>
  </si>
  <si>
    <t>%</t>
  </si>
  <si>
    <t>Valor Principal do Crédito</t>
  </si>
  <si>
    <t>---</t>
  </si>
  <si>
    <t>Valor Estimado do Valor do Imóvel</t>
  </si>
  <si>
    <t>Valor Total das Despesas acessórias</t>
  </si>
  <si>
    <r>
      <t>Valor Total do IOF no ato da liberação do Crédito</t>
    </r>
    <r>
      <rPr>
        <sz val="10"/>
        <color theme="1"/>
        <rFont val="Times New Roman"/>
        <family val="1"/>
      </rPr>
      <t xml:space="preserve"> (Sem IOF para operaçõees contratadas até 3 de julho de 2020)</t>
    </r>
  </si>
  <si>
    <t>Valor Liquido a ser Liberado ao Emitente ou Vendedor</t>
  </si>
  <si>
    <t>Prazo da Operação</t>
  </si>
  <si>
    <t>Taxa Efetiva - Anual</t>
  </si>
  <si>
    <t>Taxa Efetiva - Mensal</t>
  </si>
  <si>
    <t>Taxa Nominal - Anual</t>
  </si>
  <si>
    <t>Taxa Nominal - Mensal</t>
  </si>
  <si>
    <t>Sistema de Amortização</t>
  </si>
  <si>
    <t>Data de Vencimento da Primeira Prestação</t>
  </si>
  <si>
    <t>Data de Vencimento da Última Prestação</t>
  </si>
  <si>
    <t>Valor da Prestação (Amortização + Juros)</t>
  </si>
  <si>
    <t>Controles de despesas</t>
  </si>
  <si>
    <t>Valor do Prêmio de Seguro MIP (Morte e Invalidez Permanente)</t>
  </si>
  <si>
    <t>Valor do Prêmio de Seguro DFI (Danos Físicos ao Imóvel)</t>
  </si>
  <si>
    <t>Valor Total da Prestação mensal</t>
  </si>
  <si>
    <t>CET -  Custo Efetitvo Total</t>
  </si>
  <si>
    <t>Parcelas</t>
  </si>
  <si>
    <t>Amortização</t>
  </si>
  <si>
    <t>Saldo</t>
  </si>
  <si>
    <t>Parc</t>
  </si>
  <si>
    <t>Vencimento</t>
  </si>
  <si>
    <t>Saldo Inicial</t>
  </si>
  <si>
    <t>Juros</t>
  </si>
  <si>
    <t>Saldo Atualizado</t>
  </si>
  <si>
    <t>Prestação Mensal</t>
  </si>
  <si>
    <t>MIP</t>
  </si>
  <si>
    <t>DFI</t>
  </si>
  <si>
    <t>Prestação Mensal Total</t>
  </si>
  <si>
    <t>Saldo Devedor</t>
  </si>
  <si>
    <t>Formulas de Cálculo IOF</t>
  </si>
  <si>
    <t>Formulas de Cálculo Idade</t>
  </si>
  <si>
    <t>Calculo IOF</t>
  </si>
  <si>
    <t>Part</t>
  </si>
  <si>
    <t>Faixa Idade</t>
  </si>
  <si>
    <t>Idade</t>
  </si>
  <si>
    <t>Alicota</t>
  </si>
  <si>
    <t>% de Comp. Renda</t>
  </si>
  <si>
    <t>Parcela PRICE</t>
  </si>
  <si>
    <t>Parcela SAC</t>
  </si>
  <si>
    <t>Amort. PRICE</t>
  </si>
  <si>
    <t>Amort. SAC</t>
  </si>
  <si>
    <t>Saldo PRICE</t>
  </si>
  <si>
    <t>Saldo SAC</t>
  </si>
  <si>
    <t>Acima de 12meses</t>
  </si>
  <si>
    <t>1° Part</t>
  </si>
  <si>
    <t>Valor Financiado</t>
  </si>
  <si>
    <t>2° Part</t>
  </si>
  <si>
    <t>Até 12 meses</t>
  </si>
  <si>
    <t>3° Part</t>
  </si>
  <si>
    <t>IOF DIÁRIO</t>
  </si>
  <si>
    <t>DIAS</t>
  </si>
  <si>
    <t>DIAS_SOMA</t>
  </si>
  <si>
    <t>4° Part</t>
  </si>
  <si>
    <t>5° Part</t>
  </si>
  <si>
    <t>6° Part</t>
  </si>
  <si>
    <t>7° Part</t>
  </si>
  <si>
    <t>8° Part</t>
  </si>
  <si>
    <t>Alicota_1</t>
  </si>
  <si>
    <t>Alicota_2</t>
  </si>
  <si>
    <t>Alicota_3</t>
  </si>
  <si>
    <t>Alicota_4</t>
  </si>
  <si>
    <t>Alicota_5</t>
  </si>
  <si>
    <t>Alicota_6</t>
  </si>
  <si>
    <t>Alicota_7</t>
  </si>
  <si>
    <t>Alicota_8</t>
  </si>
  <si>
    <t>Alicota_9</t>
  </si>
  <si>
    <t>COBRA IOF</t>
  </si>
  <si>
    <t>FCTO-AQUIS</t>
  </si>
  <si>
    <t>IOF</t>
  </si>
  <si>
    <t>1 - RESIDENCIAL - CASA</t>
  </si>
  <si>
    <t>NÃO</t>
  </si>
  <si>
    <t>2 - RESIDENCIAL - APARTAMENTO</t>
  </si>
  <si>
    <t>3 - COMERCIAL - LOJA</t>
  </si>
  <si>
    <t>SIM</t>
  </si>
  <si>
    <t>4 - COMERCIAL - SALA COMERCIAL</t>
  </si>
  <si>
    <t>5 - MISTO - COMERCIAL / RESIDENCIAL</t>
  </si>
  <si>
    <t>6 - IMOVEL VERANEIO</t>
  </si>
  <si>
    <t>7 - TERRENO + CONSTRUÇÃO CONCLUÍDA</t>
  </si>
  <si>
    <t>CGI</t>
  </si>
  <si>
    <t>Totais pagos:</t>
  </si>
  <si>
    <t>-----</t>
  </si>
  <si>
    <t>BANCO DAYCOVAL S/A</t>
  </si>
  <si>
    <t>Simulação não representa - Aprovação de Crédito</t>
  </si>
  <si>
    <t>Valores represetados apenas da 1° Parcela da Operação</t>
  </si>
  <si>
    <t>A planilha definitiva será enviada posteriormente  por ocasião da formalização da operação</t>
  </si>
  <si>
    <t>Financiamento Imobiliário - FI</t>
  </si>
  <si>
    <t>Crédito Com Garantia de Imóvel - CGI</t>
  </si>
  <si>
    <t>Voltar</t>
  </si>
  <si>
    <t>SIMULAÇÃO</t>
  </si>
  <si>
    <t>Financiamento Imobiliário - FI - Parcela Fixa de 1,29% a.m</t>
  </si>
  <si>
    <t>Terreno Com Construção Concluída - TCC - Parcel Fixa - 1,29% a.m</t>
  </si>
  <si>
    <t>Sistema de Amortização PRICE</t>
  </si>
  <si>
    <t>Sistema de Amortização SAC</t>
  </si>
  <si>
    <t>SAC FIXA</t>
  </si>
  <si>
    <t>N° Parc.</t>
  </si>
  <si>
    <t>Tipo</t>
  </si>
  <si>
    <t>Sdo. Principal</t>
  </si>
  <si>
    <t>Principal</t>
  </si>
  <si>
    <t>Seguro</t>
  </si>
  <si>
    <t>Parcela Total</t>
  </si>
  <si>
    <t> 1</t>
  </si>
  <si>
    <t>JP</t>
  </si>
  <si>
    <t> 2</t>
  </si>
  <si>
    <t> 3</t>
  </si>
  <si>
    <t> 4</t>
  </si>
  <si>
    <t> 5</t>
  </si>
  <si>
    <t> 6</t>
  </si>
  <si>
    <t> 7</t>
  </si>
  <si>
    <t> 8</t>
  </si>
  <si>
    <t> 9</t>
  </si>
  <si>
    <t> 10</t>
  </si>
  <si>
    <t> 11</t>
  </si>
  <si>
    <t> 12</t>
  </si>
  <si>
    <t> 13</t>
  </si>
  <si>
    <t> 14</t>
  </si>
  <si>
    <t> 15</t>
  </si>
  <si>
    <t> 16</t>
  </si>
  <si>
    <t> 17</t>
  </si>
  <si>
    <t> 18</t>
  </si>
  <si>
    <t> 19</t>
  </si>
  <si>
    <t> 20</t>
  </si>
  <si>
    <t> 21</t>
  </si>
  <si>
    <t> 22</t>
  </si>
  <si>
    <t> 23</t>
  </si>
  <si>
    <t> 24</t>
  </si>
  <si>
    <t> 25</t>
  </si>
  <si>
    <t> 26</t>
  </si>
  <si>
    <t> 27</t>
  </si>
  <si>
    <t> 28</t>
  </si>
  <si>
    <t> 29</t>
  </si>
  <si>
    <t> 30</t>
  </si>
  <si>
    <t> 31</t>
  </si>
  <si>
    <t> 32</t>
  </si>
  <si>
    <t> 33</t>
  </si>
  <si>
    <t> 34</t>
  </si>
  <si>
    <t> 35</t>
  </si>
  <si>
    <t> 36</t>
  </si>
  <si>
    <t> 37</t>
  </si>
  <si>
    <t> 38</t>
  </si>
  <si>
    <t> 39</t>
  </si>
  <si>
    <t> 40</t>
  </si>
  <si>
    <t> 41</t>
  </si>
  <si>
    <t> 42</t>
  </si>
  <si>
    <t> 43</t>
  </si>
  <si>
    <t> 44</t>
  </si>
  <si>
    <t> 45</t>
  </si>
  <si>
    <t> 46</t>
  </si>
  <si>
    <t> 47</t>
  </si>
  <si>
    <t> 48</t>
  </si>
  <si>
    <t> 49</t>
  </si>
  <si>
    <t> 50</t>
  </si>
  <si>
    <t> 51</t>
  </si>
  <si>
    <t> 52</t>
  </si>
  <si>
    <t> 53</t>
  </si>
  <si>
    <t> 54</t>
  </si>
  <si>
    <t> 55</t>
  </si>
  <si>
    <t> 56</t>
  </si>
  <si>
    <t> 57</t>
  </si>
  <si>
    <t> 58</t>
  </si>
  <si>
    <t> 59</t>
  </si>
  <si>
    <t> 60</t>
  </si>
  <si>
    <t> 61</t>
  </si>
  <si>
    <t> 62</t>
  </si>
  <si>
    <t> 63</t>
  </si>
  <si>
    <t> 64</t>
  </si>
  <si>
    <t> 65</t>
  </si>
  <si>
    <t> 66</t>
  </si>
  <si>
    <t> 67</t>
  </si>
  <si>
    <t> 68</t>
  </si>
  <si>
    <t> 69</t>
  </si>
  <si>
    <t> 70</t>
  </si>
  <si>
    <t> 71</t>
  </si>
  <si>
    <t> 72</t>
  </si>
  <si>
    <t> 73</t>
  </si>
  <si>
    <t> 74</t>
  </si>
  <si>
    <t> 75</t>
  </si>
  <si>
    <t> 76</t>
  </si>
  <si>
    <t> 77</t>
  </si>
  <si>
    <t> 78</t>
  </si>
  <si>
    <t> 79</t>
  </si>
  <si>
    <t> 80</t>
  </si>
  <si>
    <t> 81</t>
  </si>
  <si>
    <t> 82</t>
  </si>
  <si>
    <t> 83</t>
  </si>
  <si>
    <t> 84</t>
  </si>
  <si>
    <t> 85</t>
  </si>
  <si>
    <t> 86</t>
  </si>
  <si>
    <t> 87</t>
  </si>
  <si>
    <t> 88</t>
  </si>
  <si>
    <t> 89</t>
  </si>
  <si>
    <t> 90</t>
  </si>
  <si>
    <t> 91</t>
  </si>
  <si>
    <t> 92</t>
  </si>
  <si>
    <t> 93</t>
  </si>
  <si>
    <t> 94</t>
  </si>
  <si>
    <t> 95</t>
  </si>
  <si>
    <t> 96</t>
  </si>
  <si>
    <t> 97</t>
  </si>
  <si>
    <t> 98</t>
  </si>
  <si>
    <t> 99</t>
  </si>
  <si>
    <t> 100</t>
  </si>
  <si>
    <t> 101</t>
  </si>
  <si>
    <t> 102</t>
  </si>
  <si>
    <t> 103</t>
  </si>
  <si>
    <t> 104</t>
  </si>
  <si>
    <t> 105</t>
  </si>
  <si>
    <t> 106</t>
  </si>
  <si>
    <t> 107</t>
  </si>
  <si>
    <t> 108</t>
  </si>
  <si>
    <t> 109</t>
  </si>
  <si>
    <t> 110</t>
  </si>
  <si>
    <t> 111</t>
  </si>
  <si>
    <t> 112</t>
  </si>
  <si>
    <t> 113</t>
  </si>
  <si>
    <t> 114</t>
  </si>
  <si>
    <t> 115</t>
  </si>
  <si>
    <t> 116</t>
  </si>
  <si>
    <t> 117</t>
  </si>
  <si>
    <t> 118</t>
  </si>
  <si>
    <t> 119</t>
  </si>
  <si>
    <t> 120</t>
  </si>
  <si>
    <t> 121</t>
  </si>
  <si>
    <t> 122</t>
  </si>
  <si>
    <t> 123</t>
  </si>
  <si>
    <t> 124</t>
  </si>
  <si>
    <t> 125</t>
  </si>
  <si>
    <t> 126</t>
  </si>
  <si>
    <t> 127</t>
  </si>
  <si>
    <t> 128</t>
  </si>
  <si>
    <t> 129</t>
  </si>
  <si>
    <t> 130</t>
  </si>
  <si>
    <t> 131</t>
  </si>
  <si>
    <t> 132</t>
  </si>
  <si>
    <t> 133</t>
  </si>
  <si>
    <t> 134</t>
  </si>
  <si>
    <t> 135</t>
  </si>
  <si>
    <t> 136</t>
  </si>
  <si>
    <t> 137</t>
  </si>
  <si>
    <t> 138</t>
  </si>
  <si>
    <t> 139</t>
  </si>
  <si>
    <t> 140</t>
  </si>
  <si>
    <t> 141</t>
  </si>
  <si>
    <t> 142</t>
  </si>
  <si>
    <t> 143</t>
  </si>
  <si>
    <t> 144</t>
  </si>
  <si>
    <t> 145</t>
  </si>
  <si>
    <t> 146</t>
  </si>
  <si>
    <t> 147</t>
  </si>
  <si>
    <t> 148</t>
  </si>
  <si>
    <t> 149</t>
  </si>
  <si>
    <t> 150</t>
  </si>
  <si>
    <t> 151</t>
  </si>
  <si>
    <t> 152</t>
  </si>
  <si>
    <t> 153</t>
  </si>
  <si>
    <t> 154</t>
  </si>
  <si>
    <t> 155</t>
  </si>
  <si>
    <t> 156</t>
  </si>
  <si>
    <t> 157</t>
  </si>
  <si>
    <t> 158</t>
  </si>
  <si>
    <t> 159</t>
  </si>
  <si>
    <t> 160</t>
  </si>
  <si>
    <t> 161</t>
  </si>
  <si>
    <t> 162</t>
  </si>
  <si>
    <t> 163</t>
  </si>
  <si>
    <t> 164</t>
  </si>
  <si>
    <t> 165</t>
  </si>
  <si>
    <t> 166</t>
  </si>
  <si>
    <t> 167</t>
  </si>
  <si>
    <t> 168</t>
  </si>
  <si>
    <t> 169</t>
  </si>
  <si>
    <t> 170</t>
  </si>
  <si>
    <t> 171</t>
  </si>
  <si>
    <t> 172</t>
  </si>
  <si>
    <t> 173</t>
  </si>
  <si>
    <t> 174</t>
  </si>
  <si>
    <t> 175</t>
  </si>
  <si>
    <t> 176</t>
  </si>
  <si>
    <t> 177</t>
  </si>
  <si>
    <t> 178</t>
  </si>
  <si>
    <t> 179</t>
  </si>
  <si>
    <t> 180</t>
  </si>
  <si>
    <t> 181</t>
  </si>
  <si>
    <t> 182</t>
  </si>
  <si>
    <t> 183</t>
  </si>
  <si>
    <t> 184</t>
  </si>
  <si>
    <t> 185</t>
  </si>
  <si>
    <t> 186</t>
  </si>
  <si>
    <t> 187</t>
  </si>
  <si>
    <t> 188</t>
  </si>
  <si>
    <t> 189</t>
  </si>
  <si>
    <t> 190</t>
  </si>
  <si>
    <t> 191</t>
  </si>
  <si>
    <t> 192</t>
  </si>
  <si>
    <t> 193</t>
  </si>
  <si>
    <t> 194</t>
  </si>
  <si>
    <t> 195</t>
  </si>
  <si>
    <t> 196</t>
  </si>
  <si>
    <t> 197</t>
  </si>
  <si>
    <t> 198</t>
  </si>
  <si>
    <t> 199</t>
  </si>
  <si>
    <t> 200</t>
  </si>
  <si>
    <t> 201</t>
  </si>
  <si>
    <t> 202</t>
  </si>
  <si>
    <t> 203</t>
  </si>
  <si>
    <t> 204</t>
  </si>
  <si>
    <t> 205</t>
  </si>
  <si>
    <t> 206</t>
  </si>
  <si>
    <t> 207</t>
  </si>
  <si>
    <t> 208</t>
  </si>
  <si>
    <t> 209</t>
  </si>
  <si>
    <t> 210</t>
  </si>
  <si>
    <t> 211</t>
  </si>
  <si>
    <t> 212</t>
  </si>
  <si>
    <t> 213</t>
  </si>
  <si>
    <t> 214</t>
  </si>
  <si>
    <t> 215</t>
  </si>
  <si>
    <t> 216</t>
  </si>
  <si>
    <t> 217</t>
  </si>
  <si>
    <t> 218</t>
  </si>
  <si>
    <t> 219</t>
  </si>
  <si>
    <t> 220</t>
  </si>
  <si>
    <t> 221</t>
  </si>
  <si>
    <t> 222</t>
  </si>
  <si>
    <t> 223</t>
  </si>
  <si>
    <t> 224</t>
  </si>
  <si>
    <t> 225</t>
  </si>
  <si>
    <t> 226</t>
  </si>
  <si>
    <t> 227</t>
  </si>
  <si>
    <t> 228</t>
  </si>
  <si>
    <t> 229</t>
  </si>
  <si>
    <t> 230</t>
  </si>
  <si>
    <t> 231</t>
  </si>
  <si>
    <t> 232</t>
  </si>
  <si>
    <t> 233</t>
  </si>
  <si>
    <t> 234</t>
  </si>
  <si>
    <t> 235</t>
  </si>
  <si>
    <t> 236</t>
  </si>
  <si>
    <t> 237</t>
  </si>
  <si>
    <t> 238</t>
  </si>
  <si>
    <t> 239</t>
  </si>
  <si>
    <t> 240</t>
  </si>
  <si>
    <t>Amortização da View</t>
  </si>
  <si>
    <r>
      <t>Valor Total do IOF no ato da liberação do Crédito</t>
    </r>
    <r>
      <rPr>
        <sz val="10"/>
        <color theme="1"/>
        <rFont val="Times New Roman"/>
        <family val="1"/>
      </rPr>
      <t xml:space="preserve"> (Sem IOF para operaçõees contratadas até Outubro de 2020)</t>
    </r>
  </si>
  <si>
    <t>Crédito Com Garantia de Imóvel  - CGI - Parcela Fixa - Apartir de 1,09% a.m</t>
  </si>
  <si>
    <t>Financiamento Imobiliário - FI - Parcela Fixa de a partir de 1,09% a.m</t>
  </si>
  <si>
    <t>Terreno Com Construção Concluída - TCC - Apartir de Parcel Fixa - 1,09% a.m</t>
  </si>
  <si>
    <t>Financiamento Imobiliário - FI - Parcela Pós de a partir de 0,99% a.m + IPCA</t>
  </si>
  <si>
    <t>Financiamento Imobiliário - FI - Parcela Pós Fixado de 1,29% a.m</t>
  </si>
  <si>
    <t>Financiamento Imobiliário
SAC - FIXA
(Parcela sem Correção por IPCA)</t>
  </si>
  <si>
    <t>Crédito Com Garantia de Imóvel 
PRICE - FIXA
(Parcela Sem Correção por IPCA)</t>
  </si>
  <si>
    <t>Renda Familiar Min.</t>
  </si>
  <si>
    <t>Prestação 
Mensal Total</t>
  </si>
  <si>
    <t>PRICE - FIXA</t>
  </si>
  <si>
    <t>SISTEMA</t>
  </si>
  <si>
    <t>PRICE</t>
  </si>
  <si>
    <t>SAC</t>
  </si>
  <si>
    <t>PRÉ</t>
  </si>
  <si>
    <t>PÓS</t>
  </si>
  <si>
    <t xml:space="preserve">Valores Meramente ilustrativos para efeitos de Simulação Inicial </t>
  </si>
  <si>
    <t>Não Representa - Aprovação de Crédito</t>
  </si>
  <si>
    <t>A planilha definitiva será enviada posteriormente por ocasião da formalização da operação do Agente Financeiro</t>
  </si>
  <si>
    <t>Financiamento Imobiliário - Aquisição</t>
  </si>
  <si>
    <t>49.99%</t>
  </si>
  <si>
    <t>Terreno Com Construção Concluída - TCC</t>
  </si>
  <si>
    <t>Valor Total do IOF no ato da liberação do Crédito</t>
  </si>
  <si>
    <t>Financiamento Imobiliário - Aquisição TCC</t>
  </si>
  <si>
    <t>Valores da Operação</t>
  </si>
  <si>
    <t>Carencia em meses</t>
  </si>
  <si>
    <t>Valor do Prêmio de Seguro DFI (Danos Físicos ao Imóvel) 1ª Prestação</t>
  </si>
  <si>
    <t>cet</t>
  </si>
  <si>
    <t>cet total</t>
  </si>
  <si>
    <t xml:space="preserve">taxa juros </t>
  </si>
  <si>
    <t>CET s/seguro</t>
  </si>
  <si>
    <t>CET c/seguro</t>
  </si>
  <si>
    <t xml:space="preserve">Valores meramente para demonstração efeitos de Simulação Inicial </t>
  </si>
  <si>
    <t>CET</t>
  </si>
  <si>
    <t>TAXA JUROS</t>
  </si>
  <si>
    <t>A planilha/simulação definitiva somente após cadastramento da operação no sistema oficial do agente financeiro que será enviada posteriormente pelo seu correspondente bancário e formlização da operação</t>
  </si>
  <si>
    <t>Não está previsto no valor da prestação acima demonstrada  o indexador de correção</t>
  </si>
  <si>
    <t>Nome cliente</t>
  </si>
  <si>
    <r>
      <t xml:space="preserve">MIP
</t>
    </r>
    <r>
      <rPr>
        <b/>
        <sz val="8"/>
        <rFont val="Times New Roman"/>
        <family val="1"/>
      </rPr>
      <t>Morte Invalidez Permanente</t>
    </r>
  </si>
  <si>
    <r>
      <t xml:space="preserve">DFI
</t>
    </r>
    <r>
      <rPr>
        <b/>
        <sz val="8"/>
        <rFont val="Times New Roman"/>
        <family val="1"/>
      </rPr>
      <t>Danos Físico do Imóvel</t>
    </r>
  </si>
  <si>
    <t>Seguradora</t>
  </si>
  <si>
    <t>-</t>
  </si>
  <si>
    <t>EXCELSIOR</t>
  </si>
  <si>
    <t>Loja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</si>
</sst>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@\ \ "/>
    <numFmt numFmtId="165" formatCode="&quot;R$&quot;\ #,##0.00"/>
    <numFmt numFmtId="166" formatCode="0.0000%"/>
    <numFmt numFmtId="167" formatCode="&quot;R$ &quot;#,##0.00_);[Red]\(&quot;R$ &quot;#,##0.00\)"/>
    <numFmt numFmtId="168" formatCode="#,##0\ &quot;Meses&quot;"/>
    <numFmt numFmtId="169" formatCode="#,##0.00_ ;\-#,##0.00\ "/>
    <numFmt numFmtId="170" formatCode="0\ "/>
    <numFmt numFmtId="171" formatCode="0.000000%"/>
    <numFmt numFmtId="172" formatCode="0.00000%"/>
    <numFmt numFmtId="173" formatCode="_-[$R$-416]\ * #,##0.00_-;\-[$R$-416]\ * #,##0.00_-;_-[$R$-416]\ * &quot;-&quot;??_-;_-@_-"/>
    <numFmt numFmtId="174" formatCode="_-* #,##0.00000_-;\-* #,##0.00000_-;_-* &quot;-&quot;??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rgb="FF333333"/>
      <name val="Times New Roman"/>
      <family val="1"/>
    </font>
    <font>
      <b/>
      <sz val="12"/>
      <color rgb="FF333333"/>
      <name val="Times New Roman"/>
      <family val="1"/>
    </font>
    <font>
      <sz val="12"/>
      <color theme="0" tint="-0.49998474074526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0"/>
      <color theme="1"/>
      <name val="Times New Roman"/>
      <family val="1"/>
    </font>
    <font>
      <sz val="12"/>
      <color theme="0"/>
      <name val="Times New Roman"/>
      <family val="1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36"/>
      <color theme="0"/>
      <name val="Calibri"/>
      <family val="2"/>
      <scheme val="minor"/>
    </font>
    <font>
      <sz val="12"/>
      <color theme="0" tint="-0.14999847407452621"/>
      <name val="Times New Roman"/>
      <family val="1"/>
    </font>
    <font>
      <sz val="11"/>
      <color rgb="FF000000"/>
      <name val="Verdana"/>
      <family val="2"/>
    </font>
    <font>
      <sz val="8"/>
      <color rgb="FF2F2F30"/>
      <name val="Verdana"/>
      <family val="2"/>
    </font>
    <font>
      <b/>
      <sz val="8"/>
      <color rgb="FF2F2F30"/>
      <name val="Verdana"/>
      <family val="2"/>
    </font>
    <font>
      <u/>
      <sz val="48"/>
      <color theme="1"/>
      <name val="Calibri"/>
      <family val="2"/>
      <scheme val="minor"/>
    </font>
    <font>
      <b/>
      <sz val="16"/>
      <name val="Times New Roman"/>
      <family val="1"/>
    </font>
    <font>
      <b/>
      <sz val="16"/>
      <color indexed="8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Calibri"/>
      <family val="2"/>
      <scheme val="minor"/>
    </font>
    <font>
      <b/>
      <sz val="8"/>
      <name val="Times New Roman"/>
      <family val="1"/>
    </font>
    <font>
      <sz val="12"/>
      <color rgb="FFFF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3CE"/>
        <bgColor indexed="64"/>
      </patternFill>
    </fill>
    <fill>
      <patternFill patternType="solid">
        <fgColor rgb="FFEDECEB"/>
        <bgColor indexed="64"/>
      </patternFill>
    </fill>
    <fill>
      <patternFill patternType="solid">
        <fgColor rgb="FFFFFFCC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287">
    <xf numFmtId="0" fontId="0" fillId="0" borderId="0" xfId="0"/>
    <xf numFmtId="164" fontId="5" fillId="2" borderId="0" xfId="0" applyNumberFormat="1" applyFont="1" applyFill="1" applyAlignment="1" applyProtection="1">
      <alignment horizontal="center" vertical="center"/>
      <protection hidden="1"/>
    </xf>
    <xf numFmtId="14" fontId="5" fillId="2" borderId="0" xfId="0" applyNumberFormat="1" applyFont="1" applyFill="1" applyAlignment="1" applyProtection="1">
      <alignment horizontal="center" vertical="center"/>
      <protection hidden="1"/>
    </xf>
    <xf numFmtId="40" fontId="5" fillId="2" borderId="0" xfId="0" applyNumberFormat="1" applyFont="1" applyFill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165" fontId="6" fillId="2" borderId="0" xfId="0" applyNumberFormat="1" applyFont="1" applyFill="1" applyAlignment="1" applyProtection="1">
      <alignment horizontal="center" vertical="center"/>
      <protection hidden="1"/>
    </xf>
    <xf numFmtId="166" fontId="7" fillId="2" borderId="0" xfId="3" applyNumberFormat="1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0" fontId="8" fillId="2" borderId="0" xfId="3" applyNumberFormat="1" applyFont="1" applyFill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40" fontId="11" fillId="2" borderId="0" xfId="0" applyNumberFormat="1" applyFont="1" applyFill="1" applyAlignment="1" applyProtection="1">
      <alignment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40" fontId="11" fillId="2" borderId="0" xfId="0" applyNumberFormat="1" applyFont="1" applyFill="1" applyAlignment="1" applyProtection="1">
      <alignment horizontal="center" vertical="center"/>
      <protection hidden="1"/>
    </xf>
    <xf numFmtId="40" fontId="11" fillId="2" borderId="0" xfId="0" applyNumberFormat="1" applyFont="1" applyFill="1" applyAlignment="1" applyProtection="1">
      <alignment horizontal="left" vertical="center"/>
      <protection hidden="1"/>
    </xf>
    <xf numFmtId="40" fontId="10" fillId="2" borderId="0" xfId="0" applyNumberFormat="1" applyFont="1" applyFill="1" applyAlignment="1" applyProtection="1">
      <alignment horizontal="left" vertical="center"/>
      <protection hidden="1"/>
    </xf>
    <xf numFmtId="167" fontId="12" fillId="2" borderId="0" xfId="0" applyNumberFormat="1" applyFont="1" applyFill="1" applyAlignment="1" applyProtection="1">
      <alignment horizontal="center" vertical="center"/>
      <protection hidden="1"/>
    </xf>
    <xf numFmtId="44" fontId="10" fillId="2" borderId="0" xfId="2" applyFont="1" applyFill="1" applyAlignment="1" applyProtection="1">
      <alignment vertical="center"/>
      <protection hidden="1"/>
    </xf>
    <xf numFmtId="3" fontId="10" fillId="0" borderId="0" xfId="0" applyNumberFormat="1" applyFont="1" applyAlignment="1" applyProtection="1">
      <alignment horizontal="center" vertical="center"/>
      <protection hidden="1"/>
    </xf>
    <xf numFmtId="167" fontId="6" fillId="2" borderId="0" xfId="0" applyNumberFormat="1" applyFont="1" applyFill="1" applyAlignment="1" applyProtection="1">
      <alignment horizontal="left" vertical="center"/>
      <protection hidden="1"/>
    </xf>
    <xf numFmtId="40" fontId="10" fillId="2" borderId="1" xfId="0" applyNumberFormat="1" applyFont="1" applyFill="1" applyBorder="1" applyAlignment="1" applyProtection="1">
      <alignment horizontal="left" vertical="center" indent="2"/>
      <protection hidden="1"/>
    </xf>
    <xf numFmtId="40" fontId="10" fillId="2" borderId="2" xfId="0" applyNumberFormat="1" applyFont="1" applyFill="1" applyBorder="1" applyAlignment="1" applyProtection="1">
      <alignment horizontal="left" vertical="center" indent="2"/>
      <protection hidden="1"/>
    </xf>
    <xf numFmtId="165" fontId="6" fillId="2" borderId="2" xfId="0" applyNumberFormat="1" applyFont="1" applyFill="1" applyBorder="1" applyAlignment="1" applyProtection="1">
      <alignment horizontal="left" vertical="center" indent="2"/>
      <protection hidden="1"/>
    </xf>
    <xf numFmtId="0" fontId="10" fillId="2" borderId="2" xfId="0" applyFont="1" applyFill="1" applyBorder="1" applyAlignment="1" applyProtection="1">
      <alignment horizontal="left" vertical="center" indent="2"/>
      <protection hidden="1"/>
    </xf>
    <xf numFmtId="166" fontId="7" fillId="2" borderId="2" xfId="3" applyNumberFormat="1" applyFont="1" applyFill="1" applyBorder="1" applyAlignment="1" applyProtection="1">
      <alignment horizontal="left" vertical="center" indent="2"/>
      <protection hidden="1"/>
    </xf>
    <xf numFmtId="167" fontId="6" fillId="2" borderId="3" xfId="0" applyNumberFormat="1" applyFont="1" applyFill="1" applyBorder="1" applyAlignment="1" applyProtection="1">
      <alignment horizontal="left" vertical="center" indent="1"/>
      <protection hidden="1"/>
    </xf>
    <xf numFmtId="0" fontId="10" fillId="2" borderId="4" xfId="0" quotePrefix="1" applyFont="1" applyFill="1" applyBorder="1" applyAlignment="1" applyProtection="1">
      <alignment horizontal="center" vertical="center"/>
      <protection hidden="1"/>
    </xf>
    <xf numFmtId="167" fontId="6" fillId="2" borderId="0" xfId="0" applyNumberFormat="1" applyFont="1" applyFill="1" applyAlignment="1" applyProtection="1">
      <alignment horizontal="left" vertical="center" indent="1"/>
      <protection hidden="1"/>
    </xf>
    <xf numFmtId="0" fontId="10" fillId="2" borderId="7" xfId="0" quotePrefix="1" applyFont="1" applyFill="1" applyBorder="1" applyAlignment="1" applyProtection="1">
      <alignment horizontal="center" vertical="center"/>
      <protection hidden="1"/>
    </xf>
    <xf numFmtId="10" fontId="10" fillId="2" borderId="7" xfId="0" applyNumberFormat="1" applyFont="1" applyFill="1" applyBorder="1" applyAlignment="1" applyProtection="1">
      <alignment horizontal="center" vertical="center"/>
      <protection hidden="1"/>
    </xf>
    <xf numFmtId="167" fontId="6" fillId="2" borderId="0" xfId="0" quotePrefix="1" applyNumberFormat="1" applyFont="1" applyFill="1" applyAlignment="1" applyProtection="1">
      <alignment horizontal="left" vertical="center" indent="1"/>
      <protection hidden="1"/>
    </xf>
    <xf numFmtId="0" fontId="10" fillId="2" borderId="0" xfId="0" quotePrefix="1" applyFont="1" applyFill="1" applyAlignment="1" applyProtection="1">
      <alignment horizontal="center" vertical="center"/>
      <protection hidden="1"/>
    </xf>
    <xf numFmtId="168" fontId="6" fillId="2" borderId="0" xfId="0" applyNumberFormat="1" applyFont="1" applyFill="1" applyAlignment="1" applyProtection="1">
      <alignment horizontal="left" vertical="center" indent="1"/>
      <protection hidden="1"/>
    </xf>
    <xf numFmtId="0" fontId="10" fillId="2" borderId="7" xfId="0" applyFont="1" applyFill="1" applyBorder="1" applyAlignment="1" applyProtection="1">
      <alignment vertical="center"/>
      <protection hidden="1"/>
    </xf>
    <xf numFmtId="10" fontId="6" fillId="2" borderId="0" xfId="0" applyNumberFormat="1" applyFont="1" applyFill="1" applyAlignment="1" applyProtection="1">
      <alignment horizontal="left" vertical="center" indent="1"/>
      <protection hidden="1"/>
    </xf>
    <xf numFmtId="166" fontId="10" fillId="2" borderId="7" xfId="3" applyNumberFormat="1" applyFont="1" applyFill="1" applyBorder="1" applyAlignment="1" applyProtection="1">
      <alignment vertical="center"/>
      <protection hidden="1"/>
    </xf>
    <xf numFmtId="10" fontId="6" fillId="2" borderId="0" xfId="3" applyNumberFormat="1" applyFont="1" applyFill="1" applyAlignment="1" applyProtection="1">
      <alignment horizontal="left" vertical="center" indent="1"/>
      <protection hidden="1"/>
    </xf>
    <xf numFmtId="10" fontId="10" fillId="2" borderId="7" xfId="3" applyNumberFormat="1" applyFont="1" applyFill="1" applyBorder="1" applyAlignment="1" applyProtection="1">
      <alignment vertical="center"/>
      <protection hidden="1"/>
    </xf>
    <xf numFmtId="0" fontId="10" fillId="2" borderId="7" xfId="3" applyNumberFormat="1" applyFont="1" applyFill="1" applyBorder="1" applyAlignment="1" applyProtection="1">
      <alignment horizontal="center" vertical="center"/>
      <protection hidden="1"/>
    </xf>
    <xf numFmtId="3" fontId="6" fillId="2" borderId="0" xfId="0" applyNumberFormat="1" applyFont="1" applyFill="1" applyAlignment="1" applyProtection="1">
      <alignment horizontal="left" vertical="center" indent="1"/>
      <protection hidden="1"/>
    </xf>
    <xf numFmtId="14" fontId="6" fillId="2" borderId="0" xfId="0" applyNumberFormat="1" applyFont="1" applyFill="1" applyAlignment="1" applyProtection="1">
      <alignment horizontal="left" vertical="center" indent="1"/>
      <protection hidden="1"/>
    </xf>
    <xf numFmtId="0" fontId="10" fillId="2" borderId="8" xfId="0" applyFont="1" applyFill="1" applyBorder="1" applyAlignment="1" applyProtection="1">
      <alignment horizontal="left" vertical="center" indent="2"/>
      <protection hidden="1"/>
    </xf>
    <xf numFmtId="0" fontId="10" fillId="2" borderId="9" xfId="0" applyFont="1" applyFill="1" applyBorder="1" applyAlignment="1" applyProtection="1">
      <alignment horizontal="left" vertical="center" indent="4"/>
      <protection hidden="1"/>
    </xf>
    <xf numFmtId="165" fontId="6" fillId="2" borderId="9" xfId="0" applyNumberFormat="1" applyFont="1" applyFill="1" applyBorder="1" applyAlignment="1" applyProtection="1">
      <alignment horizontal="left" vertical="center" indent="2"/>
      <protection hidden="1"/>
    </xf>
    <xf numFmtId="0" fontId="10" fillId="2" borderId="9" xfId="0" applyFont="1" applyFill="1" applyBorder="1" applyAlignment="1" applyProtection="1">
      <alignment horizontal="left" vertical="center" indent="2"/>
      <protection hidden="1"/>
    </xf>
    <xf numFmtId="166" fontId="7" fillId="2" borderId="9" xfId="3" applyNumberFormat="1" applyFont="1" applyFill="1" applyBorder="1" applyAlignment="1" applyProtection="1">
      <alignment horizontal="left" vertical="center" indent="2"/>
      <protection hidden="1"/>
    </xf>
    <xf numFmtId="167" fontId="6" fillId="2" borderId="11" xfId="0" applyNumberFormat="1" applyFont="1" applyFill="1" applyBorder="1" applyAlignment="1" applyProtection="1">
      <alignment horizontal="left" vertical="center" indent="1"/>
      <protection hidden="1"/>
    </xf>
    <xf numFmtId="0" fontId="10" fillId="2" borderId="12" xfId="0" applyFont="1" applyFill="1" applyBorder="1" applyAlignment="1" applyProtection="1">
      <alignment vertical="center"/>
      <protection hidden="1"/>
    </xf>
    <xf numFmtId="164" fontId="5" fillId="0" borderId="0" xfId="0" applyNumberFormat="1" applyFont="1" applyAlignment="1" applyProtection="1">
      <alignment horizontal="center" vertical="center"/>
      <protection hidden="1"/>
    </xf>
    <xf numFmtId="14" fontId="5" fillId="0" borderId="0" xfId="0" applyNumberFormat="1" applyFont="1" applyAlignment="1" applyProtection="1">
      <alignment horizontal="center" vertical="center"/>
      <protection hidden="1"/>
    </xf>
    <xf numFmtId="10" fontId="6" fillId="0" borderId="11" xfId="3" applyNumberFormat="1" applyFont="1" applyBorder="1" applyAlignment="1" applyProtection="1">
      <alignment horizontal="left" indent="1"/>
      <protection hidden="1"/>
    </xf>
    <xf numFmtId="9" fontId="10" fillId="0" borderId="12" xfId="3" applyFont="1" applyBorder="1" applyAlignment="1" applyProtection="1">
      <alignment vertical="center"/>
      <protection hidden="1"/>
    </xf>
    <xf numFmtId="0" fontId="10" fillId="0" borderId="0" xfId="0" applyFont="1" applyAlignment="1" applyProtection="1">
      <alignment horizontal="left" vertical="center" indent="2"/>
      <protection hidden="1"/>
    </xf>
    <xf numFmtId="165" fontId="6" fillId="0" borderId="0" xfId="0" applyNumberFormat="1" applyFont="1" applyAlignment="1" applyProtection="1">
      <alignment horizontal="center" vertical="center"/>
      <protection hidden="1"/>
    </xf>
    <xf numFmtId="166" fontId="7" fillId="0" borderId="0" xfId="3" applyNumberFormat="1" applyFont="1" applyAlignment="1" applyProtection="1">
      <alignment horizontal="center" vertical="center"/>
      <protection hidden="1"/>
    </xf>
    <xf numFmtId="10" fontId="6" fillId="0" borderId="0" xfId="0" applyNumberFormat="1" applyFont="1" applyAlignment="1" applyProtection="1">
      <alignment horizontal="left" vertical="center"/>
      <protection hidden="1"/>
    </xf>
    <xf numFmtId="0" fontId="10" fillId="0" borderId="0" xfId="0" applyFont="1" applyAlignment="1" applyProtection="1">
      <alignment vertical="center"/>
      <protection hidden="1"/>
    </xf>
    <xf numFmtId="44" fontId="6" fillId="0" borderId="0" xfId="2" applyFont="1" applyAlignment="1" applyProtection="1">
      <alignment horizontal="left" vertical="center"/>
      <protection hidden="1"/>
    </xf>
    <xf numFmtId="0" fontId="10" fillId="2" borderId="0" xfId="0" applyFont="1" applyFill="1" applyAlignment="1" applyProtection="1">
      <alignment horizontal="left" vertical="center" indent="2"/>
      <protection hidden="1"/>
    </xf>
    <xf numFmtId="44" fontId="6" fillId="2" borderId="0" xfId="2" applyFont="1" applyFill="1" applyAlignment="1" applyProtection="1">
      <alignment horizontal="left" vertical="center"/>
      <protection hidden="1"/>
    </xf>
    <xf numFmtId="0" fontId="10" fillId="2" borderId="0" xfId="0" applyFont="1" applyFill="1" applyAlignment="1" applyProtection="1">
      <alignment vertical="center"/>
      <protection hidden="1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14" fontId="5" fillId="2" borderId="13" xfId="0" applyNumberFormat="1" applyFont="1" applyFill="1" applyBorder="1" applyAlignment="1" applyProtection="1">
      <alignment horizontal="center" vertical="center" wrapText="1"/>
      <protection hidden="1"/>
    </xf>
    <xf numFmtId="40" fontId="5" fillId="2" borderId="13" xfId="0" applyNumberFormat="1" applyFont="1" applyFill="1" applyBorder="1" applyAlignment="1" applyProtection="1">
      <alignment horizontal="center" vertical="center" wrapText="1"/>
      <protection hidden="1"/>
    </xf>
    <xf numFmtId="164" fontId="5" fillId="2" borderId="13" xfId="0" applyNumberFormat="1" applyFont="1" applyFill="1" applyBorder="1" applyAlignment="1" applyProtection="1">
      <alignment horizontal="center" vertical="center" wrapText="1"/>
      <protection hidden="1"/>
    </xf>
    <xf numFmtId="43" fontId="5" fillId="2" borderId="13" xfId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17" xfId="0" applyFont="1" applyBorder="1" applyAlignment="1" applyProtection="1">
      <alignment horizontal="center" vertical="center" wrapText="1"/>
      <protection hidden="1"/>
    </xf>
    <xf numFmtId="14" fontId="6" fillId="0" borderId="18" xfId="0" applyNumberFormat="1" applyFont="1" applyBorder="1" applyAlignment="1" applyProtection="1">
      <alignment horizontal="center" vertical="center"/>
      <protection hidden="1"/>
    </xf>
    <xf numFmtId="40" fontId="10" fillId="0" borderId="18" xfId="0" applyNumberFormat="1" applyFont="1" applyBorder="1" applyAlignment="1" applyProtection="1">
      <alignment horizontal="center" vertical="center" wrapText="1"/>
      <protection hidden="1"/>
    </xf>
    <xf numFmtId="164" fontId="10" fillId="0" borderId="18" xfId="0" applyNumberFormat="1" applyFont="1" applyBorder="1" applyAlignment="1" applyProtection="1">
      <alignment horizontal="center" vertical="center" wrapText="1"/>
      <protection hidden="1"/>
    </xf>
    <xf numFmtId="43" fontId="10" fillId="0" borderId="18" xfId="1" applyFont="1" applyBorder="1" applyAlignment="1" applyProtection="1">
      <alignment horizontal="center" vertical="center" wrapText="1"/>
      <protection hidden="1"/>
    </xf>
    <xf numFmtId="44" fontId="10" fillId="0" borderId="18" xfId="2" applyFont="1" applyBorder="1" applyAlignment="1" applyProtection="1">
      <alignment horizontal="center" vertical="center" wrapText="1"/>
      <protection hidden="1"/>
    </xf>
    <xf numFmtId="40" fontId="14" fillId="0" borderId="19" xfId="0" applyNumberFormat="1" applyFont="1" applyBorder="1" applyAlignment="1" applyProtection="1">
      <alignment horizontal="center" vertical="center"/>
      <protection hidden="1"/>
    </xf>
    <xf numFmtId="169" fontId="10" fillId="0" borderId="20" xfId="2" applyNumberFormat="1" applyFont="1" applyBorder="1" applyAlignment="1" applyProtection="1">
      <alignment horizontal="center" vertical="center" wrapText="1"/>
      <protection hidden="1"/>
    </xf>
    <xf numFmtId="170" fontId="6" fillId="0" borderId="21" xfId="0" applyNumberFormat="1" applyFont="1" applyBorder="1" applyAlignment="1" applyProtection="1">
      <alignment horizontal="center" vertical="center"/>
      <protection hidden="1"/>
    </xf>
    <xf numFmtId="14" fontId="6" fillId="0" borderId="22" xfId="0" applyNumberFormat="1" applyFont="1" applyBorder="1" applyAlignment="1" applyProtection="1">
      <alignment horizontal="center" vertical="center"/>
      <protection hidden="1"/>
    </xf>
    <xf numFmtId="40" fontId="6" fillId="0" borderId="22" xfId="0" applyNumberFormat="1" applyFont="1" applyBorder="1" applyAlignment="1" applyProtection="1">
      <alignment horizontal="center" vertical="center"/>
      <protection hidden="1"/>
    </xf>
    <xf numFmtId="40" fontId="6" fillId="0" borderId="23" xfId="0" applyNumberFormat="1" applyFont="1" applyBorder="1" applyAlignment="1" applyProtection="1">
      <alignment horizontal="center" vertical="center"/>
      <protection hidden="1"/>
    </xf>
    <xf numFmtId="0" fontId="11" fillId="4" borderId="14" xfId="0" applyFont="1" applyFill="1" applyBorder="1" applyAlignment="1" applyProtection="1">
      <alignment horizontal="center" vertical="center"/>
      <protection hidden="1"/>
    </xf>
    <xf numFmtId="0" fontId="11" fillId="4" borderId="15" xfId="0" applyFont="1" applyFill="1" applyBorder="1" applyAlignment="1" applyProtection="1">
      <alignment horizontal="center" vertical="center"/>
      <protection hidden="1"/>
    </xf>
    <xf numFmtId="0" fontId="11" fillId="4" borderId="16" xfId="0" applyFont="1" applyFill="1" applyBorder="1" applyAlignment="1" applyProtection="1">
      <alignment horizontal="center" vertical="center"/>
      <protection hidden="1"/>
    </xf>
    <xf numFmtId="0" fontId="15" fillId="5" borderId="24" xfId="0" applyFont="1" applyFill="1" applyBorder="1" applyAlignment="1" applyProtection="1">
      <alignment horizontal="center" vertical="center"/>
      <protection hidden="1"/>
    </xf>
    <xf numFmtId="0" fontId="14" fillId="5" borderId="24" xfId="0" applyFont="1" applyFill="1" applyBorder="1" applyAlignment="1" applyProtection="1">
      <alignment horizontal="center" vertical="center"/>
      <protection hidden="1"/>
    </xf>
    <xf numFmtId="0" fontId="10" fillId="6" borderId="24" xfId="0" applyFont="1" applyFill="1" applyBorder="1" applyAlignment="1" applyProtection="1">
      <alignment horizontal="center" vertical="center" wrapText="1"/>
      <protection hidden="1"/>
    </xf>
    <xf numFmtId="170" fontId="6" fillId="0" borderId="17" xfId="0" applyNumberFormat="1" applyFont="1" applyBorder="1" applyAlignment="1" applyProtection="1">
      <alignment horizontal="center" vertical="center"/>
      <protection hidden="1"/>
    </xf>
    <xf numFmtId="40" fontId="6" fillId="0" borderId="18" xfId="0" applyNumberFormat="1" applyFont="1" applyBorder="1" applyAlignment="1" applyProtection="1">
      <alignment horizontal="center" vertical="center"/>
      <protection hidden="1"/>
    </xf>
    <xf numFmtId="40" fontId="6" fillId="0" borderId="20" xfId="0" applyNumberFormat="1" applyFont="1" applyBorder="1" applyAlignment="1" applyProtection="1">
      <alignment horizontal="center" vertical="center"/>
      <protection hidden="1"/>
    </xf>
    <xf numFmtId="0" fontId="11" fillId="7" borderId="25" xfId="0" applyFont="1" applyFill="1" applyBorder="1" applyAlignment="1" applyProtection="1">
      <alignment horizontal="left" vertical="center"/>
      <protection hidden="1"/>
    </xf>
    <xf numFmtId="10" fontId="10" fillId="3" borderId="26" xfId="3" applyNumberFormat="1" applyFont="1" applyFill="1" applyBorder="1" applyAlignment="1" applyProtection="1">
      <alignment horizontal="center"/>
      <protection hidden="1"/>
    </xf>
    <xf numFmtId="44" fontId="6" fillId="3" borderId="27" xfId="2" applyFont="1" applyFill="1" applyBorder="1" applyAlignment="1" applyProtection="1">
      <alignment horizontal="center" vertical="center"/>
      <protection hidden="1"/>
    </xf>
    <xf numFmtId="44" fontId="11" fillId="7" borderId="28" xfId="2" applyFont="1" applyFill="1" applyBorder="1" applyAlignment="1" applyProtection="1">
      <alignment horizontal="center" vertical="center"/>
      <protection hidden="1"/>
    </xf>
    <xf numFmtId="0" fontId="10" fillId="0" borderId="24" xfId="0" applyFont="1" applyBorder="1" applyAlignment="1" applyProtection="1">
      <alignment horizontal="center" vertical="center"/>
      <protection hidden="1"/>
    </xf>
    <xf numFmtId="14" fontId="10" fillId="0" borderId="24" xfId="0" applyNumberFormat="1" applyFont="1" applyBorder="1" applyAlignment="1" applyProtection="1">
      <alignment horizontal="center" vertical="center"/>
      <protection hidden="1"/>
    </xf>
    <xf numFmtId="1" fontId="16" fillId="0" borderId="24" xfId="0" applyNumberFormat="1" applyFont="1" applyBorder="1" applyAlignment="1" applyProtection="1">
      <alignment horizontal="center" vertical="center"/>
      <protection hidden="1"/>
    </xf>
    <xf numFmtId="171" fontId="16" fillId="0" borderId="24" xfId="3" applyNumberFormat="1" applyFont="1" applyBorder="1" applyAlignment="1" applyProtection="1">
      <alignment vertical="center"/>
      <protection hidden="1"/>
    </xf>
    <xf numFmtId="170" fontId="6" fillId="0" borderId="24" xfId="0" applyNumberFormat="1" applyFont="1" applyBorder="1" applyAlignment="1" applyProtection="1">
      <alignment horizontal="center" vertical="center"/>
      <protection hidden="1"/>
    </xf>
    <xf numFmtId="4" fontId="10" fillId="0" borderId="24" xfId="0" applyNumberFormat="1" applyFont="1" applyBorder="1" applyAlignment="1" applyProtection="1">
      <alignment horizontal="center" vertical="center"/>
      <protection hidden="1"/>
    </xf>
    <xf numFmtId="170" fontId="6" fillId="0" borderId="29" xfId="0" applyNumberFormat="1" applyFont="1" applyBorder="1" applyAlignment="1" applyProtection="1">
      <alignment horizontal="center" vertical="center"/>
      <protection hidden="1"/>
    </xf>
    <xf numFmtId="14" fontId="6" fillId="0" borderId="19" xfId="0" applyNumberFormat="1" applyFont="1" applyBorder="1" applyAlignment="1" applyProtection="1">
      <alignment horizontal="center" vertical="center"/>
      <protection hidden="1"/>
    </xf>
    <xf numFmtId="40" fontId="6" fillId="0" borderId="19" xfId="0" applyNumberFormat="1" applyFont="1" applyBorder="1" applyAlignment="1" applyProtection="1">
      <alignment horizontal="center" vertical="center"/>
      <protection hidden="1"/>
    </xf>
    <xf numFmtId="40" fontId="6" fillId="0" borderId="30" xfId="0" applyNumberFormat="1" applyFont="1" applyBorder="1" applyAlignment="1" applyProtection="1">
      <alignment horizontal="center" vertical="center"/>
      <protection hidden="1"/>
    </xf>
    <xf numFmtId="10" fontId="10" fillId="3" borderId="31" xfId="0" applyNumberFormat="1" applyFont="1" applyFill="1" applyBorder="1" applyAlignment="1" applyProtection="1">
      <alignment horizontal="center" vertical="center"/>
      <protection hidden="1"/>
    </xf>
    <xf numFmtId="44" fontId="6" fillId="3" borderId="32" xfId="2" applyFont="1" applyFill="1" applyBorder="1" applyAlignment="1" applyProtection="1">
      <alignment horizontal="center" vertical="center"/>
      <protection hidden="1"/>
    </xf>
    <xf numFmtId="44" fontId="11" fillId="7" borderId="33" xfId="2" applyFont="1" applyFill="1" applyBorder="1" applyAlignment="1" applyProtection="1">
      <alignment horizontal="center" vertical="center"/>
      <protection hidden="1"/>
    </xf>
    <xf numFmtId="166" fontId="10" fillId="3" borderId="34" xfId="0" applyNumberFormat="1" applyFont="1" applyFill="1" applyBorder="1" applyAlignment="1" applyProtection="1">
      <alignment horizontal="center" vertical="center"/>
      <protection hidden="1"/>
    </xf>
    <xf numFmtId="44" fontId="6" fillId="3" borderId="35" xfId="2" applyFont="1" applyFill="1" applyBorder="1" applyAlignment="1" applyProtection="1">
      <alignment horizontal="center" vertical="center"/>
      <protection hidden="1"/>
    </xf>
    <xf numFmtId="44" fontId="11" fillId="7" borderId="36" xfId="2" applyFont="1" applyFill="1" applyBorder="1" applyAlignment="1" applyProtection="1">
      <alignment horizontal="center" vertical="center"/>
      <protection hidden="1"/>
    </xf>
    <xf numFmtId="40" fontId="11" fillId="4" borderId="37" xfId="0" applyNumberFormat="1" applyFont="1" applyFill="1" applyBorder="1" applyAlignment="1" applyProtection="1">
      <alignment horizontal="center" vertical="center" wrapText="1"/>
      <protection hidden="1"/>
    </xf>
    <xf numFmtId="40" fontId="11" fillId="4" borderId="38" xfId="0" applyNumberFormat="1" applyFont="1" applyFill="1" applyBorder="1" applyAlignment="1" applyProtection="1">
      <alignment horizontal="center" vertical="center" wrapText="1"/>
      <protection hidden="1"/>
    </xf>
    <xf numFmtId="40" fontId="11" fillId="4" borderId="39" xfId="0" applyNumberFormat="1" applyFont="1" applyFill="1" applyBorder="1" applyAlignment="1" applyProtection="1">
      <alignment horizontal="center" vertical="center" wrapText="1"/>
      <protection hidden="1"/>
    </xf>
    <xf numFmtId="44" fontId="10" fillId="8" borderId="31" xfId="2" applyFont="1" applyFill="1" applyBorder="1" applyAlignment="1" applyProtection="1">
      <alignment horizontal="center" vertical="center"/>
      <protection hidden="1"/>
    </xf>
    <xf numFmtId="38" fontId="6" fillId="8" borderId="32" xfId="0" applyNumberFormat="1" applyFont="1" applyFill="1" applyBorder="1" applyAlignment="1" applyProtection="1">
      <alignment horizontal="center" vertical="center"/>
      <protection hidden="1"/>
    </xf>
    <xf numFmtId="38" fontId="6" fillId="8" borderId="33" xfId="0" applyNumberFormat="1" applyFont="1" applyFill="1" applyBorder="1" applyAlignment="1" applyProtection="1">
      <alignment horizontal="center" vertical="center"/>
      <protection hidden="1"/>
    </xf>
    <xf numFmtId="0" fontId="16" fillId="0" borderId="24" xfId="0" applyFont="1" applyBorder="1" applyAlignment="1" applyProtection="1">
      <alignment horizontal="center" vertical="center"/>
      <protection hidden="1"/>
    </xf>
    <xf numFmtId="0" fontId="15" fillId="5" borderId="25" xfId="0" applyFont="1" applyFill="1" applyBorder="1" applyAlignment="1" applyProtection="1">
      <alignment horizontal="center" vertical="center"/>
      <protection hidden="1"/>
    </xf>
    <xf numFmtId="0" fontId="15" fillId="5" borderId="40" xfId="0" applyFont="1" applyFill="1" applyBorder="1" applyAlignment="1" applyProtection="1">
      <alignment horizontal="center" vertical="center"/>
      <protection hidden="1"/>
    </xf>
    <xf numFmtId="172" fontId="16" fillId="0" borderId="24" xfId="3" applyNumberFormat="1" applyFont="1" applyBorder="1" applyAlignment="1" applyProtection="1">
      <alignment horizontal="center" vertical="center"/>
      <protection hidden="1"/>
    </xf>
    <xf numFmtId="44" fontId="10" fillId="0" borderId="31" xfId="2" applyFont="1" applyBorder="1" applyAlignment="1" applyProtection="1">
      <alignment horizontal="center" vertical="center"/>
      <protection hidden="1"/>
    </xf>
    <xf numFmtId="38" fontId="6" fillId="0" borderId="32" xfId="0" applyNumberFormat="1" applyFont="1" applyBorder="1" applyAlignment="1" applyProtection="1">
      <alignment horizontal="center" vertical="center"/>
      <protection hidden="1"/>
    </xf>
    <xf numFmtId="38" fontId="6" fillId="0" borderId="33" xfId="0" applyNumberFormat="1" applyFont="1" applyBorder="1" applyAlignment="1" applyProtection="1">
      <alignment horizontal="center" vertical="center"/>
      <protection hidden="1"/>
    </xf>
    <xf numFmtId="0" fontId="14" fillId="5" borderId="0" xfId="0" applyFont="1" applyFill="1" applyAlignment="1" applyProtection="1">
      <alignment horizontal="center" vertical="center"/>
      <protection hidden="1"/>
    </xf>
    <xf numFmtId="0" fontId="4" fillId="5" borderId="0" xfId="0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40" fontId="12" fillId="9" borderId="44" xfId="0" applyNumberFormat="1" applyFont="1" applyFill="1" applyBorder="1" applyAlignment="1" applyProtection="1">
      <alignment horizontal="center" vertical="center"/>
      <protection hidden="1"/>
    </xf>
    <xf numFmtId="40" fontId="12" fillId="9" borderId="44" xfId="0" quotePrefix="1" applyNumberFormat="1" applyFont="1" applyFill="1" applyBorder="1" applyAlignment="1" applyProtection="1">
      <alignment horizontal="center" vertical="center"/>
      <protection hidden="1"/>
    </xf>
    <xf numFmtId="40" fontId="12" fillId="9" borderId="45" xfId="0" quotePrefix="1" applyNumberFormat="1" applyFont="1" applyFill="1" applyBorder="1" applyAlignment="1" applyProtection="1">
      <alignment horizontal="center" vertical="center"/>
      <protection hidden="1"/>
    </xf>
    <xf numFmtId="14" fontId="10" fillId="0" borderId="0" xfId="0" applyNumberFormat="1" applyFont="1" applyAlignment="1" applyProtection="1">
      <alignment horizontal="center" vertical="center"/>
      <protection hidden="1"/>
    </xf>
    <xf numFmtId="40" fontId="10" fillId="0" borderId="0" xfId="0" applyNumberFormat="1" applyFont="1" applyAlignment="1" applyProtection="1">
      <alignment horizontal="center" vertical="center"/>
      <protection hidden="1"/>
    </xf>
    <xf numFmtId="0" fontId="10" fillId="0" borderId="42" xfId="0" applyFont="1" applyBorder="1" applyAlignment="1" applyProtection="1">
      <alignment horizontal="center" vertical="center"/>
      <protection hidden="1"/>
    </xf>
    <xf numFmtId="0" fontId="17" fillId="0" borderId="0" xfId="0" applyFont="1" applyProtection="1">
      <protection hidden="1"/>
    </xf>
    <xf numFmtId="0" fontId="0" fillId="0" borderId="0" xfId="0" applyProtection="1"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3" borderId="0" xfId="0" applyFill="1" applyAlignment="1" applyProtection="1">
      <alignment horizontal="center"/>
      <protection hidden="1"/>
    </xf>
    <xf numFmtId="9" fontId="0" fillId="3" borderId="0" xfId="0" applyNumberFormat="1" applyFill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0" fillId="2" borderId="0" xfId="0" applyFill="1" applyAlignment="1" applyProtection="1">
      <alignment horizontal="center"/>
      <protection hidden="1"/>
    </xf>
    <xf numFmtId="0" fontId="6" fillId="3" borderId="0" xfId="0" applyFont="1" applyFill="1" applyAlignment="1" applyProtection="1">
      <alignment horizontal="center" vertical="center"/>
      <protection locked="0"/>
    </xf>
    <xf numFmtId="14" fontId="10" fillId="3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Protection="1">
      <protection hidden="1"/>
    </xf>
    <xf numFmtId="4" fontId="6" fillId="2" borderId="0" xfId="0" applyNumberFormat="1" applyFont="1" applyFill="1" applyAlignment="1" applyProtection="1">
      <alignment horizontal="center" vertical="center"/>
      <protection hidden="1"/>
    </xf>
    <xf numFmtId="166" fontId="21" fillId="2" borderId="7" xfId="0" applyNumberFormat="1" applyFont="1" applyFill="1" applyBorder="1" applyAlignment="1" applyProtection="1">
      <alignment horizontal="left" vertical="center"/>
      <protection hidden="1"/>
    </xf>
    <xf numFmtId="0" fontId="0" fillId="11" borderId="0" xfId="0" applyFill="1"/>
    <xf numFmtId="0" fontId="24" fillId="12" borderId="50" xfId="0" applyFont="1" applyFill="1" applyBorder="1" applyAlignment="1">
      <alignment horizontal="left" vertical="center" wrapText="1"/>
    </xf>
    <xf numFmtId="0" fontId="24" fillId="12" borderId="50" xfId="0" applyFont="1" applyFill="1" applyBorder="1" applyAlignment="1">
      <alignment horizontal="right" vertical="center" wrapText="1"/>
    </xf>
    <xf numFmtId="0" fontId="22" fillId="12" borderId="50" xfId="0" applyFont="1" applyFill="1" applyBorder="1" applyAlignment="1">
      <alignment horizontal="right" vertical="center" wrapText="1"/>
    </xf>
    <xf numFmtId="0" fontId="23" fillId="11" borderId="0" xfId="0" applyFont="1" applyFill="1" applyAlignment="1">
      <alignment horizontal="left" vertical="center" wrapText="1"/>
    </xf>
    <xf numFmtId="14" fontId="23" fillId="11" borderId="0" xfId="0" applyNumberFormat="1" applyFont="1" applyFill="1" applyAlignment="1">
      <alignment horizontal="left" vertical="center" wrapText="1"/>
    </xf>
    <xf numFmtId="4" fontId="23" fillId="11" borderId="0" xfId="0" applyNumberFormat="1" applyFont="1" applyFill="1" applyAlignment="1">
      <alignment horizontal="right" vertical="center" wrapText="1"/>
    </xf>
    <xf numFmtId="0" fontId="23" fillId="11" borderId="0" xfId="0" applyFont="1" applyFill="1" applyAlignment="1">
      <alignment horizontal="right" vertical="center" wrapText="1"/>
    </xf>
    <xf numFmtId="0" fontId="22" fillId="11" borderId="0" xfId="0" applyFont="1" applyFill="1" applyAlignment="1">
      <alignment horizontal="right" vertical="center" wrapText="1"/>
    </xf>
    <xf numFmtId="0" fontId="23" fillId="13" borderId="0" xfId="0" applyFont="1" applyFill="1" applyAlignment="1">
      <alignment horizontal="left" vertical="center" wrapText="1"/>
    </xf>
    <xf numFmtId="14" fontId="23" fillId="13" borderId="0" xfId="0" applyNumberFormat="1" applyFont="1" applyFill="1" applyAlignment="1">
      <alignment horizontal="left" vertical="center" wrapText="1"/>
    </xf>
    <xf numFmtId="4" fontId="23" fillId="13" borderId="0" xfId="0" applyNumberFormat="1" applyFont="1" applyFill="1" applyAlignment="1">
      <alignment horizontal="right" vertical="center" wrapText="1"/>
    </xf>
    <xf numFmtId="0" fontId="23" fillId="13" borderId="0" xfId="0" applyFont="1" applyFill="1" applyAlignment="1">
      <alignment horizontal="right" vertical="center" wrapText="1"/>
    </xf>
    <xf numFmtId="0" fontId="22" fillId="13" borderId="0" xfId="0" applyFont="1" applyFill="1" applyAlignment="1">
      <alignment horizontal="right" vertical="center" wrapText="1"/>
    </xf>
    <xf numFmtId="4" fontId="10" fillId="0" borderId="0" xfId="0" applyNumberFormat="1" applyFont="1" applyAlignment="1" applyProtection="1">
      <alignment horizontal="center" vertical="center"/>
      <protection hidden="1"/>
    </xf>
    <xf numFmtId="170" fontId="12" fillId="9" borderId="47" xfId="0" applyNumberFormat="1" applyFont="1" applyFill="1" applyBorder="1" applyAlignment="1" applyProtection="1">
      <alignment horizontal="center" vertical="center"/>
      <protection hidden="1"/>
    </xf>
    <xf numFmtId="170" fontId="12" fillId="9" borderId="48" xfId="0" applyNumberFormat="1" applyFont="1" applyFill="1" applyBorder="1" applyAlignment="1" applyProtection="1">
      <alignment horizontal="center" vertical="center"/>
      <protection hidden="1"/>
    </xf>
    <xf numFmtId="170" fontId="12" fillId="9" borderId="49" xfId="0" applyNumberFormat="1" applyFont="1" applyFill="1" applyBorder="1" applyAlignment="1" applyProtection="1">
      <alignment horizontal="center" vertical="center"/>
      <protection hidden="1"/>
    </xf>
    <xf numFmtId="10" fontId="8" fillId="2" borderId="0" xfId="3" applyNumberFormat="1" applyFont="1" applyFill="1" applyAlignment="1" applyProtection="1">
      <alignment horizontal="left" vertical="center"/>
      <protection hidden="1"/>
    </xf>
    <xf numFmtId="10" fontId="6" fillId="2" borderId="11" xfId="3" applyNumberFormat="1" applyFont="1" applyFill="1" applyBorder="1" applyAlignment="1" applyProtection="1">
      <alignment horizontal="left" vertical="center" indent="1"/>
      <protection hidden="1"/>
    </xf>
    <xf numFmtId="166" fontId="21" fillId="2" borderId="12" xfId="0" applyNumberFormat="1" applyFont="1" applyFill="1" applyBorder="1" applyAlignment="1" applyProtection="1">
      <alignment horizontal="left" vertical="center"/>
      <protection hidden="1"/>
    </xf>
    <xf numFmtId="173" fontId="6" fillId="2" borderId="0" xfId="2" quotePrefix="1" applyNumberFormat="1" applyFont="1" applyFill="1" applyAlignment="1" applyProtection="1">
      <alignment horizontal="left" vertical="center" indent="1"/>
      <protection hidden="1"/>
    </xf>
    <xf numFmtId="40" fontId="11" fillId="4" borderId="52" xfId="0" applyNumberFormat="1" applyFont="1" applyFill="1" applyBorder="1" applyAlignment="1" applyProtection="1">
      <alignment horizontal="center" vertical="center" wrapText="1"/>
      <protection hidden="1"/>
    </xf>
    <xf numFmtId="40" fontId="11" fillId="4" borderId="53" xfId="0" applyNumberFormat="1" applyFont="1" applyFill="1" applyBorder="1" applyAlignment="1" applyProtection="1">
      <alignment horizontal="center" vertical="center" wrapText="1"/>
      <protection hidden="1"/>
    </xf>
    <xf numFmtId="40" fontId="11" fillId="4" borderId="54" xfId="0" applyNumberFormat="1" applyFont="1" applyFill="1" applyBorder="1" applyAlignment="1" applyProtection="1">
      <alignment horizontal="center" vertical="center" wrapText="1"/>
      <protection hidden="1"/>
    </xf>
    <xf numFmtId="170" fontId="12" fillId="9" borderId="47" xfId="0" applyNumberFormat="1" applyFont="1" applyFill="1" applyBorder="1" applyAlignment="1" applyProtection="1">
      <alignment horizontal="left" vertical="center"/>
      <protection hidden="1"/>
    </xf>
    <xf numFmtId="0" fontId="12" fillId="14" borderId="0" xfId="0" applyFont="1" applyFill="1" applyAlignment="1" applyProtection="1">
      <alignment horizontal="center" vertical="center"/>
      <protection locked="0"/>
    </xf>
    <xf numFmtId="44" fontId="5" fillId="2" borderId="0" xfId="2" applyFont="1" applyFill="1" applyAlignment="1" applyProtection="1">
      <alignment vertical="center"/>
      <protection hidden="1"/>
    </xf>
    <xf numFmtId="10" fontId="7" fillId="2" borderId="0" xfId="3" applyNumberFormat="1" applyFont="1" applyFill="1" applyAlignment="1" applyProtection="1">
      <alignment horizontal="center" vertical="center"/>
      <protection hidden="1"/>
    </xf>
    <xf numFmtId="9" fontId="10" fillId="0" borderId="0" xfId="0" applyNumberFormat="1" applyFont="1" applyAlignment="1" applyProtection="1">
      <alignment horizontal="center" vertical="center"/>
      <protection hidden="1"/>
    </xf>
    <xf numFmtId="10" fontId="10" fillId="0" borderId="0" xfId="0" applyNumberFormat="1" applyFont="1" applyAlignment="1" applyProtection="1">
      <alignment horizontal="center" vertical="center"/>
      <protection hidden="1"/>
    </xf>
    <xf numFmtId="9" fontId="14" fillId="5" borderId="0" xfId="0" applyNumberFormat="1" applyFont="1" applyFill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167" fontId="5" fillId="14" borderId="0" xfId="0" applyNumberFormat="1" applyFont="1" applyFill="1" applyAlignment="1" applyProtection="1">
      <alignment horizontal="center" vertical="center"/>
      <protection locked="0"/>
    </xf>
    <xf numFmtId="0" fontId="11" fillId="7" borderId="0" xfId="0" applyFont="1" applyFill="1" applyAlignment="1" applyProtection="1">
      <alignment horizontal="left" vertical="center"/>
      <protection hidden="1"/>
    </xf>
    <xf numFmtId="166" fontId="10" fillId="3" borderId="52" xfId="0" applyNumberFormat="1" applyFont="1" applyFill="1" applyBorder="1" applyAlignment="1" applyProtection="1">
      <alignment horizontal="center" vertical="center"/>
      <protection hidden="1"/>
    </xf>
    <xf numFmtId="44" fontId="6" fillId="3" borderId="53" xfId="2" applyFont="1" applyFill="1" applyBorder="1" applyAlignment="1" applyProtection="1">
      <alignment horizontal="center" vertical="center"/>
      <protection hidden="1"/>
    </xf>
    <xf numFmtId="44" fontId="11" fillId="7" borderId="54" xfId="2" applyFon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vertical="center"/>
      <protection hidden="1"/>
    </xf>
    <xf numFmtId="167" fontId="28" fillId="5" borderId="0" xfId="0" applyNumberFormat="1" applyFont="1" applyFill="1" applyAlignment="1" applyProtection="1">
      <alignment horizontal="left" vertical="center"/>
      <protection hidden="1"/>
    </xf>
    <xf numFmtId="0" fontId="24" fillId="12" borderId="50" xfId="0" applyFont="1" applyFill="1" applyBorder="1" applyAlignment="1" applyProtection="1">
      <alignment horizontal="left" vertical="center" wrapText="1"/>
      <protection hidden="1"/>
    </xf>
    <xf numFmtId="0" fontId="24" fillId="12" borderId="50" xfId="0" applyFont="1" applyFill="1" applyBorder="1" applyAlignment="1" applyProtection="1">
      <alignment horizontal="right" vertical="center" wrapText="1"/>
      <protection hidden="1"/>
    </xf>
    <xf numFmtId="0" fontId="22" fillId="12" borderId="50" xfId="0" applyFont="1" applyFill="1" applyBorder="1" applyAlignment="1" applyProtection="1">
      <alignment horizontal="right" vertical="center" wrapText="1"/>
      <protection hidden="1"/>
    </xf>
    <xf numFmtId="0" fontId="23" fillId="11" borderId="0" xfId="0" applyFont="1" applyFill="1" applyAlignment="1" applyProtection="1">
      <alignment horizontal="left" vertical="center" wrapText="1"/>
      <protection hidden="1"/>
    </xf>
    <xf numFmtId="14" fontId="23" fillId="11" borderId="0" xfId="0" applyNumberFormat="1" applyFont="1" applyFill="1" applyAlignment="1" applyProtection="1">
      <alignment horizontal="left" vertical="center" wrapText="1"/>
      <protection hidden="1"/>
    </xf>
    <xf numFmtId="4" fontId="23" fillId="11" borderId="0" xfId="0" applyNumberFormat="1" applyFont="1" applyFill="1" applyAlignment="1" applyProtection="1">
      <alignment horizontal="right" vertical="center" wrapText="1"/>
      <protection hidden="1"/>
    </xf>
    <xf numFmtId="0" fontId="23" fillId="11" borderId="0" xfId="0" applyFont="1" applyFill="1" applyAlignment="1" applyProtection="1">
      <alignment horizontal="right" vertical="center" wrapText="1"/>
      <protection hidden="1"/>
    </xf>
    <xf numFmtId="0" fontId="22" fillId="11" borderId="0" xfId="0" applyFont="1" applyFill="1" applyAlignment="1" applyProtection="1">
      <alignment horizontal="right" vertical="center" wrapText="1"/>
      <protection hidden="1"/>
    </xf>
    <xf numFmtId="0" fontId="23" fillId="13" borderId="0" xfId="0" applyFont="1" applyFill="1" applyAlignment="1" applyProtection="1">
      <alignment horizontal="left" vertical="center" wrapText="1"/>
      <protection hidden="1"/>
    </xf>
    <xf numFmtId="14" fontId="23" fillId="13" borderId="0" xfId="0" applyNumberFormat="1" applyFont="1" applyFill="1" applyAlignment="1" applyProtection="1">
      <alignment horizontal="left" vertical="center" wrapText="1"/>
      <protection hidden="1"/>
    </xf>
    <xf numFmtId="4" fontId="23" fillId="13" borderId="0" xfId="0" applyNumberFormat="1" applyFont="1" applyFill="1" applyAlignment="1" applyProtection="1">
      <alignment horizontal="right" vertical="center" wrapText="1"/>
      <protection hidden="1"/>
    </xf>
    <xf numFmtId="0" fontId="23" fillId="13" borderId="0" xfId="0" applyFont="1" applyFill="1" applyAlignment="1" applyProtection="1">
      <alignment horizontal="right" vertical="center" wrapText="1"/>
      <protection hidden="1"/>
    </xf>
    <xf numFmtId="0" fontId="22" fillId="13" borderId="0" xfId="0" applyFont="1" applyFill="1" applyAlignment="1" applyProtection="1">
      <alignment horizontal="right" vertical="center" wrapText="1"/>
      <protection hidden="1"/>
    </xf>
    <xf numFmtId="0" fontId="0" fillId="11" borderId="0" xfId="0" applyFill="1" applyProtection="1"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30" fillId="14" borderId="0" xfId="0" applyFont="1" applyFill="1" applyAlignment="1" applyProtection="1">
      <alignment horizontal="center" vertical="center"/>
      <protection locked="0"/>
    </xf>
    <xf numFmtId="10" fontId="10" fillId="2" borderId="0" xfId="3" applyNumberFormat="1" applyFont="1" applyFill="1" applyAlignment="1" applyProtection="1">
      <alignment horizontal="center" vertical="center"/>
      <protection hidden="1"/>
    </xf>
    <xf numFmtId="40" fontId="10" fillId="2" borderId="5" xfId="0" applyNumberFormat="1" applyFont="1" applyFill="1" applyBorder="1" applyAlignment="1" applyProtection="1">
      <alignment horizontal="left" vertical="center" indent="2"/>
      <protection hidden="1"/>
    </xf>
    <xf numFmtId="40" fontId="10" fillId="2" borderId="6" xfId="0" applyNumberFormat="1" applyFont="1" applyFill="1" applyBorder="1" applyAlignment="1" applyProtection="1">
      <alignment horizontal="left" vertical="center" indent="2"/>
      <protection hidden="1"/>
    </xf>
    <xf numFmtId="40" fontId="10" fillId="2" borderId="10" xfId="0" applyNumberFormat="1" applyFont="1" applyFill="1" applyBorder="1" applyAlignment="1" applyProtection="1">
      <alignment horizontal="left" vertical="center" indent="2"/>
      <protection hidden="1"/>
    </xf>
    <xf numFmtId="40" fontId="10" fillId="2" borderId="11" xfId="0" applyNumberFormat="1" applyFont="1" applyFill="1" applyBorder="1" applyAlignment="1" applyProtection="1">
      <alignment horizontal="left" vertical="center" indent="2"/>
      <protection hidden="1"/>
    </xf>
    <xf numFmtId="40" fontId="11" fillId="2" borderId="5" xfId="0" applyNumberFormat="1" applyFont="1" applyFill="1" applyBorder="1" applyAlignment="1" applyProtection="1">
      <alignment horizontal="left" vertical="center" indent="2"/>
      <protection hidden="1"/>
    </xf>
    <xf numFmtId="40" fontId="11" fillId="2" borderId="6" xfId="0" applyNumberFormat="1" applyFont="1" applyFill="1" applyBorder="1" applyAlignment="1" applyProtection="1">
      <alignment horizontal="left" vertical="center" indent="2"/>
      <protection hidden="1"/>
    </xf>
    <xf numFmtId="43" fontId="0" fillId="0" borderId="0" xfId="1" applyFont="1"/>
    <xf numFmtId="174" fontId="0" fillId="0" borderId="0" xfId="1" applyNumberFormat="1" applyFont="1"/>
    <xf numFmtId="10" fontId="0" fillId="0" borderId="0" xfId="3" applyNumberFormat="1" applyFont="1"/>
    <xf numFmtId="172" fontId="0" fillId="0" borderId="0" xfId="3" applyNumberFormat="1" applyFont="1"/>
    <xf numFmtId="43" fontId="0" fillId="0" borderId="0" xfId="0" applyNumberFormat="1"/>
    <xf numFmtId="14" fontId="0" fillId="0" borderId="0" xfId="0" applyNumberFormat="1"/>
    <xf numFmtId="14" fontId="10" fillId="2" borderId="0" xfId="0" applyNumberFormat="1" applyFont="1" applyFill="1" applyAlignment="1" applyProtection="1">
      <alignment horizontal="center" vertical="center"/>
      <protection hidden="1"/>
    </xf>
    <xf numFmtId="40" fontId="10" fillId="2" borderId="0" xfId="0" applyNumberFormat="1" applyFont="1" applyFill="1" applyAlignment="1" applyProtection="1">
      <alignment horizontal="center" vertical="center"/>
      <protection hidden="1"/>
    </xf>
    <xf numFmtId="0" fontId="18" fillId="2" borderId="0" xfId="0" applyFont="1" applyFill="1" applyAlignment="1" applyProtection="1">
      <alignment vertical="center" wrapText="1"/>
      <protection hidden="1"/>
    </xf>
    <xf numFmtId="0" fontId="31" fillId="2" borderId="0" xfId="0" applyFont="1" applyFill="1" applyAlignment="1" applyProtection="1">
      <alignment vertical="center"/>
      <protection hidden="1"/>
    </xf>
    <xf numFmtId="4" fontId="11" fillId="0" borderId="24" xfId="0" applyNumberFormat="1" applyFont="1" applyBorder="1" applyAlignment="1" applyProtection="1">
      <alignment horizontal="center" vertical="center"/>
      <protection hidden="1"/>
    </xf>
    <xf numFmtId="14" fontId="5" fillId="9" borderId="0" xfId="0" applyNumberFormat="1" applyFont="1" applyFill="1" applyAlignment="1" applyProtection="1">
      <alignment horizontal="center" vertical="center"/>
      <protection hidden="1"/>
    </xf>
    <xf numFmtId="0" fontId="10" fillId="9" borderId="0" xfId="0" applyFont="1" applyFill="1" applyAlignment="1" applyProtection="1">
      <alignment horizontal="center" vertical="center"/>
      <protection hidden="1"/>
    </xf>
    <xf numFmtId="0" fontId="0" fillId="9" borderId="0" xfId="0" applyFill="1" applyProtection="1">
      <protection hidden="1"/>
    </xf>
    <xf numFmtId="4" fontId="10" fillId="0" borderId="40" xfId="0" applyNumberFormat="1" applyFont="1" applyBorder="1" applyAlignment="1" applyProtection="1">
      <alignment horizontal="center" vertical="center"/>
      <protection hidden="1"/>
    </xf>
    <xf numFmtId="170" fontId="6" fillId="0" borderId="56" xfId="0" applyNumberFormat="1" applyFont="1" applyBorder="1" applyAlignment="1" applyProtection="1">
      <alignment horizontal="center" vertical="center"/>
      <protection hidden="1"/>
    </xf>
    <xf numFmtId="4" fontId="10" fillId="0" borderId="56" xfId="0" applyNumberFormat="1" applyFont="1" applyBorder="1" applyAlignment="1" applyProtection="1">
      <alignment horizontal="center" vertical="center"/>
      <protection hidden="1"/>
    </xf>
    <xf numFmtId="40" fontId="11" fillId="4" borderId="2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4" xfId="0" applyBorder="1"/>
    <xf numFmtId="43" fontId="0" fillId="0" borderId="24" xfId="1" applyFont="1" applyBorder="1"/>
    <xf numFmtId="14" fontId="0" fillId="0" borderId="24" xfId="0" applyNumberFormat="1" applyBorder="1"/>
    <xf numFmtId="43" fontId="0" fillId="0" borderId="24" xfId="0" applyNumberFormat="1" applyBorder="1"/>
    <xf numFmtId="0" fontId="10" fillId="9" borderId="24" xfId="0" applyFont="1" applyFill="1" applyBorder="1" applyAlignment="1" applyProtection="1">
      <alignment horizontal="center" vertical="center"/>
      <protection hidden="1"/>
    </xf>
    <xf numFmtId="0" fontId="0" fillId="9" borderId="24" xfId="0" applyFill="1" applyBorder="1"/>
    <xf numFmtId="43" fontId="0" fillId="9" borderId="24" xfId="1" applyFont="1" applyFill="1" applyBorder="1"/>
    <xf numFmtId="0" fontId="32" fillId="9" borderId="24" xfId="0" applyFont="1" applyFill="1" applyBorder="1" applyAlignment="1">
      <alignment horizontal="center" vertical="center"/>
    </xf>
    <xf numFmtId="43" fontId="32" fillId="9" borderId="24" xfId="1" applyFont="1" applyFill="1" applyBorder="1" applyAlignment="1">
      <alignment horizontal="center" vertical="center"/>
    </xf>
    <xf numFmtId="174" fontId="0" fillId="9" borderId="24" xfId="1" applyNumberFormat="1" applyFont="1" applyFill="1" applyBorder="1"/>
    <xf numFmtId="172" fontId="0" fillId="9" borderId="24" xfId="3" applyNumberFormat="1" applyFont="1" applyFill="1" applyBorder="1"/>
    <xf numFmtId="10" fontId="0" fillId="9" borderId="24" xfId="3" applyNumberFormat="1" applyFont="1" applyFill="1" applyBorder="1"/>
    <xf numFmtId="0" fontId="0" fillId="0" borderId="24" xfId="0" applyBorder="1" applyAlignment="1">
      <alignment horizontal="center"/>
    </xf>
    <xf numFmtId="40" fontId="10" fillId="2" borderId="6" xfId="0" applyNumberFormat="1" applyFont="1" applyFill="1" applyBorder="1" applyAlignment="1" applyProtection="1">
      <alignment vertical="center"/>
      <protection hidden="1"/>
    </xf>
    <xf numFmtId="167" fontId="12" fillId="2" borderId="0" xfId="0" applyNumberFormat="1" applyFont="1" applyFill="1" applyAlignment="1" applyProtection="1">
      <alignment horizontal="left" vertical="center" indent="1"/>
      <protection hidden="1"/>
    </xf>
    <xf numFmtId="10" fontId="11" fillId="14" borderId="0" xfId="3" applyNumberFormat="1" applyFont="1" applyFill="1" applyBorder="1" applyAlignment="1" applyProtection="1">
      <alignment horizontal="center" vertical="center"/>
      <protection locked="0"/>
    </xf>
    <xf numFmtId="40" fontId="10" fillId="0" borderId="55" xfId="0" applyNumberFormat="1" applyFont="1" applyBorder="1" applyAlignment="1" applyProtection="1">
      <alignment horizontal="center" vertical="center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10" fontId="6" fillId="2" borderId="11" xfId="0" applyNumberFormat="1" applyFont="1" applyFill="1" applyBorder="1" applyAlignment="1" applyProtection="1">
      <alignment horizontal="left" vertical="center" indent="1"/>
      <protection hidden="1"/>
    </xf>
    <xf numFmtId="10" fontId="12" fillId="2" borderId="0" xfId="0" applyNumberFormat="1" applyFont="1" applyFill="1" applyAlignment="1" applyProtection="1">
      <alignment horizontal="center" vertical="center" wrapText="1"/>
      <protection hidden="1"/>
    </xf>
    <xf numFmtId="14" fontId="10" fillId="14" borderId="58" xfId="0" applyNumberFormat="1" applyFont="1" applyFill="1" applyBorder="1" applyAlignment="1" applyProtection="1">
      <alignment horizontal="center" vertical="center"/>
      <protection locked="0"/>
    </xf>
    <xf numFmtId="10" fontId="10" fillId="2" borderId="0" xfId="3" quotePrefix="1" applyNumberFormat="1" applyFont="1" applyFill="1" applyAlignment="1" applyProtection="1">
      <alignment horizontal="center" vertical="center"/>
      <protection hidden="1"/>
    </xf>
    <xf numFmtId="166" fontId="14" fillId="2" borderId="7" xfId="0" applyNumberFormat="1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shrinkToFit="1"/>
      <protection hidden="1"/>
    </xf>
    <xf numFmtId="2" fontId="8" fillId="2" borderId="0" xfId="3" applyNumberFormat="1" applyFont="1" applyFill="1" applyAlignment="1" applyProtection="1">
      <alignment horizontal="center" vertical="center"/>
      <protection hidden="1"/>
    </xf>
    <xf numFmtId="0" fontId="34" fillId="2" borderId="7" xfId="0" applyFont="1" applyFill="1" applyBorder="1" applyAlignment="1" applyProtection="1">
      <alignment horizontal="center" vertical="center" shrinkToFit="1"/>
      <protection hidden="1"/>
    </xf>
    <xf numFmtId="0" fontId="11" fillId="2" borderId="7" xfId="0" applyFont="1" applyFill="1" applyBorder="1" applyAlignment="1" applyProtection="1">
      <alignment horizontal="center" shrinkToFit="1"/>
      <protection hidden="1"/>
    </xf>
    <xf numFmtId="0" fontId="10" fillId="3" borderId="0" xfId="0" applyFont="1" applyFill="1" applyAlignment="1" applyProtection="1">
      <alignment horizontal="center" vertical="center"/>
      <protection locked="0"/>
    </xf>
    <xf numFmtId="40" fontId="11" fillId="2" borderId="0" xfId="0" applyNumberFormat="1" applyFont="1" applyFill="1" applyAlignment="1" applyProtection="1">
      <alignment horizontal="center" vertical="center"/>
      <protection hidden="1"/>
    </xf>
    <xf numFmtId="40" fontId="11" fillId="3" borderId="0" xfId="0" applyNumberFormat="1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44" fontId="10" fillId="3" borderId="0" xfId="2" applyFont="1" applyFill="1" applyAlignment="1" applyProtection="1">
      <alignment horizontal="center" vertical="center"/>
      <protection locked="0"/>
    </xf>
    <xf numFmtId="40" fontId="10" fillId="2" borderId="5" xfId="0" applyNumberFormat="1" applyFont="1" applyFill="1" applyBorder="1" applyAlignment="1" applyProtection="1">
      <alignment horizontal="left" vertical="center" indent="2"/>
      <protection hidden="1"/>
    </xf>
    <xf numFmtId="40" fontId="10" fillId="2" borderId="6" xfId="0" applyNumberFormat="1" applyFont="1" applyFill="1" applyBorder="1" applyAlignment="1" applyProtection="1">
      <alignment horizontal="left" vertical="center" indent="2"/>
      <protection hidden="1"/>
    </xf>
    <xf numFmtId="40" fontId="10" fillId="2" borderId="10" xfId="0" applyNumberFormat="1" applyFont="1" applyFill="1" applyBorder="1" applyAlignment="1" applyProtection="1">
      <alignment horizontal="left" vertical="center" indent="2"/>
      <protection hidden="1"/>
    </xf>
    <xf numFmtId="40" fontId="10" fillId="2" borderId="11" xfId="0" applyNumberFormat="1" applyFont="1" applyFill="1" applyBorder="1" applyAlignment="1" applyProtection="1">
      <alignment horizontal="left" vertical="center" indent="2"/>
      <protection hidden="1"/>
    </xf>
    <xf numFmtId="0" fontId="10" fillId="0" borderId="14" xfId="0" applyFont="1" applyBorder="1" applyAlignment="1" applyProtection="1">
      <alignment horizontal="center" vertical="center"/>
      <protection hidden="1"/>
    </xf>
    <xf numFmtId="0" fontId="10" fillId="0" borderId="15" xfId="0" applyFont="1" applyBorder="1" applyAlignment="1" applyProtection="1">
      <alignment horizontal="center" vertical="center"/>
      <protection hidden="1"/>
    </xf>
    <xf numFmtId="0" fontId="10" fillId="0" borderId="16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left" vertical="center" wrapText="1"/>
      <protection hidden="1"/>
    </xf>
    <xf numFmtId="0" fontId="3" fillId="7" borderId="51" xfId="0" applyFont="1" applyFill="1" applyBorder="1" applyAlignment="1">
      <alignment horizontal="center" vertical="center"/>
    </xf>
    <xf numFmtId="0" fontId="10" fillId="0" borderId="46" xfId="0" applyFont="1" applyBorder="1" applyAlignment="1" applyProtection="1">
      <alignment horizontal="center" vertical="center"/>
      <protection hidden="1"/>
    </xf>
    <xf numFmtId="0" fontId="3" fillId="7" borderId="51" xfId="0" applyFont="1" applyFill="1" applyBorder="1" applyAlignment="1" applyProtection="1">
      <alignment horizontal="center" vertical="center"/>
      <protection hidden="1"/>
    </xf>
    <xf numFmtId="40" fontId="26" fillId="14" borderId="0" xfId="0" applyNumberFormat="1" applyFont="1" applyFill="1" applyAlignment="1" applyProtection="1">
      <alignment horizontal="center" vertical="center"/>
      <protection locked="0"/>
    </xf>
    <xf numFmtId="0" fontId="27" fillId="14" borderId="0" xfId="0" applyFont="1" applyFill="1" applyAlignment="1" applyProtection="1">
      <alignment horizontal="center" vertical="center"/>
      <protection locked="0"/>
    </xf>
    <xf numFmtId="44" fontId="11" fillId="14" borderId="0" xfId="2" applyFont="1" applyFill="1" applyAlignment="1" applyProtection="1">
      <alignment horizontal="center" vertical="center"/>
      <protection locked="0"/>
    </xf>
    <xf numFmtId="40" fontId="11" fillId="2" borderId="5" xfId="0" applyNumberFormat="1" applyFont="1" applyFill="1" applyBorder="1" applyAlignment="1" applyProtection="1">
      <alignment horizontal="left" vertical="center" indent="2"/>
      <protection hidden="1"/>
    </xf>
    <xf numFmtId="40" fontId="11" fillId="2" borderId="6" xfId="0" applyNumberFormat="1" applyFont="1" applyFill="1" applyBorder="1" applyAlignment="1" applyProtection="1">
      <alignment horizontal="left" vertical="center" indent="2"/>
      <protection hidden="1"/>
    </xf>
    <xf numFmtId="40" fontId="29" fillId="2" borderId="0" xfId="0" applyNumberFormat="1" applyFont="1" applyFill="1" applyAlignment="1" applyProtection="1">
      <alignment horizontal="center" vertical="center"/>
      <protection hidden="1"/>
    </xf>
    <xf numFmtId="40" fontId="11" fillId="4" borderId="25" xfId="0" applyNumberFormat="1" applyFont="1" applyFill="1" applyBorder="1" applyAlignment="1" applyProtection="1">
      <alignment horizontal="center" vertical="center" wrapText="1"/>
      <protection hidden="1"/>
    </xf>
    <xf numFmtId="40" fontId="11" fillId="4" borderId="57" xfId="0" applyNumberFormat="1" applyFont="1" applyFill="1" applyBorder="1" applyAlignment="1" applyProtection="1">
      <alignment horizontal="center" vertical="center" wrapText="1"/>
      <protection hidden="1"/>
    </xf>
    <xf numFmtId="40" fontId="11" fillId="4" borderId="40" xfId="0" applyNumberFormat="1" applyFont="1" applyFill="1" applyBorder="1" applyAlignment="1" applyProtection="1">
      <alignment horizontal="center" vertical="center" wrapText="1"/>
      <protection hidden="1"/>
    </xf>
    <xf numFmtId="0" fontId="31" fillId="2" borderId="0" xfId="0" applyFont="1" applyFill="1" applyAlignment="1" applyProtection="1">
      <alignment horizontal="left" vertical="center" wrapText="1"/>
      <protection hidden="1"/>
    </xf>
    <xf numFmtId="0" fontId="10" fillId="14" borderId="0" xfId="0" applyFont="1" applyFill="1" applyAlignment="1" applyProtection="1">
      <alignment horizontal="center" vertical="center" wrapText="1"/>
      <protection locked="0"/>
    </xf>
    <xf numFmtId="0" fontId="10" fillId="14" borderId="0" xfId="0" applyFont="1" applyFill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hidden="1"/>
    </xf>
    <xf numFmtId="0" fontId="20" fillId="10" borderId="0" xfId="4" applyFont="1" applyFill="1" applyAlignment="1" applyProtection="1">
      <alignment horizontal="center" vertical="center" wrapText="1"/>
      <protection hidden="1"/>
    </xf>
    <xf numFmtId="40" fontId="10" fillId="0" borderId="10" xfId="0" applyNumberFormat="1" applyFont="1" applyBorder="1" applyAlignment="1" applyProtection="1">
      <alignment horizontal="left" vertical="center" indent="2"/>
      <protection hidden="1"/>
    </xf>
    <xf numFmtId="40" fontId="10" fillId="0" borderId="11" xfId="0" applyNumberFormat="1" applyFont="1" applyBorder="1" applyAlignment="1" applyProtection="1">
      <alignment horizontal="left" vertical="center" indent="2"/>
      <protection hidden="1"/>
    </xf>
    <xf numFmtId="170" fontId="12" fillId="9" borderId="41" xfId="0" applyNumberFormat="1" applyFont="1" applyFill="1" applyBorder="1" applyAlignment="1" applyProtection="1">
      <alignment horizontal="center" vertical="center"/>
      <protection hidden="1"/>
    </xf>
    <xf numFmtId="170" fontId="12" fillId="9" borderId="42" xfId="0" applyNumberFormat="1" applyFont="1" applyFill="1" applyBorder="1" applyAlignment="1" applyProtection="1">
      <alignment horizontal="center" vertical="center"/>
      <protection hidden="1"/>
    </xf>
    <xf numFmtId="170" fontId="12" fillId="9" borderId="43" xfId="0" applyNumberFormat="1" applyFont="1" applyFill="1" applyBorder="1" applyAlignment="1" applyProtection="1">
      <alignment horizontal="center" vertical="center"/>
      <protection hidden="1"/>
    </xf>
  </cellXfs>
  <cellStyles count="5">
    <cellStyle name="Hiperlink" xfId="4" builtinId="8"/>
    <cellStyle name="Moeda" xfId="2" builtinId="4"/>
    <cellStyle name="Normal" xfId="0" builtinId="0"/>
    <cellStyle name="Porcentagem" xfId="3" builtinId="5"/>
    <cellStyle name="Vírgula" xfId="1" builtinId="3"/>
  </cellStyles>
  <dxfs count="3">
    <dxf>
      <fill>
        <patternFill>
          <bgColor rgb="FFFFFF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76612</xdr:colOff>
      <xdr:row>419</xdr:row>
      <xdr:rowOff>180975</xdr:rowOff>
    </xdr:from>
    <xdr:to>
      <xdr:col>10</xdr:col>
      <xdr:colOff>771937</xdr:colOff>
      <xdr:row>421</xdr:row>
      <xdr:rowOff>152400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1CAE8A-69A2-42B9-A4F3-EC5F7DA97A41}"/>
            </a:ext>
          </a:extLst>
        </xdr:cNvPr>
        <xdr:cNvSpPr/>
      </xdr:nvSpPr>
      <xdr:spPr>
        <a:xfrm>
          <a:off x="11706637" y="57064275"/>
          <a:ext cx="695325" cy="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0</xdr:colOff>
      <xdr:row>7</xdr:row>
      <xdr:rowOff>0</xdr:rowOff>
    </xdr:from>
    <xdr:to>
      <xdr:col>42</xdr:col>
      <xdr:colOff>695325</xdr:colOff>
      <xdr:row>8</xdr:row>
      <xdr:rowOff>173131</xdr:rowOff>
    </xdr:to>
    <xdr:sp macro="" textlink="">
      <xdr:nvSpPr>
        <xdr:cNvPr id="3" name="Seta: para a Esqu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8E2C6B-AF82-4B30-9646-0ACE0A9F8AE1}"/>
            </a:ext>
          </a:extLst>
        </xdr:cNvPr>
        <xdr:cNvSpPr/>
      </xdr:nvSpPr>
      <xdr:spPr>
        <a:xfrm>
          <a:off x="39747825" y="1152525"/>
          <a:ext cx="695325" cy="373156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0</xdr:colOff>
      <xdr:row>10</xdr:row>
      <xdr:rowOff>0</xdr:rowOff>
    </xdr:from>
    <xdr:to>
      <xdr:col>44</xdr:col>
      <xdr:colOff>695325</xdr:colOff>
      <xdr:row>11</xdr:row>
      <xdr:rowOff>173131</xdr:rowOff>
    </xdr:to>
    <xdr:sp macro="" textlink="">
      <xdr:nvSpPr>
        <xdr:cNvPr id="3" name="Seta: para a Esqu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BF22E4-F058-443C-AB50-77CB85A798B5}"/>
            </a:ext>
          </a:extLst>
        </xdr:cNvPr>
        <xdr:cNvSpPr/>
      </xdr:nvSpPr>
      <xdr:spPr>
        <a:xfrm>
          <a:off x="13996147" y="1165412"/>
          <a:ext cx="695325" cy="37483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44</xdr:col>
      <xdr:colOff>0</xdr:colOff>
      <xdr:row>7</xdr:row>
      <xdr:rowOff>0</xdr:rowOff>
    </xdr:from>
    <xdr:to>
      <xdr:col>44</xdr:col>
      <xdr:colOff>695325</xdr:colOff>
      <xdr:row>8</xdr:row>
      <xdr:rowOff>173131</xdr:rowOff>
    </xdr:to>
    <xdr:sp macro="" textlink="">
      <xdr:nvSpPr>
        <xdr:cNvPr id="4" name="Seta: para a Esquerd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927351-2847-4AEB-BF6C-9698A0B27453}"/>
            </a:ext>
          </a:extLst>
        </xdr:cNvPr>
        <xdr:cNvSpPr/>
      </xdr:nvSpPr>
      <xdr:spPr>
        <a:xfrm>
          <a:off x="40733382" y="2297206"/>
          <a:ext cx="695325" cy="37483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333375</xdr:colOff>
      <xdr:row>294</xdr:row>
      <xdr:rowOff>180975</xdr:rowOff>
    </xdr:from>
    <xdr:to>
      <xdr:col>10</xdr:col>
      <xdr:colOff>1066800</xdr:colOff>
      <xdr:row>296</xdr:row>
      <xdr:rowOff>152400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761D65-72B2-4250-9C45-AC086316B774}"/>
            </a:ext>
          </a:extLst>
        </xdr:cNvPr>
        <xdr:cNvSpPr/>
      </xdr:nvSpPr>
      <xdr:spPr>
        <a:xfrm>
          <a:off x="11477625" y="7048500"/>
          <a:ext cx="733425" cy="3714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inanceiraConsignado\Credito%20com%20Garantia%20do%20Imovel_CGI\Comit&#234;%20de%20Cr&#233;dito%20do%20Varejo_Eng\Resumo%20Comit&#234;\SIMULADORES\Daycoval\C&#243;pia%20de%20Simulador_Daycoval_v23%20BV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álculos_SAC_Fixa (2)"/>
      <sheetName val="Cálculos_Price _Fixa (2)"/>
      <sheetName val="PRICE-SEM NADA FINANCIADO"/>
      <sheetName val="Capa"/>
      <sheetName val="Renda__Limites"/>
      <sheetName val="SAC"/>
      <sheetName val="Simulação_impressão"/>
      <sheetName val="Cálculos_SAC_Fixa"/>
      <sheetName val="Cálculos_Price _Fixa"/>
      <sheetName val="Cálculos_PRICE"/>
      <sheetName val="Cálculos_SAC (2)"/>
      <sheetName val="Cálculos_PRICE (2)"/>
      <sheetName val="Cálculos_Price_Res"/>
    </sheetNames>
    <sheetDataSet>
      <sheetData sheetId="0"/>
      <sheetData sheetId="1"/>
      <sheetData sheetId="2"/>
      <sheetData sheetId="3">
        <row r="6">
          <cell r="P6">
            <v>29586</v>
          </cell>
        </row>
      </sheetData>
      <sheetData sheetId="4"/>
      <sheetData sheetId="5"/>
      <sheetData sheetId="6"/>
      <sheetData sheetId="7"/>
      <sheetData sheetId="8"/>
      <sheetData sheetId="9">
        <row r="32">
          <cell r="A32">
            <v>0</v>
          </cell>
          <cell r="B32">
            <v>43973</v>
          </cell>
          <cell r="C32">
            <v>1000000</v>
          </cell>
          <cell r="D32"/>
          <cell r="E32"/>
          <cell r="F32"/>
          <cell r="G32"/>
          <cell r="H32"/>
          <cell r="I32"/>
          <cell r="J32">
            <v>-965701.69886296417</v>
          </cell>
          <cell r="K32">
            <v>1000000</v>
          </cell>
        </row>
        <row r="33">
          <cell r="A33">
            <v>1</v>
          </cell>
          <cell r="B33">
            <v>44004</v>
          </cell>
          <cell r="C33">
            <v>1000000</v>
          </cell>
          <cell r="D33">
            <v>15000</v>
          </cell>
          <cell r="E33">
            <v>1015000</v>
          </cell>
          <cell r="F33">
            <v>1104.2103941282166</v>
          </cell>
          <cell r="G33">
            <v>16104.210394128217</v>
          </cell>
          <cell r="H33">
            <v>222.4</v>
          </cell>
          <cell r="I33">
            <v>25.5</v>
          </cell>
          <cell r="J33">
            <v>16352.110394128216</v>
          </cell>
          <cell r="K33">
            <v>998895.78960587177</v>
          </cell>
        </row>
        <row r="34">
          <cell r="A34">
            <v>2</v>
          </cell>
          <cell r="B34">
            <v>44034</v>
          </cell>
          <cell r="C34">
            <v>998895.78960587177</v>
          </cell>
          <cell r="D34">
            <v>14983.436844088075</v>
          </cell>
          <cell r="E34">
            <v>1013879.2264499598</v>
          </cell>
          <cell r="F34">
            <v>1120.7735500401413</v>
          </cell>
          <cell r="G34">
            <v>16104.210394128217</v>
          </cell>
          <cell r="H34">
            <v>222.15442360834589</v>
          </cell>
          <cell r="I34">
            <v>25.5</v>
          </cell>
          <cell r="J34">
            <v>16351.864817736563</v>
          </cell>
          <cell r="K34">
            <v>997775.01605583169</v>
          </cell>
        </row>
        <row r="35">
          <cell r="A35">
            <v>3</v>
          </cell>
          <cell r="B35">
            <v>44065</v>
          </cell>
          <cell r="C35">
            <v>997775.01605583169</v>
          </cell>
          <cell r="D35">
            <v>14966.625240837475</v>
          </cell>
          <cell r="E35">
            <v>1012741.6412966691</v>
          </cell>
          <cell r="F35">
            <v>1137.5851532907418</v>
          </cell>
          <cell r="G35">
            <v>16104.210394128217</v>
          </cell>
          <cell r="H35">
            <v>221.90516357081697</v>
          </cell>
          <cell r="I35">
            <v>25.5</v>
          </cell>
          <cell r="J35">
            <v>16351.615557699033</v>
          </cell>
          <cell r="K35">
            <v>996637.43090254092</v>
          </cell>
        </row>
        <row r="36">
          <cell r="A36">
            <v>4</v>
          </cell>
          <cell r="B36">
            <v>44096</v>
          </cell>
          <cell r="C36">
            <v>996637.43090254092</v>
          </cell>
          <cell r="D36">
            <v>14949.561463538113</v>
          </cell>
          <cell r="E36">
            <v>1011586.992366079</v>
          </cell>
          <cell r="F36">
            <v>1154.6489305901032</v>
          </cell>
          <cell r="G36">
            <v>16104.210394128217</v>
          </cell>
          <cell r="H36">
            <v>221.65216463272512</v>
          </cell>
          <cell r="I36">
            <v>25.5</v>
          </cell>
          <cell r="J36">
            <v>16351.362558760942</v>
          </cell>
          <cell r="K36">
            <v>995482.78197195078</v>
          </cell>
        </row>
        <row r="37">
          <cell r="A37">
            <v>5</v>
          </cell>
          <cell r="B37">
            <v>44126</v>
          </cell>
          <cell r="C37">
            <v>995482.78197195078</v>
          </cell>
          <cell r="D37">
            <v>14932.241729579262</v>
          </cell>
          <cell r="E37">
            <v>1010415.0237015301</v>
          </cell>
          <cell r="F37">
            <v>1171.9686645489546</v>
          </cell>
          <cell r="G37">
            <v>16104.210394128217</v>
          </cell>
          <cell r="H37">
            <v>221.39537071056188</v>
          </cell>
          <cell r="I37">
            <v>25.5</v>
          </cell>
          <cell r="J37">
            <v>16351.105764838778</v>
          </cell>
          <cell r="K37">
            <v>994310.81330740184</v>
          </cell>
        </row>
        <row r="38">
          <cell r="A38">
            <v>6</v>
          </cell>
          <cell r="B38">
            <v>44157</v>
          </cell>
          <cell r="C38">
            <v>994310.81330740184</v>
          </cell>
          <cell r="D38">
            <v>14914.662199611026</v>
          </cell>
          <cell r="E38">
            <v>1009225.4755070129</v>
          </cell>
          <cell r="F38">
            <v>1189.5481945171905</v>
          </cell>
          <cell r="G38">
            <v>16104.210394128217</v>
          </cell>
          <cell r="H38">
            <v>221.13472487956619</v>
          </cell>
          <cell r="I38">
            <v>25.5</v>
          </cell>
          <cell r="J38">
            <v>16350.845119007783</v>
          </cell>
          <cell r="K38">
            <v>993121.26511288469</v>
          </cell>
        </row>
        <row r="39">
          <cell r="A39">
            <v>7</v>
          </cell>
          <cell r="B39">
            <v>44187</v>
          </cell>
          <cell r="C39">
            <v>993121.26511288469</v>
          </cell>
          <cell r="D39">
            <v>14896.81897669327</v>
          </cell>
          <cell r="E39">
            <v>1008018.084089578</v>
          </cell>
          <cell r="F39">
            <v>1207.3914174349466</v>
          </cell>
          <cell r="G39">
            <v>16104.210394128217</v>
          </cell>
          <cell r="H39">
            <v>220.87016936110555</v>
          </cell>
          <cell r="I39">
            <v>25.5</v>
          </cell>
          <cell r="J39">
            <v>16350.580563489322</v>
          </cell>
          <cell r="K39">
            <v>991913.87369544979</v>
          </cell>
        </row>
        <row r="40">
          <cell r="A40">
            <v>8</v>
          </cell>
          <cell r="B40">
            <v>44218</v>
          </cell>
          <cell r="C40">
            <v>991913.87369544979</v>
          </cell>
          <cell r="D40">
            <v>14878.708105431746</v>
          </cell>
          <cell r="E40">
            <v>1006792.5818008815</v>
          </cell>
          <cell r="F40">
            <v>1225.5022886964707</v>
          </cell>
          <cell r="G40">
            <v>16104.210394128217</v>
          </cell>
          <cell r="H40">
            <v>220.60164550986804</v>
          </cell>
          <cell r="I40">
            <v>25.5</v>
          </cell>
          <cell r="J40">
            <v>16350.312039638085</v>
          </cell>
          <cell r="K40">
            <v>990688.37140675331</v>
          </cell>
        </row>
        <row r="41">
          <cell r="A41">
            <v>9</v>
          </cell>
          <cell r="B41">
            <v>44249</v>
          </cell>
          <cell r="C41">
            <v>990688.37140675331</v>
          </cell>
          <cell r="D41">
            <v>14860.325571101299</v>
          </cell>
          <cell r="E41">
            <v>1005548.6969778546</v>
          </cell>
          <cell r="F41">
            <v>1243.8848230269177</v>
          </cell>
          <cell r="G41">
            <v>16104.210394128217</v>
          </cell>
          <cell r="H41">
            <v>220.32909380086195</v>
          </cell>
          <cell r="I41">
            <v>25.5</v>
          </cell>
          <cell r="J41">
            <v>16350.039487929078</v>
          </cell>
          <cell r="K41">
            <v>989444.48658372636</v>
          </cell>
        </row>
        <row r="42">
          <cell r="A42">
            <v>10</v>
          </cell>
          <cell r="B42">
            <v>44277</v>
          </cell>
          <cell r="C42">
            <v>989444.48658372636</v>
          </cell>
          <cell r="D42">
            <v>14841.667298755894</v>
          </cell>
          <cell r="E42">
            <v>1004286.1538824822</v>
          </cell>
          <cell r="F42">
            <v>1262.5430953723226</v>
          </cell>
          <cell r="G42">
            <v>16104.210394128217</v>
          </cell>
          <cell r="H42">
            <v>220.05245381622075</v>
          </cell>
          <cell r="I42">
            <v>25.5</v>
          </cell>
          <cell r="J42">
            <v>16349.762847944437</v>
          </cell>
          <cell r="K42">
            <v>988181.9434883541</v>
          </cell>
        </row>
        <row r="43">
          <cell r="A43">
            <v>11</v>
          </cell>
          <cell r="B43">
            <v>44308</v>
          </cell>
          <cell r="C43">
            <v>988181.9434883541</v>
          </cell>
          <cell r="D43">
            <v>14822.729152325312</v>
          </cell>
          <cell r="E43">
            <v>1003004.6726406794</v>
          </cell>
          <cell r="F43">
            <v>1281.4812418029051</v>
          </cell>
          <cell r="G43">
            <v>16104.210394128217</v>
          </cell>
          <cell r="H43">
            <v>219.77166423180995</v>
          </cell>
          <cell r="I43">
            <v>25.5</v>
          </cell>
          <cell r="J43">
            <v>16349.482058360027</v>
          </cell>
          <cell r="K43">
            <v>986900.46224655118</v>
          </cell>
        </row>
        <row r="44">
          <cell r="A44">
            <v>12</v>
          </cell>
          <cell r="B44">
            <v>44338</v>
          </cell>
          <cell r="C44">
            <v>986900.46224655118</v>
          </cell>
          <cell r="D44">
            <v>14803.506933698267</v>
          </cell>
          <cell r="E44">
            <v>1001703.9691802495</v>
          </cell>
          <cell r="F44">
            <v>1300.7034604299497</v>
          </cell>
          <cell r="G44">
            <v>16104.210394128217</v>
          </cell>
          <cell r="H44">
            <v>219.48666280363298</v>
          </cell>
          <cell r="I44">
            <v>25.5</v>
          </cell>
          <cell r="J44">
            <v>16349.197056931849</v>
          </cell>
          <cell r="K44">
            <v>985599.75878612127</v>
          </cell>
        </row>
        <row r="45">
          <cell r="A45">
            <v>13</v>
          </cell>
          <cell r="B45">
            <v>44369</v>
          </cell>
          <cell r="C45">
            <v>985599.75878612127</v>
          </cell>
          <cell r="D45">
            <v>14783.996381791818</v>
          </cell>
          <cell r="E45">
            <v>1000383.755167913</v>
          </cell>
          <cell r="F45">
            <v>1320.2140123363988</v>
          </cell>
          <cell r="G45">
            <v>16104.210394128217</v>
          </cell>
          <cell r="H45">
            <v>219.19738635403337</v>
          </cell>
          <cell r="I45">
            <v>25.5</v>
          </cell>
          <cell r="J45">
            <v>16348.90778048225</v>
          </cell>
          <cell r="K45">
            <v>984279.54477378482</v>
          </cell>
        </row>
        <row r="46">
          <cell r="A46">
            <v>14</v>
          </cell>
          <cell r="B46">
            <v>44399</v>
          </cell>
          <cell r="C46">
            <v>984279.54477378482</v>
          </cell>
          <cell r="D46">
            <v>14764.193171606772</v>
          </cell>
          <cell r="E46">
            <v>999043.73794539156</v>
          </cell>
          <cell r="F46">
            <v>1340.0172225214446</v>
          </cell>
          <cell r="G46">
            <v>16104.210394128217</v>
          </cell>
          <cell r="H46">
            <v>218.90377075768976</v>
          </cell>
          <cell r="I46">
            <v>25.5</v>
          </cell>
          <cell r="J46">
            <v>16348.614164885907</v>
          </cell>
          <cell r="K46">
            <v>982939.52755126334</v>
          </cell>
        </row>
        <row r="47">
          <cell r="A47">
            <v>15</v>
          </cell>
          <cell r="B47">
            <v>44430</v>
          </cell>
          <cell r="C47">
            <v>982939.52755126334</v>
          </cell>
          <cell r="D47">
            <v>14744.092913268949</v>
          </cell>
          <cell r="E47">
            <v>997683.62046453229</v>
          </cell>
          <cell r="F47">
            <v>1360.1174808592677</v>
          </cell>
          <cell r="G47">
            <v>16104.210394128217</v>
          </cell>
          <cell r="H47">
            <v>218.60575092740098</v>
          </cell>
          <cell r="I47">
            <v>25.5</v>
          </cell>
          <cell r="J47">
            <v>16348.316145055618</v>
          </cell>
          <cell r="K47">
            <v>981579.41007040406</v>
          </cell>
        </row>
        <row r="48">
          <cell r="A48">
            <v>16</v>
          </cell>
          <cell r="B48">
            <v>44461</v>
          </cell>
          <cell r="C48">
            <v>981579.41007040406</v>
          </cell>
          <cell r="D48">
            <v>14723.69115105606</v>
          </cell>
          <cell r="E48">
            <v>996303.10122146015</v>
          </cell>
          <cell r="F48">
            <v>1380.5192430721563</v>
          </cell>
          <cell r="G48">
            <v>16104.210394128217</v>
          </cell>
          <cell r="H48">
            <v>218.30326079965786</v>
          </cell>
          <cell r="I48">
            <v>25.5</v>
          </cell>
          <cell r="J48">
            <v>16348.013654927874</v>
          </cell>
          <cell r="K48">
            <v>980198.89082733192</v>
          </cell>
        </row>
        <row r="49">
          <cell r="A49">
            <v>17</v>
          </cell>
          <cell r="B49">
            <v>44491</v>
          </cell>
          <cell r="C49">
            <v>980198.89082733192</v>
          </cell>
          <cell r="D49">
            <v>14702.983362409979</v>
          </cell>
          <cell r="E49">
            <v>994901.87418974191</v>
          </cell>
          <cell r="F49">
            <v>1401.2270317182374</v>
          </cell>
          <cell r="G49">
            <v>16104.210394128217</v>
          </cell>
          <cell r="H49">
            <v>217.99623331999862</v>
          </cell>
          <cell r="I49">
            <v>25.5</v>
          </cell>
          <cell r="J49">
            <v>16347.706627448215</v>
          </cell>
          <cell r="K49">
            <v>978797.66379561368</v>
          </cell>
        </row>
        <row r="50">
          <cell r="A50">
            <v>18</v>
          </cell>
          <cell r="B50">
            <v>44522</v>
          </cell>
          <cell r="C50">
            <v>978797.66379561368</v>
          </cell>
          <cell r="D50">
            <v>14681.964956934205</v>
          </cell>
          <cell r="E50">
            <v>993479.6287525479</v>
          </cell>
          <cell r="F50">
            <v>1422.2454371940112</v>
          </cell>
          <cell r="G50">
            <v>16104.210394128217</v>
          </cell>
          <cell r="H50">
            <v>217.68460042814451</v>
          </cell>
          <cell r="I50">
            <v>25.5</v>
          </cell>
          <cell r="J50">
            <v>16347.394994556362</v>
          </cell>
          <cell r="K50">
            <v>977375.41835841967</v>
          </cell>
        </row>
        <row r="51">
          <cell r="A51">
            <v>19</v>
          </cell>
          <cell r="B51">
            <v>44552</v>
          </cell>
          <cell r="C51">
            <v>977375.41835841967</v>
          </cell>
          <cell r="D51">
            <v>14660.631275376294</v>
          </cell>
          <cell r="E51">
            <v>992036.04963379598</v>
          </cell>
          <cell r="F51">
            <v>1443.5791187519226</v>
          </cell>
          <cell r="G51">
            <v>16104.210394128217</v>
          </cell>
          <cell r="H51">
            <v>217.36829304291254</v>
          </cell>
          <cell r="I51">
            <v>25.5</v>
          </cell>
          <cell r="J51">
            <v>16347.07868717113</v>
          </cell>
          <cell r="K51">
            <v>975931.83923966775</v>
          </cell>
        </row>
        <row r="52">
          <cell r="A52">
            <v>20</v>
          </cell>
          <cell r="B52">
            <v>44583</v>
          </cell>
          <cell r="C52">
            <v>975931.83923966775</v>
          </cell>
          <cell r="D52">
            <v>14638.977588595017</v>
          </cell>
          <cell r="E52">
            <v>990570.81682826276</v>
          </cell>
          <cell r="F52">
            <v>1465.2328055332</v>
          </cell>
          <cell r="G52">
            <v>16104.210394128217</v>
          </cell>
          <cell r="H52">
            <v>217.04724104690212</v>
          </cell>
          <cell r="I52">
            <v>25.5</v>
          </cell>
          <cell r="J52">
            <v>16346.75763517512</v>
          </cell>
          <cell r="K52">
            <v>974466.60643413453</v>
          </cell>
        </row>
        <row r="53">
          <cell r="A53">
            <v>21</v>
          </cell>
          <cell r="B53">
            <v>44614</v>
          </cell>
          <cell r="C53">
            <v>974466.60643413453</v>
          </cell>
          <cell r="D53">
            <v>14616.999096512018</v>
          </cell>
          <cell r="E53">
            <v>989083.60553064651</v>
          </cell>
          <cell r="F53">
            <v>1487.2112976161989</v>
          </cell>
          <cell r="G53">
            <v>16104.210394128217</v>
          </cell>
          <cell r="H53">
            <v>216.72137327095155</v>
          </cell>
          <cell r="I53">
            <v>25.5</v>
          </cell>
          <cell r="J53">
            <v>16346.431767399168</v>
          </cell>
          <cell r="K53">
            <v>972979.39513651829</v>
          </cell>
        </row>
        <row r="54">
          <cell r="A54">
            <v>22</v>
          </cell>
          <cell r="B54">
            <v>44642</v>
          </cell>
          <cell r="C54">
            <v>972979.39513651829</v>
          </cell>
          <cell r="D54">
            <v>14594.690927047774</v>
          </cell>
          <cell r="E54">
            <v>987574.08606356604</v>
          </cell>
          <cell r="F54">
            <v>1509.5194670804431</v>
          </cell>
          <cell r="G54">
            <v>16104.210394128217</v>
          </cell>
          <cell r="H54">
            <v>216.39061747836169</v>
          </cell>
          <cell r="I54">
            <v>25.5</v>
          </cell>
          <cell r="J54">
            <v>16346.101011606579</v>
          </cell>
          <cell r="K54">
            <v>971469.87566943781</v>
          </cell>
        </row>
        <row r="55">
          <cell r="A55">
            <v>23</v>
          </cell>
          <cell r="B55">
            <v>44673</v>
          </cell>
          <cell r="C55">
            <v>971469.87566943781</v>
          </cell>
          <cell r="D55">
            <v>14572.048135041567</v>
          </cell>
          <cell r="E55">
            <v>986041.92380447942</v>
          </cell>
          <cell r="F55">
            <v>1532.16225908665</v>
          </cell>
          <cell r="G55">
            <v>16104.210394128217</v>
          </cell>
          <cell r="H55">
            <v>216.05490034888297</v>
          </cell>
          <cell r="I55">
            <v>25.5</v>
          </cell>
          <cell r="J55">
            <v>16345.7652944771</v>
          </cell>
          <cell r="K55">
            <v>969937.71341035119</v>
          </cell>
        </row>
        <row r="56">
          <cell r="A56">
            <v>24</v>
          </cell>
          <cell r="B56">
            <v>44703</v>
          </cell>
          <cell r="C56">
            <v>969937.71341035119</v>
          </cell>
          <cell r="D56">
            <v>14549.065701155267</v>
          </cell>
          <cell r="E56">
            <v>984486.77911150642</v>
          </cell>
          <cell r="F56">
            <v>1555.14469297295</v>
          </cell>
          <cell r="G56">
            <v>16104.210394128217</v>
          </cell>
          <cell r="H56">
            <v>215.71414746246211</v>
          </cell>
          <cell r="I56">
            <v>25.5</v>
          </cell>
          <cell r="J56">
            <v>16345.424541590679</v>
          </cell>
          <cell r="K56">
            <v>968382.56871737819</v>
          </cell>
        </row>
        <row r="57">
          <cell r="A57">
            <v>25</v>
          </cell>
          <cell r="B57">
            <v>44734</v>
          </cell>
          <cell r="C57">
            <v>968382.56871737819</v>
          </cell>
          <cell r="D57">
            <v>14525.738530760673</v>
          </cell>
          <cell r="E57">
            <v>982908.30724813882</v>
          </cell>
          <cell r="F57">
            <v>1578.4718633675438</v>
          </cell>
          <cell r="G57">
            <v>16104.210394128217</v>
          </cell>
          <cell r="H57">
            <v>215.36828328274493</v>
          </cell>
          <cell r="I57">
            <v>25.5</v>
          </cell>
          <cell r="J57">
            <v>16345.078677410962</v>
          </cell>
          <cell r="K57">
            <v>966804.0968540106</v>
          </cell>
        </row>
        <row r="58">
          <cell r="A58">
            <v>26</v>
          </cell>
          <cell r="B58">
            <v>44764</v>
          </cell>
          <cell r="C58">
            <v>966804.0968540106</v>
          </cell>
          <cell r="D58">
            <v>14502.061452810158</v>
          </cell>
          <cell r="E58">
            <v>981306.15830682078</v>
          </cell>
          <cell r="F58">
            <v>1602.1489413180589</v>
          </cell>
          <cell r="G58">
            <v>16104.210394128217</v>
          </cell>
          <cell r="H58">
            <v>215.01723114033197</v>
          </cell>
          <cell r="I58">
            <v>25.5</v>
          </cell>
          <cell r="J58">
            <v>16344.727625268548</v>
          </cell>
          <cell r="K58">
            <v>965201.94791269256</v>
          </cell>
        </row>
        <row r="59">
          <cell r="A59">
            <v>27</v>
          </cell>
          <cell r="B59">
            <v>44795</v>
          </cell>
          <cell r="C59">
            <v>965201.94791269256</v>
          </cell>
          <cell r="D59">
            <v>14478.029218690388</v>
          </cell>
          <cell r="E59">
            <v>979679.97713138291</v>
          </cell>
          <cell r="F59">
            <v>1626.1811754378286</v>
          </cell>
          <cell r="G59">
            <v>16104.210394128217</v>
          </cell>
          <cell r="H59">
            <v>214.66091321578284</v>
          </cell>
          <cell r="I59">
            <v>25.5</v>
          </cell>
          <cell r="J59">
            <v>16344.371307343999</v>
          </cell>
          <cell r="K59">
            <v>963575.76673725469</v>
          </cell>
        </row>
        <row r="60">
          <cell r="A60">
            <v>28</v>
          </cell>
          <cell r="B60">
            <v>44826</v>
          </cell>
          <cell r="C60">
            <v>963575.76673725469</v>
          </cell>
          <cell r="D60">
            <v>14453.63650105882</v>
          </cell>
          <cell r="E60">
            <v>978029.40323831351</v>
          </cell>
          <cell r="F60">
            <v>1650.5738930693969</v>
          </cell>
          <cell r="G60">
            <v>16104.210394128217</v>
          </cell>
          <cell r="H60">
            <v>214.29925052236544</v>
          </cell>
          <cell r="I60">
            <v>25.5</v>
          </cell>
          <cell r="J60">
            <v>16344.009644650581</v>
          </cell>
          <cell r="K60">
            <v>961925.19284418528</v>
          </cell>
        </row>
        <row r="61">
          <cell r="A61">
            <v>29</v>
          </cell>
          <cell r="B61">
            <v>44856</v>
          </cell>
          <cell r="C61">
            <v>961925.19284418528</v>
          </cell>
          <cell r="D61">
            <v>14428.877892662778</v>
          </cell>
          <cell r="E61">
            <v>976354.07073684805</v>
          </cell>
          <cell r="F61">
            <v>1675.3325014654383</v>
          </cell>
          <cell r="G61">
            <v>16104.210394128217</v>
          </cell>
          <cell r="H61">
            <v>213.93216288854683</v>
          </cell>
          <cell r="I61">
            <v>25.5</v>
          </cell>
          <cell r="J61">
            <v>16343.642557016763</v>
          </cell>
          <cell r="K61">
            <v>960249.86034271982</v>
          </cell>
        </row>
        <row r="62">
          <cell r="A62">
            <v>30</v>
          </cell>
          <cell r="B62">
            <v>44887</v>
          </cell>
          <cell r="C62">
            <v>960249.86034271982</v>
          </cell>
          <cell r="D62">
            <v>14403.747905140797</v>
          </cell>
          <cell r="E62">
            <v>974653.60824786057</v>
          </cell>
          <cell r="F62">
            <v>1700.4624889874194</v>
          </cell>
          <cell r="G62">
            <v>16104.210394128217</v>
          </cell>
          <cell r="H62">
            <v>213.55956894022091</v>
          </cell>
          <cell r="I62">
            <v>25.5</v>
          </cell>
          <cell r="J62">
            <v>16343.269963068438</v>
          </cell>
          <cell r="K62">
            <v>958549.39785373246</v>
          </cell>
        </row>
        <row r="63">
          <cell r="A63">
            <v>31</v>
          </cell>
          <cell r="B63">
            <v>44917</v>
          </cell>
          <cell r="C63">
            <v>958549.39785373246</v>
          </cell>
          <cell r="D63">
            <v>14378.240967805987</v>
          </cell>
          <cell r="E63">
            <v>972927.63882153842</v>
          </cell>
          <cell r="F63">
            <v>1725.96942632223</v>
          </cell>
          <cell r="G63">
            <v>16104.210394128217</v>
          </cell>
          <cell r="H63">
            <v>213.18138608267012</v>
          </cell>
          <cell r="I63">
            <v>25.5</v>
          </cell>
          <cell r="J63">
            <v>16342.891780210886</v>
          </cell>
          <cell r="K63">
            <v>956823.4284274102</v>
          </cell>
        </row>
        <row r="64">
          <cell r="A64">
            <v>32</v>
          </cell>
          <cell r="B64">
            <v>44948</v>
          </cell>
          <cell r="C64">
            <v>956823.4284274102</v>
          </cell>
          <cell r="D64">
            <v>14352.351426411153</v>
          </cell>
          <cell r="E64">
            <v>971175.77985382138</v>
          </cell>
          <cell r="F64">
            <v>1751.8589677170639</v>
          </cell>
          <cell r="G64">
            <v>16104.210394128217</v>
          </cell>
          <cell r="H64">
            <v>212.79753048225604</v>
          </cell>
          <cell r="I64">
            <v>25.5</v>
          </cell>
          <cell r="J64">
            <v>16342.507924610472</v>
          </cell>
          <cell r="K64">
            <v>955071.56945969316</v>
          </cell>
        </row>
        <row r="65">
          <cell r="A65">
            <v>33</v>
          </cell>
          <cell r="B65">
            <v>44979</v>
          </cell>
          <cell r="C65">
            <v>955071.56945969316</v>
          </cell>
          <cell r="D65">
            <v>14326.073541895397</v>
          </cell>
          <cell r="E65">
            <v>969397.64300158853</v>
          </cell>
          <cell r="F65">
            <v>1778.1368522328194</v>
          </cell>
          <cell r="G65">
            <v>16104.210394128217</v>
          </cell>
          <cell r="H65">
            <v>212.40791704783578</v>
          </cell>
          <cell r="I65">
            <v>25.5</v>
          </cell>
          <cell r="J65">
            <v>16342.118311176053</v>
          </cell>
          <cell r="K65">
            <v>953293.4326074603</v>
          </cell>
        </row>
        <row r="66">
          <cell r="A66">
            <v>34</v>
          </cell>
          <cell r="B66">
            <v>45007</v>
          </cell>
          <cell r="C66">
            <v>953293.4326074603</v>
          </cell>
          <cell r="D66">
            <v>14299.401489111904</v>
          </cell>
          <cell r="E66">
            <v>967592.83409657225</v>
          </cell>
          <cell r="F66">
            <v>1804.8089050163126</v>
          </cell>
          <cell r="G66">
            <v>16104.210394128217</v>
          </cell>
          <cell r="H66">
            <v>212.01245941189919</v>
          </cell>
          <cell r="I66">
            <v>25.5</v>
          </cell>
          <cell r="J66">
            <v>16341.722853540115</v>
          </cell>
          <cell r="K66">
            <v>951488.62370244402</v>
          </cell>
        </row>
        <row r="67">
          <cell r="A67">
            <v>35</v>
          </cell>
          <cell r="B67">
            <v>45038</v>
          </cell>
          <cell r="C67">
            <v>951488.62370244402</v>
          </cell>
          <cell r="D67">
            <v>14272.32935553666</v>
          </cell>
          <cell r="E67">
            <v>965760.95305798063</v>
          </cell>
          <cell r="F67">
            <v>1831.8810385915567</v>
          </cell>
          <cell r="G67">
            <v>16104.210394128217</v>
          </cell>
          <cell r="H67">
            <v>211.61106991142356</v>
          </cell>
          <cell r="I67">
            <v>25.5</v>
          </cell>
          <cell r="J67">
            <v>16341.32146403964</v>
          </cell>
          <cell r="K67">
            <v>949656.7426638524</v>
          </cell>
        </row>
        <row r="68">
          <cell r="A68">
            <v>36</v>
          </cell>
          <cell r="B68">
            <v>45068</v>
          </cell>
          <cell r="C68">
            <v>949656.7426638524</v>
          </cell>
          <cell r="D68">
            <v>14244.851139957786</v>
          </cell>
          <cell r="E68">
            <v>963901.59380381019</v>
          </cell>
          <cell r="F68">
            <v>1859.3592541704311</v>
          </cell>
          <cell r="G68">
            <v>16104.210394128217</v>
          </cell>
          <cell r="H68">
            <v>211.2036595684408</v>
          </cell>
          <cell r="I68">
            <v>25.5</v>
          </cell>
          <cell r="J68">
            <v>16340.914053696657</v>
          </cell>
          <cell r="K68">
            <v>947797.38340968196</v>
          </cell>
        </row>
        <row r="69">
          <cell r="A69">
            <v>37</v>
          </cell>
          <cell r="B69">
            <v>45099</v>
          </cell>
          <cell r="C69">
            <v>947797.38340968196</v>
          </cell>
          <cell r="D69">
            <v>14216.960751145229</v>
          </cell>
          <cell r="E69">
            <v>962014.34416082723</v>
          </cell>
          <cell r="F69">
            <v>1887.249642982988</v>
          </cell>
          <cell r="G69">
            <v>16104.210394128217</v>
          </cell>
          <cell r="H69">
            <v>210.79013807031328</v>
          </cell>
          <cell r="I69">
            <v>25.5</v>
          </cell>
          <cell r="J69">
            <v>16340.50053219853</v>
          </cell>
          <cell r="K69">
            <v>945910.133766699</v>
          </cell>
        </row>
        <row r="70">
          <cell r="A70">
            <v>38</v>
          </cell>
          <cell r="B70">
            <v>45129</v>
          </cell>
          <cell r="C70">
            <v>945910.133766699</v>
          </cell>
          <cell r="D70">
            <v>14188.652006500484</v>
          </cell>
          <cell r="E70">
            <v>960098.78577319952</v>
          </cell>
          <cell r="F70">
            <v>1915.5583876277324</v>
          </cell>
          <cell r="G70">
            <v>16104.210394128217</v>
          </cell>
          <cell r="H70">
            <v>210.37041374971386</v>
          </cell>
          <cell r="I70">
            <v>25.5</v>
          </cell>
          <cell r="J70">
            <v>16340.08080787793</v>
          </cell>
          <cell r="K70">
            <v>943994.57537907129</v>
          </cell>
        </row>
        <row r="71">
          <cell r="A71">
            <v>39</v>
          </cell>
          <cell r="B71">
            <v>45160</v>
          </cell>
          <cell r="C71">
            <v>943994.57537907129</v>
          </cell>
          <cell r="D71">
            <v>14159.918630686068</v>
          </cell>
          <cell r="E71">
            <v>958154.49400975741</v>
          </cell>
          <cell r="F71">
            <v>1944.2917634421483</v>
          </cell>
          <cell r="G71">
            <v>16104.210394128217</v>
          </cell>
          <cell r="H71">
            <v>209.94439356430547</v>
          </cell>
          <cell r="I71">
            <v>25.5</v>
          </cell>
          <cell r="J71">
            <v>16339.654787692521</v>
          </cell>
          <cell r="K71">
            <v>942050.28361562919</v>
          </cell>
        </row>
        <row r="72">
          <cell r="A72">
            <v>40</v>
          </cell>
          <cell r="B72">
            <v>45191</v>
          </cell>
          <cell r="C72">
            <v>942050.28361562919</v>
          </cell>
          <cell r="D72">
            <v>14130.754254234438</v>
          </cell>
          <cell r="E72">
            <v>956181.03786986368</v>
          </cell>
          <cell r="F72">
            <v>1973.4561398937785</v>
          </cell>
          <cell r="G72">
            <v>16104.210394128217</v>
          </cell>
          <cell r="H72">
            <v>209.51198307611594</v>
          </cell>
          <cell r="I72">
            <v>25.5</v>
          </cell>
          <cell r="J72">
            <v>16339.222377204333</v>
          </cell>
          <cell r="K72">
            <v>940076.82747573545</v>
          </cell>
        </row>
        <row r="73">
          <cell r="A73">
            <v>41</v>
          </cell>
          <cell r="B73">
            <v>45221</v>
          </cell>
          <cell r="C73">
            <v>940076.82747573545</v>
          </cell>
          <cell r="D73">
            <v>14101.152412136031</v>
          </cell>
          <cell r="E73">
            <v>954177.97988787154</v>
          </cell>
          <cell r="F73">
            <v>2003.0579819921859</v>
          </cell>
          <cell r="G73">
            <v>16104.210394128217</v>
          </cell>
          <cell r="H73">
            <v>209.07308643060358</v>
          </cell>
          <cell r="I73">
            <v>25.5</v>
          </cell>
          <cell r="J73">
            <v>16338.783480558821</v>
          </cell>
          <cell r="K73">
            <v>938073.76949374331</v>
          </cell>
        </row>
        <row r="74">
          <cell r="A74">
            <v>42</v>
          </cell>
          <cell r="B74">
            <v>45252</v>
          </cell>
          <cell r="C74">
            <v>938073.76949374331</v>
          </cell>
          <cell r="D74">
            <v>14071.106542406149</v>
          </cell>
          <cell r="E74">
            <v>952144.87603614945</v>
          </cell>
          <cell r="F74">
            <v>2033.1038517220677</v>
          </cell>
          <cell r="G74">
            <v>16104.210394128217</v>
          </cell>
          <cell r="H74">
            <v>208.62760633540853</v>
          </cell>
          <cell r="I74">
            <v>25.5</v>
          </cell>
          <cell r="J74">
            <v>16338.338000463626</v>
          </cell>
          <cell r="K74">
            <v>936040.66564202122</v>
          </cell>
        </row>
        <row r="75">
          <cell r="A75">
            <v>43</v>
          </cell>
          <cell r="B75">
            <v>45282</v>
          </cell>
          <cell r="C75">
            <v>936040.66564202122</v>
          </cell>
          <cell r="D75">
            <v>14040.609984630319</v>
          </cell>
          <cell r="E75">
            <v>950081.27562665159</v>
          </cell>
          <cell r="F75">
            <v>2063.600409497898</v>
          </cell>
          <cell r="G75">
            <v>16104.210394128217</v>
          </cell>
          <cell r="H75">
            <v>208.17544403878554</v>
          </cell>
          <cell r="I75">
            <v>25.5</v>
          </cell>
          <cell r="J75">
            <v>16337.885838167002</v>
          </cell>
          <cell r="K75">
            <v>933977.06523252337</v>
          </cell>
        </row>
        <row r="76">
          <cell r="A76">
            <v>44</v>
          </cell>
          <cell r="B76">
            <v>45313</v>
          </cell>
          <cell r="C76">
            <v>933977.06523252337</v>
          </cell>
          <cell r="D76">
            <v>14009.65597848785</v>
          </cell>
          <cell r="E76">
            <v>947986.72121101117</v>
          </cell>
          <cell r="F76">
            <v>2094.5544156403666</v>
          </cell>
          <cell r="G76">
            <v>16104.210394128217</v>
          </cell>
          <cell r="H76">
            <v>207.71649930771321</v>
          </cell>
          <cell r="I76">
            <v>25.5</v>
          </cell>
          <cell r="J76">
            <v>16337.42689343593</v>
          </cell>
          <cell r="K76">
            <v>931882.51081688295</v>
          </cell>
        </row>
        <row r="77">
          <cell r="A77">
            <v>45</v>
          </cell>
          <cell r="B77">
            <v>45344</v>
          </cell>
          <cell r="C77">
            <v>931882.51081688295</v>
          </cell>
          <cell r="D77">
            <v>13978.237662253243</v>
          </cell>
          <cell r="E77">
            <v>945860.74847913615</v>
          </cell>
          <cell r="F77">
            <v>2125.9727318749738</v>
          </cell>
          <cell r="G77">
            <v>16104.210394128217</v>
          </cell>
          <cell r="H77">
            <v>207.25067040567478</v>
          </cell>
          <cell r="I77">
            <v>25.5</v>
          </cell>
          <cell r="J77">
            <v>16336.961064533891</v>
          </cell>
          <cell r="K77">
            <v>929756.53808500792</v>
          </cell>
        </row>
        <row r="78">
          <cell r="A78">
            <v>46</v>
          </cell>
          <cell r="B78">
            <v>45373</v>
          </cell>
          <cell r="C78">
            <v>929756.53808500792</v>
          </cell>
          <cell r="D78">
            <v>13946.348071275119</v>
          </cell>
          <cell r="E78">
            <v>943702.88615628309</v>
          </cell>
          <cell r="F78">
            <v>2157.8623228530978</v>
          </cell>
          <cell r="G78">
            <v>16104.210394128217</v>
          </cell>
          <cell r="H78">
            <v>206.77785407010578</v>
          </cell>
          <cell r="I78">
            <v>25.5</v>
          </cell>
          <cell r="J78">
            <v>16336.488248198322</v>
          </cell>
          <cell r="K78">
            <v>927598.67576215486</v>
          </cell>
        </row>
        <row r="79">
          <cell r="A79">
            <v>47</v>
          </cell>
          <cell r="B79">
            <v>45404</v>
          </cell>
          <cell r="C79">
            <v>927598.67576215486</v>
          </cell>
          <cell r="D79">
            <v>13913.980136432323</v>
          </cell>
          <cell r="E79">
            <v>941512.6558985872</v>
          </cell>
          <cell r="F79">
            <v>2190.2302576958937</v>
          </cell>
          <cell r="G79">
            <v>16104.210394128217</v>
          </cell>
          <cell r="H79">
            <v>206.29794548950326</v>
          </cell>
          <cell r="I79">
            <v>25.5</v>
          </cell>
          <cell r="J79">
            <v>16336.00833961772</v>
          </cell>
          <cell r="K79">
            <v>925408.44550445897</v>
          </cell>
        </row>
        <row r="80">
          <cell r="A80">
            <v>48</v>
          </cell>
          <cell r="B80">
            <v>45434</v>
          </cell>
          <cell r="C80">
            <v>925408.44550445897</v>
          </cell>
          <cell r="D80">
            <v>13881.126682566884</v>
          </cell>
          <cell r="E80">
            <v>939289.5721870258</v>
          </cell>
          <cell r="F80">
            <v>2223.0837115613322</v>
          </cell>
          <cell r="G80">
            <v>16104.210394128217</v>
          </cell>
          <cell r="H80">
            <v>205.81083828019169</v>
          </cell>
          <cell r="I80">
            <v>25.5</v>
          </cell>
          <cell r="J80">
            <v>16335.521232408408</v>
          </cell>
          <cell r="K80">
            <v>923185.36179289769</v>
          </cell>
        </row>
        <row r="81">
          <cell r="A81">
            <v>49</v>
          </cell>
          <cell r="B81">
            <v>45465</v>
          </cell>
          <cell r="C81">
            <v>923185.36179289769</v>
          </cell>
          <cell r="D81">
            <v>13847.780426893465</v>
          </cell>
          <cell r="E81">
            <v>937033.14221979119</v>
          </cell>
          <cell r="F81">
            <v>2256.4299672347515</v>
          </cell>
          <cell r="G81">
            <v>16104.210394128217</v>
          </cell>
          <cell r="H81">
            <v>205.31642446274046</v>
          </cell>
          <cell r="I81">
            <v>25.5</v>
          </cell>
          <cell r="J81">
            <v>16335.026818590957</v>
          </cell>
          <cell r="K81">
            <v>920928.93182566296</v>
          </cell>
        </row>
        <row r="82">
          <cell r="A82">
            <v>50</v>
          </cell>
          <cell r="B82">
            <v>45495</v>
          </cell>
          <cell r="C82">
            <v>920928.93182566296</v>
          </cell>
          <cell r="D82">
            <v>13813.933977384944</v>
          </cell>
          <cell r="E82">
            <v>934742.8658030479</v>
          </cell>
          <cell r="F82">
            <v>2290.2764167432724</v>
          </cell>
          <cell r="G82">
            <v>16104.210394128217</v>
          </cell>
          <cell r="H82">
            <v>204.81459443802746</v>
          </cell>
          <cell r="I82">
            <v>25.5</v>
          </cell>
          <cell r="J82">
            <v>16334.524988566243</v>
          </cell>
          <cell r="K82">
            <v>918638.65540891967</v>
          </cell>
        </row>
        <row r="83">
          <cell r="A83">
            <v>51</v>
          </cell>
          <cell r="B83">
            <v>45526</v>
          </cell>
          <cell r="C83">
            <v>918638.65540891967</v>
          </cell>
          <cell r="D83">
            <v>13779.579831133795</v>
          </cell>
          <cell r="E83">
            <v>932418.2352400535</v>
          </cell>
          <cell r="F83">
            <v>2324.6305629944218</v>
          </cell>
          <cell r="G83">
            <v>16104.210394128217</v>
          </cell>
          <cell r="H83">
            <v>204.30523696294375</v>
          </cell>
          <cell r="I83">
            <v>25.5</v>
          </cell>
          <cell r="J83">
            <v>16334.015631091161</v>
          </cell>
          <cell r="K83">
            <v>916314.02484592528</v>
          </cell>
        </row>
        <row r="84">
          <cell r="A84">
            <v>52</v>
          </cell>
          <cell r="B84">
            <v>45557</v>
          </cell>
          <cell r="C84">
            <v>916314.02484592528</v>
          </cell>
          <cell r="D84">
            <v>13744.710372688878</v>
          </cell>
          <cell r="E84">
            <v>930058.73521861411</v>
          </cell>
          <cell r="F84">
            <v>2359.5000214393385</v>
          </cell>
          <cell r="G84">
            <v>16104.210394128217</v>
          </cell>
          <cell r="H84">
            <v>203.78823912573378</v>
          </cell>
          <cell r="I84">
            <v>25.5</v>
          </cell>
          <cell r="J84">
            <v>16333.49863325395</v>
          </cell>
          <cell r="K84">
            <v>913954.52482448588</v>
          </cell>
        </row>
        <row r="85">
          <cell r="A85">
            <v>53</v>
          </cell>
          <cell r="B85">
            <v>45587</v>
          </cell>
          <cell r="C85">
            <v>913954.52482448588</v>
          </cell>
          <cell r="D85">
            <v>13709.317872367288</v>
          </cell>
          <cell r="E85">
            <v>927663.84269685321</v>
          </cell>
          <cell r="F85">
            <v>2394.8925217609285</v>
          </cell>
          <cell r="G85">
            <v>16104.210394128217</v>
          </cell>
          <cell r="H85">
            <v>203.26348632096568</v>
          </cell>
          <cell r="I85">
            <v>25.5</v>
          </cell>
          <cell r="J85">
            <v>16332.973880449183</v>
          </cell>
          <cell r="K85">
            <v>911559.63230272499</v>
          </cell>
        </row>
        <row r="86">
          <cell r="A86">
            <v>54</v>
          </cell>
          <cell r="B86">
            <v>45618</v>
          </cell>
          <cell r="C86">
            <v>911559.63230272499</v>
          </cell>
          <cell r="D86">
            <v>13673.394484540875</v>
          </cell>
          <cell r="E86">
            <v>925233.0267872659</v>
          </cell>
          <cell r="F86">
            <v>2430.8159095873416</v>
          </cell>
          <cell r="G86">
            <v>16104.210394128217</v>
          </cell>
          <cell r="H86">
            <v>202.73086222412604</v>
          </cell>
          <cell r="I86">
            <v>25.5</v>
          </cell>
          <cell r="J86">
            <v>16332.441256352342</v>
          </cell>
          <cell r="K86">
            <v>909128.81639313768</v>
          </cell>
        </row>
        <row r="87">
          <cell r="A87">
            <v>55</v>
          </cell>
          <cell r="B87">
            <v>45648</v>
          </cell>
          <cell r="C87">
            <v>909128.81639313768</v>
          </cell>
          <cell r="D87">
            <v>13636.932245897066</v>
          </cell>
          <cell r="E87">
            <v>922765.74863903469</v>
          </cell>
          <cell r="F87">
            <v>2467.2781482311511</v>
          </cell>
          <cell r="G87">
            <v>16104.210394128217</v>
          </cell>
          <cell r="H87">
            <v>202.19024876583384</v>
          </cell>
          <cell r="I87">
            <v>25.5</v>
          </cell>
          <cell r="J87">
            <v>16331.90064289405</v>
          </cell>
          <cell r="K87">
            <v>906661.53824490658</v>
          </cell>
        </row>
        <row r="88">
          <cell r="A88">
            <v>56</v>
          </cell>
          <cell r="B88">
            <v>45679</v>
          </cell>
          <cell r="C88">
            <v>906661.53824490658</v>
          </cell>
          <cell r="D88">
            <v>13599.923073673599</v>
          </cell>
          <cell r="E88">
            <v>920261.4613185802</v>
          </cell>
          <cell r="F88">
            <v>2504.2873204546177</v>
          </cell>
          <cell r="G88">
            <v>16104.210394128217</v>
          </cell>
          <cell r="H88">
            <v>201.64152610566723</v>
          </cell>
          <cell r="I88">
            <v>25.5</v>
          </cell>
          <cell r="J88">
            <v>16331.351920233883</v>
          </cell>
          <cell r="K88">
            <v>904157.25092445198</v>
          </cell>
        </row>
        <row r="89">
          <cell r="A89">
            <v>57</v>
          </cell>
          <cell r="B89">
            <v>45710</v>
          </cell>
          <cell r="C89">
            <v>904157.25092445198</v>
          </cell>
          <cell r="D89">
            <v>13562.35876386678</v>
          </cell>
          <cell r="E89">
            <v>917719.6096883188</v>
          </cell>
          <cell r="F89">
            <v>2541.8516302614371</v>
          </cell>
          <cell r="G89">
            <v>16104.210394128217</v>
          </cell>
          <cell r="H89">
            <v>201.08457260559814</v>
          </cell>
          <cell r="I89">
            <v>25.5</v>
          </cell>
          <cell r="J89">
            <v>16330.794966733814</v>
          </cell>
          <cell r="K89">
            <v>901615.39929419057</v>
          </cell>
        </row>
        <row r="90">
          <cell r="A90">
            <v>58</v>
          </cell>
          <cell r="B90">
            <v>45738</v>
          </cell>
          <cell r="C90">
            <v>901615.39929419057</v>
          </cell>
          <cell r="D90">
            <v>13524.230989412858</v>
          </cell>
          <cell r="E90">
            <v>915139.63028360344</v>
          </cell>
          <cell r="F90">
            <v>2579.9794047153591</v>
          </cell>
          <cell r="G90">
            <v>16104.210394128217</v>
          </cell>
          <cell r="H90">
            <v>200.51926480302799</v>
          </cell>
          <cell r="I90">
            <v>25.5</v>
          </cell>
          <cell r="J90">
            <v>16330.229658931245</v>
          </cell>
          <cell r="K90">
            <v>899035.41988947522</v>
          </cell>
        </row>
        <row r="91">
          <cell r="A91">
            <v>59</v>
          </cell>
          <cell r="B91">
            <v>45769</v>
          </cell>
          <cell r="C91">
            <v>899035.41988947522</v>
          </cell>
          <cell r="D91">
            <v>13485.531298342128</v>
          </cell>
          <cell r="E91">
            <v>912520.95118781738</v>
          </cell>
          <cell r="F91">
            <v>2618.6790957860885</v>
          </cell>
          <cell r="G91">
            <v>16104.210394128217</v>
          </cell>
          <cell r="H91">
            <v>199.9454773834193</v>
          </cell>
          <cell r="I91">
            <v>25.5</v>
          </cell>
          <cell r="J91">
            <v>16329.655871511635</v>
          </cell>
          <cell r="K91">
            <v>896416.74079368915</v>
          </cell>
        </row>
        <row r="92">
          <cell r="A92">
            <v>60</v>
          </cell>
          <cell r="B92">
            <v>45799</v>
          </cell>
          <cell r="C92">
            <v>896416.74079368915</v>
          </cell>
          <cell r="D92">
            <v>13446.251111905336</v>
          </cell>
          <cell r="E92">
            <v>909862.99190559448</v>
          </cell>
          <cell r="F92">
            <v>2657.9592822228806</v>
          </cell>
          <cell r="G92">
            <v>16104.210394128217</v>
          </cell>
          <cell r="H92">
            <v>199.36308315251648</v>
          </cell>
          <cell r="I92">
            <v>25.5</v>
          </cell>
          <cell r="J92">
            <v>16329.073477280734</v>
          </cell>
          <cell r="K92">
            <v>893758.78151146625</v>
          </cell>
        </row>
        <row r="93">
          <cell r="A93">
            <v>61</v>
          </cell>
          <cell r="B93">
            <v>45830</v>
          </cell>
          <cell r="C93">
            <v>893758.78151146625</v>
          </cell>
          <cell r="D93">
            <v>13406.381722671993</v>
          </cell>
          <cell r="E93">
            <v>907165.16323413828</v>
          </cell>
          <cell r="F93">
            <v>2697.8286714562237</v>
          </cell>
          <cell r="G93">
            <v>16104.210394128217</v>
          </cell>
          <cell r="H93">
            <v>198.77195300815009</v>
          </cell>
          <cell r="I93">
            <v>25.5</v>
          </cell>
          <cell r="J93">
            <v>16328.482347136367</v>
          </cell>
          <cell r="K93">
            <v>891060.95284001005</v>
          </cell>
        </row>
        <row r="94">
          <cell r="A94">
            <v>62</v>
          </cell>
          <cell r="B94">
            <v>45860</v>
          </cell>
          <cell r="C94">
            <v>891060.95284001005</v>
          </cell>
          <cell r="D94">
            <v>13365.91429260015</v>
          </cell>
          <cell r="E94">
            <v>904426.86713261018</v>
          </cell>
          <cell r="F94">
            <v>2738.2961015280671</v>
          </cell>
          <cell r="G94">
            <v>16104.210394128217</v>
          </cell>
          <cell r="H94">
            <v>198.17195591161826</v>
          </cell>
          <cell r="I94">
            <v>25.5</v>
          </cell>
          <cell r="J94">
            <v>16327.882350039836</v>
          </cell>
          <cell r="K94">
            <v>888322.65673848195</v>
          </cell>
        </row>
        <row r="95">
          <cell r="A95">
            <v>63</v>
          </cell>
          <cell r="B95">
            <v>45891</v>
          </cell>
          <cell r="C95">
            <v>888322.65673848195</v>
          </cell>
          <cell r="D95">
            <v>13324.839851077229</v>
          </cell>
          <cell r="E95">
            <v>901647.49658955913</v>
          </cell>
          <cell r="F95">
            <v>2779.3705430509872</v>
          </cell>
          <cell r="G95">
            <v>16104.210394128217</v>
          </cell>
          <cell r="H95">
            <v>197.56295885863841</v>
          </cell>
          <cell r="I95">
            <v>25.5</v>
          </cell>
          <cell r="J95">
            <v>16327.273352986855</v>
          </cell>
          <cell r="K95">
            <v>885543.2861954309</v>
          </cell>
        </row>
        <row r="96">
          <cell r="A96">
            <v>64</v>
          </cell>
          <cell r="B96">
            <v>45922</v>
          </cell>
          <cell r="C96">
            <v>885543.2861954309</v>
          </cell>
          <cell r="D96">
            <v>13283.149292931463</v>
          </cell>
          <cell r="E96">
            <v>898826.43548836233</v>
          </cell>
          <cell r="F96">
            <v>2821.061101196754</v>
          </cell>
          <cell r="G96">
            <v>16104.210394128217</v>
          </cell>
          <cell r="H96">
            <v>196.94482684986383</v>
          </cell>
          <cell r="I96">
            <v>25.5</v>
          </cell>
          <cell r="J96">
            <v>16326.65522097808</v>
          </cell>
          <cell r="K96">
            <v>882722.22509423411</v>
          </cell>
        </row>
        <row r="97">
          <cell r="A97">
            <v>65</v>
          </cell>
          <cell r="B97">
            <v>45952</v>
          </cell>
          <cell r="C97">
            <v>882722.22509423411</v>
          </cell>
          <cell r="D97">
            <v>13240.833376413511</v>
          </cell>
          <cell r="E97">
            <v>895963.05847064767</v>
          </cell>
          <cell r="F97">
            <v>2863.3770177147053</v>
          </cell>
          <cell r="G97">
            <v>16104.210394128217</v>
          </cell>
          <cell r="H97">
            <v>196.31742286095766</v>
          </cell>
          <cell r="I97">
            <v>25.5</v>
          </cell>
          <cell r="J97">
            <v>16326.027816989174</v>
          </cell>
          <cell r="K97">
            <v>879858.84807651944</v>
          </cell>
        </row>
        <row r="98">
          <cell r="A98">
            <v>66</v>
          </cell>
          <cell r="B98">
            <v>45983</v>
          </cell>
          <cell r="C98">
            <v>879858.84807651944</v>
          </cell>
          <cell r="D98">
            <v>13197.882721147791</v>
          </cell>
          <cell r="E98">
            <v>893056.73079766729</v>
          </cell>
          <cell r="F98">
            <v>2906.3276729804256</v>
          </cell>
          <cell r="G98">
            <v>16104.210394128217</v>
          </cell>
          <cell r="H98">
            <v>195.68060781221794</v>
          </cell>
          <cell r="I98">
            <v>25.5</v>
          </cell>
          <cell r="J98">
            <v>16325.391001940434</v>
          </cell>
          <cell r="K98">
            <v>876952.52040353906</v>
          </cell>
        </row>
        <row r="99">
          <cell r="A99">
            <v>67</v>
          </cell>
          <cell r="B99">
            <v>46013</v>
          </cell>
          <cell r="C99">
            <v>876952.52040353906</v>
          </cell>
          <cell r="D99">
            <v>13154.287806053086</v>
          </cell>
          <cell r="E99">
            <v>890106.80820959213</v>
          </cell>
          <cell r="F99">
            <v>2949.922588075131</v>
          </cell>
          <cell r="G99">
            <v>16104.210394128217</v>
          </cell>
          <cell r="H99">
            <v>195.03424053774711</v>
          </cell>
          <cell r="I99">
            <v>25.5</v>
          </cell>
          <cell r="J99">
            <v>16324.744634665964</v>
          </cell>
          <cell r="K99">
            <v>874002.5978154639</v>
          </cell>
        </row>
        <row r="100">
          <cell r="A100">
            <v>68</v>
          </cell>
          <cell r="B100">
            <v>46044</v>
          </cell>
          <cell r="C100">
            <v>874002.5978154639</v>
          </cell>
          <cell r="D100">
            <v>13110.038967231958</v>
          </cell>
          <cell r="E100">
            <v>887112.63678269589</v>
          </cell>
          <cell r="F100">
            <v>2994.1714268962587</v>
          </cell>
          <cell r="G100">
            <v>16104.210394128217</v>
          </cell>
          <cell r="H100">
            <v>194.37817775415917</v>
          </cell>
          <cell r="I100">
            <v>25.5</v>
          </cell>
          <cell r="J100">
            <v>16324.088571882376</v>
          </cell>
          <cell r="K100">
            <v>871008.42638856766</v>
          </cell>
        </row>
        <row r="101">
          <cell r="A101">
            <v>69</v>
          </cell>
          <cell r="B101">
            <v>46075</v>
          </cell>
          <cell r="C101">
            <v>871008.42638856766</v>
          </cell>
          <cell r="D101">
            <v>13065.126395828514</v>
          </cell>
          <cell r="E101">
            <v>884073.55278439622</v>
          </cell>
          <cell r="F101">
            <v>3039.0839982997022</v>
          </cell>
          <cell r="G101">
            <v>16104.210394128217</v>
          </cell>
          <cell r="H101">
            <v>193.71227402881746</v>
          </cell>
          <cell r="I101">
            <v>25.5</v>
          </cell>
          <cell r="J101">
            <v>16323.422668157034</v>
          </cell>
          <cell r="K101">
            <v>867969.34239026799</v>
          </cell>
        </row>
        <row r="102">
          <cell r="A102">
            <v>70</v>
          </cell>
          <cell r="B102">
            <v>46103</v>
          </cell>
          <cell r="C102">
            <v>867969.34239026799</v>
          </cell>
          <cell r="D102">
            <v>13019.54013585402</v>
          </cell>
          <cell r="E102">
            <v>880988.88252612203</v>
          </cell>
          <cell r="F102">
            <v>3084.6702582741964</v>
          </cell>
          <cell r="G102">
            <v>16104.210394128217</v>
          </cell>
          <cell r="H102">
            <v>193.03638174759561</v>
          </cell>
          <cell r="I102">
            <v>25.5</v>
          </cell>
          <cell r="J102">
            <v>16322.746775875812</v>
          </cell>
          <cell r="K102">
            <v>864884.67213199381</v>
          </cell>
        </row>
        <row r="103">
          <cell r="A103">
            <v>71</v>
          </cell>
          <cell r="B103">
            <v>46134</v>
          </cell>
          <cell r="C103">
            <v>864884.67213199381</v>
          </cell>
          <cell r="D103">
            <v>12973.270081979907</v>
          </cell>
          <cell r="E103">
            <v>877857.94221397373</v>
          </cell>
          <cell r="F103">
            <v>3130.9403121483101</v>
          </cell>
          <cell r="G103">
            <v>16104.210394128217</v>
          </cell>
          <cell r="H103">
            <v>192.35035108215544</v>
          </cell>
          <cell r="I103">
            <v>25.5</v>
          </cell>
          <cell r="J103">
            <v>16322.060745210372</v>
          </cell>
          <cell r="K103">
            <v>861753.7318198455</v>
          </cell>
        </row>
        <row r="104">
          <cell r="A104">
            <v>72</v>
          </cell>
          <cell r="B104">
            <v>46164</v>
          </cell>
          <cell r="C104">
            <v>861753.7318198455</v>
          </cell>
          <cell r="D104">
            <v>12926.305977297681</v>
          </cell>
          <cell r="E104">
            <v>874680.03779714322</v>
          </cell>
          <cell r="F104">
            <v>3177.9044168305354</v>
          </cell>
          <cell r="G104">
            <v>16104.210394128217</v>
          </cell>
          <cell r="H104">
            <v>191.65402995673364</v>
          </cell>
          <cell r="I104">
            <v>25.5</v>
          </cell>
          <cell r="J104">
            <v>16321.36442408495</v>
          </cell>
          <cell r="K104">
            <v>858575.82740301499</v>
          </cell>
        </row>
        <row r="105">
          <cell r="A105">
            <v>73</v>
          </cell>
          <cell r="B105">
            <v>46195</v>
          </cell>
          <cell r="C105">
            <v>858575.82740301499</v>
          </cell>
          <cell r="D105">
            <v>12878.637411045225</v>
          </cell>
          <cell r="E105">
            <v>871454.46481406025</v>
          </cell>
          <cell r="F105">
            <v>3225.5729830829914</v>
          </cell>
          <cell r="G105">
            <v>16104.210394128217</v>
          </cell>
          <cell r="H105">
            <v>190.94726401443054</v>
          </cell>
          <cell r="I105">
            <v>25.5</v>
          </cell>
          <cell r="J105">
            <v>16320.657658142647</v>
          </cell>
          <cell r="K105">
            <v>855350.25441993203</v>
          </cell>
        </row>
        <row r="106">
          <cell r="A106">
            <v>74</v>
          </cell>
          <cell r="B106">
            <v>46225</v>
          </cell>
          <cell r="C106">
            <v>855350.25441993203</v>
          </cell>
          <cell r="D106">
            <v>12830.25381629898</v>
          </cell>
          <cell r="E106">
            <v>868180.50823623105</v>
          </cell>
          <cell r="F106">
            <v>3273.9565778292363</v>
          </cell>
          <cell r="G106">
            <v>16104.210394128217</v>
          </cell>
          <cell r="H106">
            <v>190.22989658299289</v>
          </cell>
          <cell r="I106">
            <v>25.5</v>
          </cell>
          <cell r="J106">
            <v>16319.940290711209</v>
          </cell>
          <cell r="K106">
            <v>852076.29784210282</v>
          </cell>
        </row>
        <row r="107">
          <cell r="A107">
            <v>75</v>
          </cell>
          <cell r="B107">
            <v>46256</v>
          </cell>
          <cell r="C107">
            <v>852076.29784210282</v>
          </cell>
          <cell r="D107">
            <v>12781.144467631542</v>
          </cell>
          <cell r="E107">
            <v>864857.44230973441</v>
          </cell>
          <cell r="F107">
            <v>3323.0659264966744</v>
          </cell>
          <cell r="G107">
            <v>16104.210394128217</v>
          </cell>
          <cell r="H107">
            <v>189.50176864008367</v>
          </cell>
          <cell r="I107">
            <v>25.5</v>
          </cell>
          <cell r="J107">
            <v>16319.212162768301</v>
          </cell>
          <cell r="K107">
            <v>848753.23191560619</v>
          </cell>
        </row>
        <row r="108">
          <cell r="A108">
            <v>76</v>
          </cell>
          <cell r="B108">
            <v>46287</v>
          </cell>
          <cell r="C108">
            <v>848753.23191560619</v>
          </cell>
          <cell r="D108">
            <v>12731.298478734092</v>
          </cell>
          <cell r="E108">
            <v>861484.53039434028</v>
          </cell>
          <cell r="F108">
            <v>3372.9119153941247</v>
          </cell>
          <cell r="G108">
            <v>16104.210394128217</v>
          </cell>
          <cell r="H108">
            <v>188.76271877803083</v>
          </cell>
          <cell r="I108">
            <v>25.5</v>
          </cell>
          <cell r="J108">
            <v>16318.473112906247</v>
          </cell>
          <cell r="K108">
            <v>845380.32000021206</v>
          </cell>
        </row>
        <row r="109">
          <cell r="A109">
            <v>77</v>
          </cell>
          <cell r="B109">
            <v>46317</v>
          </cell>
          <cell r="C109">
            <v>845380.32000021206</v>
          </cell>
          <cell r="D109">
            <v>12680.704800003181</v>
          </cell>
          <cell r="E109">
            <v>858061.02480021527</v>
          </cell>
          <cell r="F109">
            <v>3423.5055941250357</v>
          </cell>
          <cell r="G109">
            <v>16104.210394128217</v>
          </cell>
          <cell r="H109">
            <v>188.01258316804717</v>
          </cell>
          <cell r="I109">
            <v>25.5</v>
          </cell>
          <cell r="J109">
            <v>16317.722977296264</v>
          </cell>
          <cell r="K109">
            <v>841956.81440608704</v>
          </cell>
        </row>
        <row r="110">
          <cell r="A110">
            <v>78</v>
          </cell>
          <cell r="B110">
            <v>46348</v>
          </cell>
          <cell r="C110">
            <v>841956.81440608704</v>
          </cell>
          <cell r="D110">
            <v>12629.352216091305</v>
          </cell>
          <cell r="E110">
            <v>854586.1666221784</v>
          </cell>
          <cell r="F110">
            <v>3474.8581780369113</v>
          </cell>
          <cell r="G110">
            <v>16104.210394128217</v>
          </cell>
          <cell r="H110">
            <v>187.25119552391376</v>
          </cell>
          <cell r="I110">
            <v>25.5</v>
          </cell>
          <cell r="J110">
            <v>16316.96158965213</v>
          </cell>
          <cell r="K110">
            <v>838481.95622805017</v>
          </cell>
        </row>
        <row r="111">
          <cell r="A111">
            <v>79</v>
          </cell>
          <cell r="B111">
            <v>46378</v>
          </cell>
          <cell r="C111">
            <v>838481.95622805017</v>
          </cell>
          <cell r="D111">
            <v>12577.229343420751</v>
          </cell>
          <cell r="E111">
            <v>851059.18557147088</v>
          </cell>
          <cell r="F111">
            <v>3526.9810507074653</v>
          </cell>
          <cell r="G111">
            <v>16104.210394128217</v>
          </cell>
          <cell r="H111">
            <v>186.47838706511837</v>
          </cell>
          <cell r="I111">
            <v>25.5</v>
          </cell>
          <cell r="J111">
            <v>16316.188781193336</v>
          </cell>
          <cell r="K111">
            <v>834954.97517734265</v>
          </cell>
        </row>
        <row r="112">
          <cell r="A112">
            <v>80</v>
          </cell>
          <cell r="B112">
            <v>46409</v>
          </cell>
          <cell r="C112">
            <v>834954.97517734265</v>
          </cell>
          <cell r="D112">
            <v>12524.324627660139</v>
          </cell>
          <cell r="E112">
            <v>847479.29980500275</v>
          </cell>
          <cell r="F112">
            <v>3579.8857664680781</v>
          </cell>
          <cell r="G112">
            <v>16104.210394128217</v>
          </cell>
          <cell r="H112">
            <v>185.69398647944101</v>
          </cell>
          <cell r="I112">
            <v>25.5</v>
          </cell>
          <cell r="J112">
            <v>16315.404380607657</v>
          </cell>
          <cell r="K112">
            <v>831375.08941087453</v>
          </cell>
        </row>
        <row r="113">
          <cell r="A113">
            <v>81</v>
          </cell>
          <cell r="B113">
            <v>46440</v>
          </cell>
          <cell r="C113">
            <v>831375.08941087453</v>
          </cell>
          <cell r="D113">
            <v>12470.626341163117</v>
          </cell>
          <cell r="E113">
            <v>843845.71575203759</v>
          </cell>
          <cell r="F113">
            <v>3633.5840529650995</v>
          </cell>
          <cell r="G113">
            <v>16104.210394128217</v>
          </cell>
          <cell r="H113">
            <v>184.8978198849785</v>
          </cell>
          <cell r="I113">
            <v>25.5</v>
          </cell>
          <cell r="J113">
            <v>16314.608214013195</v>
          </cell>
          <cell r="K113">
            <v>827741.50535790948</v>
          </cell>
        </row>
        <row r="114">
          <cell r="A114">
            <v>82</v>
          </cell>
          <cell r="B114">
            <v>46468</v>
          </cell>
          <cell r="C114">
            <v>827741.50535790948</v>
          </cell>
          <cell r="D114">
            <v>12416.122580368641</v>
          </cell>
          <cell r="E114">
            <v>840157.62793827814</v>
          </cell>
          <cell r="F114">
            <v>3688.0878137595755</v>
          </cell>
          <cell r="G114">
            <v>16104.210394128217</v>
          </cell>
          <cell r="H114">
            <v>184.08971079159909</v>
          </cell>
          <cell r="I114">
            <v>25.5</v>
          </cell>
          <cell r="J114">
            <v>16313.800104919816</v>
          </cell>
          <cell r="K114">
            <v>824053.41754414991</v>
          </cell>
        </row>
        <row r="115">
          <cell r="A115">
            <v>83</v>
          </cell>
          <cell r="B115">
            <v>46499</v>
          </cell>
          <cell r="C115">
            <v>824053.41754414991</v>
          </cell>
          <cell r="D115">
            <v>12360.801263162248</v>
          </cell>
          <cell r="E115">
            <v>836414.21880731219</v>
          </cell>
          <cell r="F115">
            <v>3743.4091309659689</v>
          </cell>
          <cell r="G115">
            <v>16104.210394128217</v>
          </cell>
          <cell r="H115">
            <v>183.26948006181894</v>
          </cell>
          <cell r="I115">
            <v>25.5</v>
          </cell>
          <cell r="J115">
            <v>16312.979874190036</v>
          </cell>
          <cell r="K115">
            <v>820310.00841318397</v>
          </cell>
        </row>
        <row r="116">
          <cell r="A116">
            <v>84</v>
          </cell>
          <cell r="B116">
            <v>46529</v>
          </cell>
          <cell r="C116">
            <v>820310.00841318397</v>
          </cell>
          <cell r="D116">
            <v>12304.650126197759</v>
          </cell>
          <cell r="E116">
            <v>832614.65853938169</v>
          </cell>
          <cell r="F116">
            <v>3799.5602679304575</v>
          </cell>
          <cell r="G116">
            <v>16104.210394128217</v>
          </cell>
          <cell r="H116">
            <v>182.43694587109212</v>
          </cell>
          <cell r="I116">
            <v>25.5</v>
          </cell>
          <cell r="J116">
            <v>16312.147339999308</v>
          </cell>
          <cell r="K116">
            <v>816510.44814525347</v>
          </cell>
        </row>
        <row r="117">
          <cell r="A117">
            <v>85</v>
          </cell>
          <cell r="B117">
            <v>46560</v>
          </cell>
          <cell r="C117">
            <v>816510.44814525347</v>
          </cell>
          <cell r="D117">
            <v>12247.656722178801</v>
          </cell>
          <cell r="E117">
            <v>828758.10486743227</v>
          </cell>
          <cell r="F117">
            <v>3856.5536719494157</v>
          </cell>
          <cell r="G117">
            <v>16104.210394128217</v>
          </cell>
          <cell r="H117">
            <v>181.59192366750437</v>
          </cell>
          <cell r="I117">
            <v>25.5</v>
          </cell>
          <cell r="J117">
            <v>16311.30231779572</v>
          </cell>
          <cell r="K117">
            <v>812653.89447330404</v>
          </cell>
        </row>
        <row r="118">
          <cell r="A118">
            <v>86</v>
          </cell>
          <cell r="B118">
            <v>46590</v>
          </cell>
          <cell r="C118">
            <v>812653.89447330404</v>
          </cell>
          <cell r="D118">
            <v>12189.808417099561</v>
          </cell>
          <cell r="E118">
            <v>824843.70289040357</v>
          </cell>
          <cell r="F118">
            <v>3914.4019770286559</v>
          </cell>
          <cell r="G118">
            <v>16104.210394128217</v>
          </cell>
          <cell r="H118">
            <v>180.73422613086282</v>
          </cell>
          <cell r="I118">
            <v>25.5</v>
          </cell>
          <cell r="J118">
            <v>16310.444620259079</v>
          </cell>
          <cell r="K118">
            <v>808739.49249627534</v>
          </cell>
        </row>
        <row r="119">
          <cell r="A119">
            <v>87</v>
          </cell>
          <cell r="B119">
            <v>46621</v>
          </cell>
          <cell r="C119">
            <v>808739.49249627534</v>
          </cell>
          <cell r="D119">
            <v>12131.092387444131</v>
          </cell>
          <cell r="E119">
            <v>820870.58488371945</v>
          </cell>
          <cell r="F119">
            <v>3973.1180066840861</v>
          </cell>
          <cell r="G119">
            <v>16104.210394128217</v>
          </cell>
          <cell r="H119">
            <v>179.86366313117165</v>
          </cell>
          <cell r="I119">
            <v>25.5</v>
          </cell>
          <cell r="J119">
            <v>16309.574057259388</v>
          </cell>
          <cell r="K119">
            <v>804766.37448959122</v>
          </cell>
        </row>
        <row r="120">
          <cell r="A120">
            <v>88</v>
          </cell>
          <cell r="B120">
            <v>46652</v>
          </cell>
          <cell r="C120">
            <v>804766.37448959122</v>
          </cell>
          <cell r="D120">
            <v>12071.495617343868</v>
          </cell>
          <cell r="E120">
            <v>816837.87010693504</v>
          </cell>
          <cell r="F120">
            <v>4032.7147767843489</v>
          </cell>
          <cell r="G120">
            <v>16104.210394128217</v>
          </cell>
          <cell r="H120">
            <v>178.98004168648509</v>
          </cell>
          <cell r="I120">
            <v>25.5</v>
          </cell>
          <cell r="J120">
            <v>16308.690435814702</v>
          </cell>
          <cell r="K120">
            <v>800733.65971280693</v>
          </cell>
        </row>
        <row r="121">
          <cell r="A121">
            <v>89</v>
          </cell>
          <cell r="B121">
            <v>46682</v>
          </cell>
          <cell r="C121">
            <v>800733.65971280693</v>
          </cell>
          <cell r="D121">
            <v>12011.004895692104</v>
          </cell>
          <cell r="E121">
            <v>812744.66460849904</v>
          </cell>
          <cell r="F121">
            <v>4093.205498436113</v>
          </cell>
          <cell r="G121">
            <v>16104.210394128217</v>
          </cell>
          <cell r="H121">
            <v>178.08316592012827</v>
          </cell>
          <cell r="I121">
            <v>25.5</v>
          </cell>
          <cell r="J121">
            <v>16307.793560048345</v>
          </cell>
          <cell r="K121">
            <v>796640.45421437081</v>
          </cell>
        </row>
        <row r="122">
          <cell r="A122">
            <v>90</v>
          </cell>
          <cell r="B122">
            <v>46713</v>
          </cell>
          <cell r="C122">
            <v>796640.45421437081</v>
          </cell>
          <cell r="D122">
            <v>11949.606813215561</v>
          </cell>
          <cell r="E122">
            <v>808590.06102758634</v>
          </cell>
          <cell r="F122">
            <v>4154.6035809126552</v>
          </cell>
          <cell r="G122">
            <v>16104.210394128217</v>
          </cell>
          <cell r="H122">
            <v>177.17283701727607</v>
          </cell>
          <cell r="I122">
            <v>25.5</v>
          </cell>
          <cell r="J122">
            <v>16306.883231145493</v>
          </cell>
          <cell r="K122">
            <v>792485.85063345812</v>
          </cell>
        </row>
        <row r="123">
          <cell r="A123">
            <v>91</v>
          </cell>
          <cell r="B123">
            <v>46743</v>
          </cell>
          <cell r="C123">
            <v>792485.85063345812</v>
          </cell>
          <cell r="D123">
            <v>11887.287759501871</v>
          </cell>
          <cell r="E123">
            <v>804373.13839295995</v>
          </cell>
          <cell r="F123">
            <v>4216.9226346263458</v>
          </cell>
          <cell r="G123">
            <v>16104.210394128217</v>
          </cell>
          <cell r="H123">
            <v>176.2488531808811</v>
          </cell>
          <cell r="I123">
            <v>25.5</v>
          </cell>
          <cell r="J123">
            <v>16305.959247309098</v>
          </cell>
          <cell r="K123">
            <v>788268.92799883173</v>
          </cell>
        </row>
        <row r="124">
          <cell r="A124">
            <v>92</v>
          </cell>
          <cell r="B124">
            <v>46774</v>
          </cell>
          <cell r="C124">
            <v>788268.92799883173</v>
          </cell>
          <cell r="D124">
            <v>11824.033919982476</v>
          </cell>
          <cell r="E124">
            <v>800092.96191881422</v>
          </cell>
          <cell r="F124">
            <v>4280.1764741457409</v>
          </cell>
          <cell r="G124">
            <v>16104.210394128217</v>
          </cell>
          <cell r="H124">
            <v>175.31100958694017</v>
          </cell>
          <cell r="I124">
            <v>25.5</v>
          </cell>
          <cell r="J124">
            <v>16305.021403715156</v>
          </cell>
          <cell r="K124">
            <v>783988.751524686</v>
          </cell>
        </row>
        <row r="125">
          <cell r="A125">
            <v>93</v>
          </cell>
          <cell r="B125">
            <v>46805</v>
          </cell>
          <cell r="C125">
            <v>783988.751524686</v>
          </cell>
          <cell r="D125">
            <v>11759.831272870289</v>
          </cell>
          <cell r="E125">
            <v>795748.5827975563</v>
          </cell>
          <cell r="F125">
            <v>4344.3791212579272</v>
          </cell>
          <cell r="G125">
            <v>16104.210394128217</v>
          </cell>
          <cell r="H125">
            <v>174.35909833909017</v>
          </cell>
          <cell r="I125">
            <v>25.5</v>
          </cell>
          <cell r="J125">
            <v>16304.069492467306</v>
          </cell>
          <cell r="K125">
            <v>779644.37240342807</v>
          </cell>
        </row>
        <row r="126">
          <cell r="A126">
            <v>94</v>
          </cell>
          <cell r="B126">
            <v>46834</v>
          </cell>
          <cell r="C126">
            <v>779644.37240342807</v>
          </cell>
          <cell r="D126">
            <v>11694.66558605142</v>
          </cell>
          <cell r="E126">
            <v>791339.03798947949</v>
          </cell>
          <cell r="F126">
            <v>4409.5448080767965</v>
          </cell>
          <cell r="G126">
            <v>16104.210394128217</v>
          </cell>
          <cell r="H126">
            <v>173.39290842252242</v>
          </cell>
          <cell r="I126">
            <v>25.5</v>
          </cell>
          <cell r="J126">
            <v>16303.103302550739</v>
          </cell>
          <cell r="K126">
            <v>775234.82759535126</v>
          </cell>
        </row>
        <row r="127">
          <cell r="A127">
            <v>95</v>
          </cell>
          <cell r="B127">
            <v>46865</v>
          </cell>
          <cell r="C127">
            <v>775234.82759535126</v>
          </cell>
          <cell r="D127">
            <v>11628.522413930268</v>
          </cell>
          <cell r="E127">
            <v>786863.35000928154</v>
          </cell>
          <cell r="F127">
            <v>4475.6879801979485</v>
          </cell>
          <cell r="G127">
            <v>16104.210394128217</v>
          </cell>
          <cell r="H127">
            <v>172.41222565720614</v>
          </cell>
          <cell r="I127">
            <v>25.5</v>
          </cell>
          <cell r="J127">
            <v>16302.122619785423</v>
          </cell>
          <cell r="K127">
            <v>770759.13961515331</v>
          </cell>
        </row>
        <row r="128">
          <cell r="A128">
            <v>96</v>
          </cell>
          <cell r="B128">
            <v>46895</v>
          </cell>
          <cell r="C128">
            <v>770759.13961515331</v>
          </cell>
          <cell r="D128">
            <v>11561.387094227299</v>
          </cell>
          <cell r="E128">
            <v>782320.52670938056</v>
          </cell>
          <cell r="F128">
            <v>4542.8232999009178</v>
          </cell>
          <cell r="G128">
            <v>16104.210394128217</v>
          </cell>
          <cell r="H128">
            <v>171.4168326504101</v>
          </cell>
          <cell r="I128">
            <v>25.5</v>
          </cell>
          <cell r="J128">
            <v>16301.127226778626</v>
          </cell>
          <cell r="K128">
            <v>766216.31631525245</v>
          </cell>
        </row>
        <row r="129">
          <cell r="A129">
            <v>97</v>
          </cell>
          <cell r="B129">
            <v>46926</v>
          </cell>
          <cell r="C129">
            <v>766216.31631525245</v>
          </cell>
          <cell r="D129">
            <v>11493.244744728787</v>
          </cell>
          <cell r="E129">
            <v>777709.56105998124</v>
          </cell>
          <cell r="F129">
            <v>4610.9656493994298</v>
          </cell>
          <cell r="G129">
            <v>16104.210394128217</v>
          </cell>
          <cell r="H129">
            <v>170.40650874851215</v>
          </cell>
          <cell r="I129">
            <v>25.5</v>
          </cell>
          <cell r="J129">
            <v>16300.116902876729</v>
          </cell>
          <cell r="K129">
            <v>761605.35066585301</v>
          </cell>
        </row>
        <row r="130">
          <cell r="A130">
            <v>98</v>
          </cell>
          <cell r="B130">
            <v>46956</v>
          </cell>
          <cell r="C130">
            <v>761605.35066585301</v>
          </cell>
          <cell r="D130">
            <v>11424.080259987795</v>
          </cell>
          <cell r="E130">
            <v>773029.43092584086</v>
          </cell>
          <cell r="F130">
            <v>4680.1301341404214</v>
          </cell>
          <cell r="G130">
            <v>16104.210394128217</v>
          </cell>
          <cell r="H130">
            <v>169.38102998808571</v>
          </cell>
          <cell r="I130">
            <v>25.5</v>
          </cell>
          <cell r="J130">
            <v>16299.091424116303</v>
          </cell>
          <cell r="K130">
            <v>756925.22053171264</v>
          </cell>
        </row>
        <row r="131">
          <cell r="A131">
            <v>99</v>
          </cell>
          <cell r="B131">
            <v>46987</v>
          </cell>
          <cell r="C131">
            <v>756925.22053171264</v>
          </cell>
          <cell r="D131">
            <v>11353.878307975689</v>
          </cell>
          <cell r="E131">
            <v>768279.09883968835</v>
          </cell>
          <cell r="F131">
            <v>4750.3320861525281</v>
          </cell>
          <cell r="G131">
            <v>16104.210394128217</v>
          </cell>
          <cell r="H131">
            <v>168.3401690462529</v>
          </cell>
          <cell r="I131">
            <v>25.5</v>
          </cell>
          <cell r="J131">
            <v>16298.050563174469</v>
          </cell>
          <cell r="K131">
            <v>752174.88844556012</v>
          </cell>
        </row>
        <row r="132">
          <cell r="A132">
            <v>100</v>
          </cell>
          <cell r="B132">
            <v>47018</v>
          </cell>
          <cell r="C132">
            <v>752174.88844556012</v>
          </cell>
          <cell r="D132">
            <v>11282.623326683401</v>
          </cell>
          <cell r="E132">
            <v>763457.51177224354</v>
          </cell>
          <cell r="F132">
            <v>4821.5870674448161</v>
          </cell>
          <cell r="G132">
            <v>16104.210394128217</v>
          </cell>
          <cell r="H132">
            <v>167.28369519029258</v>
          </cell>
          <cell r="I132">
            <v>25.5</v>
          </cell>
          <cell r="J132">
            <v>16296.994089318508</v>
          </cell>
          <cell r="K132">
            <v>747353.30137811531</v>
          </cell>
        </row>
        <row r="133">
          <cell r="A133">
            <v>101</v>
          </cell>
          <cell r="B133">
            <v>47048</v>
          </cell>
          <cell r="C133">
            <v>747353.30137811531</v>
          </cell>
          <cell r="D133">
            <v>11210.29952067173</v>
          </cell>
          <cell r="E133">
            <v>758563.60089878703</v>
          </cell>
          <cell r="F133">
            <v>4893.910873456487</v>
          </cell>
          <cell r="G133">
            <v>16104.210394128217</v>
          </cell>
          <cell r="H133">
            <v>166.21137422649286</v>
          </cell>
          <cell r="I133">
            <v>25.5</v>
          </cell>
          <cell r="J133">
            <v>16295.92176835471</v>
          </cell>
          <cell r="K133">
            <v>742459.3905046588</v>
          </cell>
        </row>
        <row r="134">
          <cell r="A134">
            <v>102</v>
          </cell>
          <cell r="B134">
            <v>47079</v>
          </cell>
          <cell r="C134">
            <v>742459.3905046588</v>
          </cell>
          <cell r="D134">
            <v>11136.890857569882</v>
          </cell>
          <cell r="E134">
            <v>753596.28136222868</v>
          </cell>
          <cell r="F134">
            <v>4967.3195365583342</v>
          </cell>
          <cell r="G134">
            <v>16104.210394128217</v>
          </cell>
          <cell r="H134">
            <v>165.12296844823612</v>
          </cell>
          <cell r="I134">
            <v>25.5</v>
          </cell>
          <cell r="J134">
            <v>16294.833362576454</v>
          </cell>
          <cell r="K134">
            <v>737492.07096810045</v>
          </cell>
        </row>
        <row r="135">
          <cell r="A135">
            <v>103</v>
          </cell>
          <cell r="B135">
            <v>47109</v>
          </cell>
          <cell r="C135">
            <v>737492.07096810045</v>
          </cell>
          <cell r="D135">
            <v>11062.381064521507</v>
          </cell>
          <cell r="E135">
            <v>748554.45203262195</v>
          </cell>
          <cell r="F135">
            <v>5041.8293296067095</v>
          </cell>
          <cell r="G135">
            <v>16104.210394128217</v>
          </cell>
          <cell r="H135">
            <v>164.01823658330554</v>
          </cell>
          <cell r="I135">
            <v>25.5</v>
          </cell>
          <cell r="J135">
            <v>16293.728630711523</v>
          </cell>
          <cell r="K135">
            <v>732450.24163849372</v>
          </cell>
        </row>
        <row r="136">
          <cell r="A136">
            <v>104</v>
          </cell>
          <cell r="B136">
            <v>47140</v>
          </cell>
          <cell r="C136">
            <v>732450.24163849372</v>
          </cell>
          <cell r="D136">
            <v>10986.753624577406</v>
          </cell>
          <cell r="E136">
            <v>743436.99526307115</v>
          </cell>
          <cell r="F136">
            <v>5117.4567695508103</v>
          </cell>
          <cell r="G136">
            <v>16104.210394128217</v>
          </cell>
          <cell r="H136">
            <v>162.89693374040101</v>
          </cell>
          <cell r="I136">
            <v>25.5</v>
          </cell>
          <cell r="J136">
            <v>16292.607327868618</v>
          </cell>
          <cell r="K136">
            <v>727332.78486894292</v>
          </cell>
        </row>
        <row r="137">
          <cell r="A137">
            <v>105</v>
          </cell>
          <cell r="B137">
            <v>47171</v>
          </cell>
          <cell r="C137">
            <v>727332.78486894292</v>
          </cell>
          <cell r="D137">
            <v>10909.991773034144</v>
          </cell>
          <cell r="E137">
            <v>738242.77664197702</v>
          </cell>
          <cell r="F137">
            <v>5194.2186210940727</v>
          </cell>
          <cell r="G137">
            <v>16104.210394128217</v>
          </cell>
          <cell r="H137">
            <v>161.75881135485292</v>
          </cell>
          <cell r="I137">
            <v>25.5</v>
          </cell>
          <cell r="J137">
            <v>16291.46920548307</v>
          </cell>
          <cell r="K137">
            <v>722138.56624784879</v>
          </cell>
        </row>
        <row r="138">
          <cell r="A138">
            <v>106</v>
          </cell>
          <cell r="B138">
            <v>47199</v>
          </cell>
          <cell r="C138">
            <v>722138.56624784879</v>
          </cell>
          <cell r="D138">
            <v>10832.078493717732</v>
          </cell>
          <cell r="E138">
            <v>732970.6447415665</v>
          </cell>
          <cell r="F138">
            <v>5272.1319004104844</v>
          </cell>
          <cell r="G138">
            <v>16104.210394128217</v>
          </cell>
          <cell r="H138">
            <v>160.60361713352157</v>
          </cell>
          <cell r="I138">
            <v>25.5</v>
          </cell>
          <cell r="J138">
            <v>16290.314011261738</v>
          </cell>
          <cell r="K138">
            <v>716866.43434743828</v>
          </cell>
        </row>
        <row r="139">
          <cell r="A139">
            <v>107</v>
          </cell>
          <cell r="B139">
            <v>47230</v>
          </cell>
          <cell r="C139">
            <v>716866.43434743828</v>
          </cell>
          <cell r="D139">
            <v>10752.996515211575</v>
          </cell>
          <cell r="E139">
            <v>727619.43086264981</v>
          </cell>
          <cell r="F139">
            <v>5351.213878916642</v>
          </cell>
          <cell r="G139">
            <v>16104.210394128217</v>
          </cell>
          <cell r="H139">
            <v>159.43109499887029</v>
          </cell>
          <cell r="I139">
            <v>25.5</v>
          </cell>
          <cell r="J139">
            <v>16289.141489127087</v>
          </cell>
          <cell r="K139">
            <v>711515.22046852158</v>
          </cell>
        </row>
        <row r="140">
          <cell r="A140">
            <v>108</v>
          </cell>
          <cell r="B140">
            <v>47260</v>
          </cell>
          <cell r="C140">
            <v>711515.22046852158</v>
          </cell>
          <cell r="D140">
            <v>10672.728307027823</v>
          </cell>
          <cell r="E140">
            <v>722187.94877554942</v>
          </cell>
          <cell r="F140">
            <v>5431.482087100394</v>
          </cell>
          <cell r="G140">
            <v>16104.210394128217</v>
          </cell>
          <cell r="H140">
            <v>158.24098503219921</v>
          </cell>
          <cell r="I140">
            <v>25.5</v>
          </cell>
          <cell r="J140">
            <v>16287.951379160415</v>
          </cell>
          <cell r="K140">
            <v>706083.73838142119</v>
          </cell>
        </row>
        <row r="141">
          <cell r="A141">
            <v>109</v>
          </cell>
          <cell r="B141">
            <v>47291</v>
          </cell>
          <cell r="C141">
            <v>706083.73838142119</v>
          </cell>
          <cell r="D141">
            <v>10591.256075721318</v>
          </cell>
          <cell r="E141">
            <v>716674.99445714254</v>
          </cell>
          <cell r="F141">
            <v>5512.9543184068989</v>
          </cell>
          <cell r="G141">
            <v>16104.210394128217</v>
          </cell>
          <cell r="H141">
            <v>157.03302341602807</v>
          </cell>
          <cell r="I141">
            <v>25.5</v>
          </cell>
          <cell r="J141">
            <v>16286.743417544245</v>
          </cell>
          <cell r="K141">
            <v>700570.78406301432</v>
          </cell>
        </row>
        <row r="142">
          <cell r="A142">
            <v>110</v>
          </cell>
          <cell r="B142">
            <v>47321</v>
          </cell>
          <cell r="C142">
            <v>700570.78406301432</v>
          </cell>
          <cell r="D142">
            <v>10508.561760945215</v>
          </cell>
          <cell r="E142">
            <v>711079.34582395956</v>
          </cell>
          <cell r="F142">
            <v>5595.6486331830019</v>
          </cell>
          <cell r="G142">
            <v>16104.210394128217</v>
          </cell>
          <cell r="H142">
            <v>155.8069423756144</v>
          </cell>
          <cell r="I142">
            <v>25.5</v>
          </cell>
          <cell r="J142">
            <v>16285.517336503832</v>
          </cell>
          <cell r="K142">
            <v>694975.13542983134</v>
          </cell>
        </row>
        <row r="143">
          <cell r="A143">
            <v>111</v>
          </cell>
          <cell r="B143">
            <v>47352</v>
          </cell>
          <cell r="C143">
            <v>694975.13542983134</v>
          </cell>
          <cell r="D143">
            <v>10424.62703144747</v>
          </cell>
          <cell r="E143">
            <v>705399.76246127882</v>
          </cell>
          <cell r="F143">
            <v>5679.5833626807471</v>
          </cell>
          <cell r="G143">
            <v>16104.210394128217</v>
          </cell>
          <cell r="H143">
            <v>154.56247011959451</v>
          </cell>
          <cell r="I143">
            <v>25.5</v>
          </cell>
          <cell r="J143">
            <v>16284.272864247811</v>
          </cell>
          <cell r="K143">
            <v>689295.55206715059</v>
          </cell>
        </row>
        <row r="144">
          <cell r="A144">
            <v>112</v>
          </cell>
          <cell r="B144">
            <v>47383</v>
          </cell>
          <cell r="C144">
            <v>689295.55206715059</v>
          </cell>
          <cell r="D144">
            <v>10339.433281007259</v>
          </cell>
          <cell r="E144">
            <v>699634.98534815782</v>
          </cell>
          <cell r="F144">
            <v>5764.7771131209574</v>
          </cell>
          <cell r="G144">
            <v>16104.210394128217</v>
          </cell>
          <cell r="H144">
            <v>153.2993307797343</v>
          </cell>
          <cell r="I144">
            <v>25.5</v>
          </cell>
          <cell r="J144">
            <v>16283.009724907952</v>
          </cell>
          <cell r="K144">
            <v>683530.77495402959</v>
          </cell>
        </row>
        <row r="145">
          <cell r="A145">
            <v>113</v>
          </cell>
          <cell r="B145">
            <v>47413</v>
          </cell>
          <cell r="C145">
            <v>683530.77495402959</v>
          </cell>
          <cell r="D145">
            <v>10252.961624310443</v>
          </cell>
          <cell r="E145">
            <v>693783.73657834006</v>
          </cell>
          <cell r="F145">
            <v>5851.2487698177738</v>
          </cell>
          <cell r="G145">
            <v>16104.210394128217</v>
          </cell>
          <cell r="H145">
            <v>152.01724434977618</v>
          </cell>
          <cell r="I145">
            <v>25.5</v>
          </cell>
          <cell r="J145">
            <v>16281.727638477993</v>
          </cell>
          <cell r="K145">
            <v>677679.52618421183</v>
          </cell>
        </row>
        <row r="146">
          <cell r="A146">
            <v>114</v>
          </cell>
          <cell r="B146">
            <v>47444</v>
          </cell>
          <cell r="C146">
            <v>677679.52618421183</v>
          </cell>
          <cell r="D146">
            <v>10165.192892763178</v>
          </cell>
          <cell r="E146">
            <v>687844.71907697502</v>
          </cell>
          <cell r="F146">
            <v>5939.0175013650387</v>
          </cell>
          <cell r="G146">
            <v>16104.210394128217</v>
          </cell>
          <cell r="H146">
            <v>150.71592662336872</v>
          </cell>
          <cell r="I146">
            <v>25.5</v>
          </cell>
          <cell r="J146">
            <v>16280.426320751585</v>
          </cell>
          <cell r="K146">
            <v>671740.50868284679</v>
          </cell>
        </row>
        <row r="147">
          <cell r="A147">
            <v>115</v>
          </cell>
          <cell r="B147">
            <v>47474</v>
          </cell>
          <cell r="C147">
            <v>671740.50868284679</v>
          </cell>
          <cell r="D147">
            <v>10076.107630242701</v>
          </cell>
          <cell r="E147">
            <v>681816.6163130895</v>
          </cell>
          <cell r="F147">
            <v>6028.1027638855157</v>
          </cell>
          <cell r="G147">
            <v>16104.210394128217</v>
          </cell>
          <cell r="H147">
            <v>149.39508913106513</v>
          </cell>
          <cell r="I147">
            <v>25.5</v>
          </cell>
          <cell r="J147">
            <v>16279.105483259282</v>
          </cell>
          <cell r="K147">
            <v>665712.40591896127</v>
          </cell>
        </row>
        <row r="148">
          <cell r="A148">
            <v>116</v>
          </cell>
          <cell r="B148">
            <v>47505</v>
          </cell>
          <cell r="C148">
            <v>665712.40591896127</v>
          </cell>
          <cell r="D148">
            <v>9985.6860887844196</v>
          </cell>
          <cell r="E148">
            <v>675698.09200774564</v>
          </cell>
          <cell r="F148">
            <v>6118.5243053437971</v>
          </cell>
          <cell r="G148">
            <v>16104.210394128217</v>
          </cell>
          <cell r="H148">
            <v>148.05443907637701</v>
          </cell>
          <cell r="I148">
            <v>25.5</v>
          </cell>
          <cell r="J148">
            <v>16277.764833204594</v>
          </cell>
          <cell r="K148">
            <v>659593.88161361753</v>
          </cell>
        </row>
        <row r="149">
          <cell r="A149">
            <v>117</v>
          </cell>
          <cell r="B149">
            <v>47536</v>
          </cell>
          <cell r="C149">
            <v>659593.88161361753</v>
          </cell>
          <cell r="D149">
            <v>9893.9082242042623</v>
          </cell>
          <cell r="E149">
            <v>669487.78983782174</v>
          </cell>
          <cell r="F149">
            <v>6210.3021699239544</v>
          </cell>
          <cell r="G149">
            <v>16104.210394128217</v>
          </cell>
          <cell r="H149">
            <v>146.69367927086856</v>
          </cell>
          <cell r="I149">
            <v>25.5</v>
          </cell>
          <cell r="J149">
            <v>16276.404073399086</v>
          </cell>
          <cell r="K149">
            <v>653383.57944369363</v>
          </cell>
        </row>
        <row r="150">
          <cell r="A150">
            <v>118</v>
          </cell>
          <cell r="B150">
            <v>47564</v>
          </cell>
          <cell r="C150">
            <v>653383.57944369363</v>
          </cell>
          <cell r="D150">
            <v>9800.7536916554036</v>
          </cell>
          <cell r="E150">
            <v>663184.33313534898</v>
          </cell>
          <cell r="F150">
            <v>6303.456702472813</v>
          </cell>
          <cell r="G150">
            <v>16104.210394128217</v>
          </cell>
          <cell r="H150">
            <v>145.31250806827748</v>
          </cell>
          <cell r="I150">
            <v>25.5</v>
          </cell>
          <cell r="J150">
            <v>16275.022902196493</v>
          </cell>
          <cell r="K150">
            <v>647080.12274122087</v>
          </cell>
        </row>
        <row r="151">
          <cell r="A151">
            <v>119</v>
          </cell>
          <cell r="B151">
            <v>47595</v>
          </cell>
          <cell r="C151">
            <v>647080.12274122087</v>
          </cell>
          <cell r="D151">
            <v>9706.2018411183126</v>
          </cell>
          <cell r="E151">
            <v>656786.32458233915</v>
          </cell>
          <cell r="F151">
            <v>6398.0085530099041</v>
          </cell>
          <cell r="G151">
            <v>16104.210394128217</v>
          </cell>
          <cell r="H151">
            <v>143.91061929764754</v>
          </cell>
          <cell r="I151">
            <v>25.5</v>
          </cell>
          <cell r="J151">
            <v>16273.621013425864</v>
          </cell>
          <cell r="K151">
            <v>640682.11418821092</v>
          </cell>
        </row>
        <row r="152">
          <cell r="A152">
            <v>120</v>
          </cell>
          <cell r="B152">
            <v>47625</v>
          </cell>
          <cell r="C152">
            <v>640682.11418821092</v>
          </cell>
          <cell r="D152">
            <v>9610.2317128231643</v>
          </cell>
          <cell r="E152">
            <v>650292.34590103407</v>
          </cell>
          <cell r="F152">
            <v>6493.9786813050523</v>
          </cell>
          <cell r="G152">
            <v>16104.210394128217</v>
          </cell>
          <cell r="H152">
            <v>142.48770219545813</v>
          </cell>
          <cell r="I152">
            <v>25.5</v>
          </cell>
          <cell r="J152">
            <v>16272.198096323675</v>
          </cell>
          <cell r="K152">
            <v>634188.13550690585</v>
          </cell>
        </row>
        <row r="153">
          <cell r="A153">
            <v>121</v>
          </cell>
          <cell r="B153">
            <v>47656</v>
          </cell>
          <cell r="C153">
            <v>634188.13550690585</v>
          </cell>
          <cell r="D153">
            <v>9512.822032603588</v>
          </cell>
          <cell r="E153">
            <v>643700.9575395094</v>
          </cell>
          <cell r="F153">
            <v>6591.3883615246286</v>
          </cell>
          <cell r="G153">
            <v>16104.210394128217</v>
          </cell>
          <cell r="H153">
            <v>141.04344133673587</v>
          </cell>
          <cell r="I153">
            <v>25.5</v>
          </cell>
          <cell r="J153">
            <v>16270.753835464953</v>
          </cell>
          <cell r="K153">
            <v>627596.74714538117</v>
          </cell>
        </row>
        <row r="154">
          <cell r="A154">
            <v>122</v>
          </cell>
          <cell r="B154">
            <v>47686</v>
          </cell>
          <cell r="C154">
            <v>627596.74714538117</v>
          </cell>
          <cell r="D154">
            <v>9413.9512071807167</v>
          </cell>
          <cell r="E154">
            <v>637010.69835256191</v>
          </cell>
          <cell r="F154">
            <v>6690.2591869475</v>
          </cell>
          <cell r="G154">
            <v>16104.210394128217</v>
          </cell>
          <cell r="H154">
            <v>139.57751656513278</v>
          </cell>
          <cell r="I154">
            <v>25.5</v>
          </cell>
          <cell r="J154">
            <v>16269.287910693349</v>
          </cell>
          <cell r="K154">
            <v>620906.48795843369</v>
          </cell>
        </row>
        <row r="155">
          <cell r="A155">
            <v>123</v>
          </cell>
          <cell r="B155">
            <v>47717</v>
          </cell>
          <cell r="C155">
            <v>620906.48795843369</v>
          </cell>
          <cell r="D155">
            <v>9313.5973193765058</v>
          </cell>
          <cell r="E155">
            <v>630220.08527781023</v>
          </cell>
          <cell r="F155">
            <v>6790.6130747517109</v>
          </cell>
          <cell r="G155">
            <v>16104.210394128217</v>
          </cell>
          <cell r="H155">
            <v>138.08960292195567</v>
          </cell>
          <cell r="I155">
            <v>25.5</v>
          </cell>
          <cell r="J155">
            <v>16267.799997050171</v>
          </cell>
          <cell r="K155">
            <v>614115.874883682</v>
          </cell>
        </row>
        <row r="156">
          <cell r="A156">
            <v>124</v>
          </cell>
          <cell r="B156">
            <v>47748</v>
          </cell>
          <cell r="C156">
            <v>614115.874883682</v>
          </cell>
          <cell r="D156">
            <v>9211.7381232552289</v>
          </cell>
          <cell r="E156">
            <v>623327.6130069372</v>
          </cell>
          <cell r="F156">
            <v>6892.4722708729878</v>
          </cell>
          <cell r="G156">
            <v>16104.210394128217</v>
          </cell>
          <cell r="H156">
            <v>136.57937057413088</v>
          </cell>
          <cell r="I156">
            <v>25.5</v>
          </cell>
          <cell r="J156">
            <v>16266.289764702347</v>
          </cell>
          <cell r="K156">
            <v>607223.40261280898</v>
          </cell>
        </row>
        <row r="157">
          <cell r="A157">
            <v>125</v>
          </cell>
          <cell r="B157">
            <v>47778</v>
          </cell>
          <cell r="C157">
            <v>607223.40261280898</v>
          </cell>
          <cell r="D157">
            <v>9108.3510391921336</v>
          </cell>
          <cell r="E157">
            <v>616331.75365200115</v>
          </cell>
          <cell r="F157">
            <v>6995.859354936083</v>
          </cell>
          <cell r="G157">
            <v>16104.210394128217</v>
          </cell>
          <cell r="H157">
            <v>135.04648474108873</v>
          </cell>
          <cell r="I157">
            <v>25.5</v>
          </cell>
          <cell r="J157">
            <v>16264.756878869306</v>
          </cell>
          <cell r="K157">
            <v>600227.54325787292</v>
          </cell>
        </row>
        <row r="158">
          <cell r="A158">
            <v>126</v>
          </cell>
          <cell r="B158">
            <v>47809</v>
          </cell>
          <cell r="C158">
            <v>600227.54325787292</v>
          </cell>
          <cell r="D158">
            <v>9003.4131488680941</v>
          </cell>
          <cell r="E158">
            <v>609230.95640674105</v>
          </cell>
          <cell r="F158">
            <v>7100.7972452601225</v>
          </cell>
          <cell r="G158">
            <v>16104.210394128217</v>
          </cell>
          <cell r="H158">
            <v>133.49060562055095</v>
          </cell>
          <cell r="I158">
            <v>25.5</v>
          </cell>
          <cell r="J158">
            <v>16263.200999748768</v>
          </cell>
          <cell r="K158">
            <v>593126.74601261283</v>
          </cell>
        </row>
        <row r="159">
          <cell r="A159">
            <v>127</v>
          </cell>
          <cell r="B159">
            <v>47839</v>
          </cell>
          <cell r="C159">
            <v>593126.74601261283</v>
          </cell>
          <cell r="D159">
            <v>8896.9011901891918</v>
          </cell>
          <cell r="E159">
            <v>602023.64720280201</v>
          </cell>
          <cell r="F159">
            <v>7207.3092039390249</v>
          </cell>
          <cell r="G159">
            <v>16104.210394128217</v>
          </cell>
          <cell r="H159">
            <v>131.91138831320509</v>
          </cell>
          <cell r="I159">
            <v>25.5</v>
          </cell>
          <cell r="J159">
            <v>16261.621782441422</v>
          </cell>
          <cell r="K159">
            <v>585919.43680867378</v>
          </cell>
        </row>
        <row r="160">
          <cell r="A160">
            <v>128</v>
          </cell>
          <cell r="B160">
            <v>47870</v>
          </cell>
          <cell r="C160">
            <v>585919.43680867378</v>
          </cell>
          <cell r="D160">
            <v>8788.7915521301056</v>
          </cell>
          <cell r="E160">
            <v>594708.22836080391</v>
          </cell>
          <cell r="F160">
            <v>7315.418841998111</v>
          </cell>
          <cell r="G160">
            <v>16104.210394128217</v>
          </cell>
          <cell r="H160">
            <v>130.30848274624907</v>
          </cell>
          <cell r="I160">
            <v>25.5</v>
          </cell>
          <cell r="J160">
            <v>16260.018876874467</v>
          </cell>
          <cell r="K160">
            <v>578604.01796667569</v>
          </cell>
        </row>
        <row r="161">
          <cell r="A161">
            <v>129</v>
          </cell>
          <cell r="B161">
            <v>47901</v>
          </cell>
          <cell r="C161">
            <v>578604.01796667569</v>
          </cell>
          <cell r="D161">
            <v>8679.0602695001344</v>
          </cell>
          <cell r="E161">
            <v>587283.07823617582</v>
          </cell>
          <cell r="F161">
            <v>7425.1501246280823</v>
          </cell>
          <cell r="G161">
            <v>16104.210394128217</v>
          </cell>
          <cell r="H161">
            <v>128.68153359578869</v>
          </cell>
          <cell r="I161">
            <v>25.5</v>
          </cell>
          <cell r="J161">
            <v>16258.391927724006</v>
          </cell>
          <cell r="K161">
            <v>571178.86784204759</v>
          </cell>
        </row>
        <row r="162">
          <cell r="A162">
            <v>130</v>
          </cell>
          <cell r="B162">
            <v>47929</v>
          </cell>
          <cell r="C162">
            <v>571178.86784204759</v>
          </cell>
          <cell r="D162">
            <v>8567.6830176307139</v>
          </cell>
          <cell r="E162">
            <v>579746.5508596783</v>
          </cell>
          <cell r="F162">
            <v>7536.5273764975027</v>
          </cell>
          <cell r="G162">
            <v>16104.210394128217</v>
          </cell>
          <cell r="H162">
            <v>127.03018020807139</v>
          </cell>
          <cell r="I162">
            <v>25.5</v>
          </cell>
          <cell r="J162">
            <v>16256.740574336289</v>
          </cell>
          <cell r="K162">
            <v>563642.34046555008</v>
          </cell>
        </row>
        <row r="163">
          <cell r="A163">
            <v>131</v>
          </cell>
          <cell r="B163">
            <v>47960</v>
          </cell>
          <cell r="C163">
            <v>563642.34046555008</v>
          </cell>
          <cell r="D163">
            <v>8454.6351069832508</v>
          </cell>
          <cell r="E163">
            <v>572096.97557253332</v>
          </cell>
          <cell r="F163">
            <v>7649.5752871449658</v>
          </cell>
          <cell r="G163">
            <v>16104.210394128217</v>
          </cell>
          <cell r="H163">
            <v>125.35405651953835</v>
          </cell>
          <cell r="I163">
            <v>25.5</v>
          </cell>
          <cell r="J163">
            <v>16255.064450647755</v>
          </cell>
          <cell r="K163">
            <v>555992.7651784051</v>
          </cell>
        </row>
        <row r="164">
          <cell r="A164">
            <v>132</v>
          </cell>
          <cell r="B164">
            <v>47990</v>
          </cell>
          <cell r="C164">
            <v>555992.7651784051</v>
          </cell>
          <cell r="D164">
            <v>8339.8914776760757</v>
          </cell>
          <cell r="E164">
            <v>564332.65665608121</v>
          </cell>
          <cell r="F164">
            <v>7764.3189164521409</v>
          </cell>
          <cell r="G164">
            <v>16104.210394128217</v>
          </cell>
          <cell r="H164">
            <v>123.65279097567731</v>
          </cell>
          <cell r="I164">
            <v>25.5</v>
          </cell>
          <cell r="J164">
            <v>16253.363185103894</v>
          </cell>
          <cell r="K164">
            <v>548228.44626195298</v>
          </cell>
        </row>
        <row r="165">
          <cell r="A165">
            <v>133</v>
          </cell>
          <cell r="B165">
            <v>48021</v>
          </cell>
          <cell r="C165">
            <v>548228.44626195298</v>
          </cell>
          <cell r="D165">
            <v>8223.4266939292938</v>
          </cell>
          <cell r="E165">
            <v>556451.87295588222</v>
          </cell>
          <cell r="F165">
            <v>7880.7837001989228</v>
          </cell>
          <cell r="G165">
            <v>16104.210394128217</v>
          </cell>
          <cell r="H165">
            <v>121.92600644865836</v>
          </cell>
          <cell r="I165">
            <v>25.5</v>
          </cell>
          <cell r="J165">
            <v>16251.636400576876</v>
          </cell>
          <cell r="K165">
            <v>540347.66256175411</v>
          </cell>
        </row>
        <row r="166">
          <cell r="A166">
            <v>134</v>
          </cell>
          <cell r="B166">
            <v>48051</v>
          </cell>
          <cell r="C166">
            <v>540347.66256175411</v>
          </cell>
          <cell r="D166">
            <v>8105.2149384263112</v>
          </cell>
          <cell r="E166">
            <v>548452.87750018039</v>
          </cell>
          <cell r="F166">
            <v>7998.9954557019055</v>
          </cell>
          <cell r="G166">
            <v>16104.210394128217</v>
          </cell>
          <cell r="H166">
            <v>120.17332015373412</v>
          </cell>
          <cell r="I166">
            <v>25.5</v>
          </cell>
          <cell r="J166">
            <v>16249.88371428195</v>
          </cell>
          <cell r="K166">
            <v>532348.66710605216</v>
          </cell>
        </row>
        <row r="167">
          <cell r="A167">
            <v>135</v>
          </cell>
          <cell r="B167">
            <v>48082</v>
          </cell>
          <cell r="C167">
            <v>532348.66710605216</v>
          </cell>
          <cell r="D167">
            <v>7985.2300065907821</v>
          </cell>
          <cell r="E167">
            <v>540333.897112643</v>
          </cell>
          <cell r="F167">
            <v>8118.9803875374346</v>
          </cell>
          <cell r="G167">
            <v>16104.210394128217</v>
          </cell>
          <cell r="H167">
            <v>118.39434356438601</v>
          </cell>
          <cell r="I167">
            <v>25.5</v>
          </cell>
          <cell r="J167">
            <v>16248.104737692604</v>
          </cell>
          <cell r="K167">
            <v>524229.68671851471</v>
          </cell>
        </row>
        <row r="168">
          <cell r="A168">
            <v>136</v>
          </cell>
          <cell r="B168">
            <v>48113</v>
          </cell>
          <cell r="C168">
            <v>524229.68671851471</v>
          </cell>
          <cell r="D168">
            <v>7863.4453007777201</v>
          </cell>
          <cell r="E168">
            <v>532093.13201929245</v>
          </cell>
          <cell r="F168">
            <v>8240.7650933504956</v>
          </cell>
          <cell r="G168">
            <v>16104.210394128217</v>
          </cell>
          <cell r="H168">
            <v>116.58868232619768</v>
          </cell>
          <cell r="I168">
            <v>25.5</v>
          </cell>
          <cell r="J168">
            <v>16246.299076454414</v>
          </cell>
          <cell r="K168">
            <v>515988.92162516422</v>
          </cell>
        </row>
        <row r="169">
          <cell r="A169">
            <v>137</v>
          </cell>
          <cell r="B169">
            <v>48143</v>
          </cell>
          <cell r="C169">
            <v>515988.92162516422</v>
          </cell>
          <cell r="D169">
            <v>7739.8338243774633</v>
          </cell>
          <cell r="E169">
            <v>523728.75544954167</v>
          </cell>
          <cell r="F169">
            <v>8364.3765697507533</v>
          </cell>
          <cell r="G169">
            <v>16104.210394128217</v>
          </cell>
          <cell r="H169">
            <v>114.75593616943652</v>
          </cell>
          <cell r="I169">
            <v>25.5</v>
          </cell>
          <cell r="J169">
            <v>16244.466330297653</v>
          </cell>
          <cell r="K169">
            <v>507624.54505541344</v>
          </cell>
        </row>
        <row r="170">
          <cell r="A170">
            <v>138</v>
          </cell>
          <cell r="B170">
            <v>48174</v>
          </cell>
          <cell r="C170">
            <v>507624.54505541344</v>
          </cell>
          <cell r="D170">
            <v>7614.3681758312014</v>
          </cell>
          <cell r="E170">
            <v>515238.91323124466</v>
          </cell>
          <cell r="F170">
            <v>8489.8422182970153</v>
          </cell>
          <cell r="G170">
            <v>16104.210394128217</v>
          </cell>
          <cell r="H170">
            <v>112.89569882032396</v>
          </cell>
          <cell r="I170">
            <v>25.5</v>
          </cell>
          <cell r="J170">
            <v>16242.606092948541</v>
          </cell>
          <cell r="K170">
            <v>499134.70283711643</v>
          </cell>
        </row>
        <row r="171">
          <cell r="A171">
            <v>139</v>
          </cell>
          <cell r="B171">
            <v>48204</v>
          </cell>
          <cell r="C171">
            <v>499134.70283711643</v>
          </cell>
          <cell r="D171">
            <v>7487.0205425567465</v>
          </cell>
          <cell r="E171">
            <v>506621.7233796732</v>
          </cell>
          <cell r="F171">
            <v>8617.1898515714711</v>
          </cell>
          <cell r="G171">
            <v>16104.210394128217</v>
          </cell>
          <cell r="H171">
            <v>111.0075579109747</v>
          </cell>
          <cell r="I171">
            <v>25.5</v>
          </cell>
          <cell r="J171">
            <v>16240.717952039191</v>
          </cell>
          <cell r="K171">
            <v>490517.51298554498</v>
          </cell>
        </row>
        <row r="172">
          <cell r="A172">
            <v>140</v>
          </cell>
          <cell r="B172">
            <v>48235</v>
          </cell>
          <cell r="C172">
            <v>490517.51298554498</v>
          </cell>
          <cell r="D172">
            <v>7357.7626947831741</v>
          </cell>
          <cell r="E172">
            <v>497875.27568032814</v>
          </cell>
          <cell r="F172">
            <v>8746.4476993450426</v>
          </cell>
          <cell r="G172">
            <v>16104.210394128217</v>
          </cell>
          <cell r="H172">
            <v>109.09109488798521</v>
          </cell>
          <cell r="I172">
            <v>25.5</v>
          </cell>
          <cell r="J172">
            <v>16238.801489016201</v>
          </cell>
          <cell r="K172">
            <v>481771.06528619991</v>
          </cell>
        </row>
        <row r="173">
          <cell r="A173">
            <v>141</v>
          </cell>
          <cell r="B173">
            <v>48266</v>
          </cell>
          <cell r="C173">
            <v>481771.06528619991</v>
          </cell>
          <cell r="D173">
            <v>7226.5659792929982</v>
          </cell>
          <cell r="E173">
            <v>488997.63126549294</v>
          </cell>
          <cell r="F173">
            <v>8877.6444148352184</v>
          </cell>
          <cell r="G173">
            <v>16104.210394128217</v>
          </cell>
          <cell r="H173">
            <v>107.14588491965087</v>
          </cell>
          <cell r="I173">
            <v>25.5</v>
          </cell>
          <cell r="J173">
            <v>16236.856279047868</v>
          </cell>
          <cell r="K173">
            <v>472893.42087136471</v>
          </cell>
        </row>
        <row r="174">
          <cell r="A174">
            <v>142</v>
          </cell>
          <cell r="B174">
            <v>48295</v>
          </cell>
          <cell r="C174">
            <v>472893.42087136471</v>
          </cell>
          <cell r="D174">
            <v>7093.4013130704707</v>
          </cell>
          <cell r="E174">
            <v>479986.82218443521</v>
          </cell>
          <cell r="F174">
            <v>9010.8090810577451</v>
          </cell>
          <cell r="G174">
            <v>16104.210394128217</v>
          </cell>
          <cell r="H174">
            <v>105.17149680179152</v>
          </cell>
          <cell r="I174">
            <v>25.5</v>
          </cell>
          <cell r="J174">
            <v>16234.881890930008</v>
          </cell>
          <cell r="K174">
            <v>463882.61179030698</v>
          </cell>
        </row>
        <row r="175">
          <cell r="A175">
            <v>143</v>
          </cell>
          <cell r="B175">
            <v>48326</v>
          </cell>
          <cell r="C175">
            <v>463882.61179030698</v>
          </cell>
          <cell r="D175">
            <v>6958.2391768546049</v>
          </cell>
          <cell r="E175">
            <v>470840.85096716159</v>
          </cell>
          <cell r="F175">
            <v>9145.9712172736108</v>
          </cell>
          <cell r="G175">
            <v>16104.210394128217</v>
          </cell>
          <cell r="H175">
            <v>103.16749286216428</v>
          </cell>
          <cell r="I175">
            <v>25.5</v>
          </cell>
          <cell r="J175">
            <v>16232.877886990382</v>
          </cell>
          <cell r="K175">
            <v>454736.64057303336</v>
          </cell>
        </row>
        <row r="176">
          <cell r="A176">
            <v>144</v>
          </cell>
          <cell r="B176">
            <v>48356</v>
          </cell>
          <cell r="C176">
            <v>454736.64057303336</v>
          </cell>
          <cell r="D176">
            <v>6821.0496085955001</v>
          </cell>
          <cell r="E176">
            <v>461557.69018162886</v>
          </cell>
          <cell r="F176">
            <v>9283.1607855327165</v>
          </cell>
          <cell r="G176">
            <v>16104.210394128217</v>
          </cell>
          <cell r="H176">
            <v>101.13342886344263</v>
          </cell>
          <cell r="I176">
            <v>25.5</v>
          </cell>
          <cell r="J176">
            <v>16230.843822991659</v>
          </cell>
          <cell r="K176">
            <v>445453.47978750063</v>
          </cell>
        </row>
        <row r="177">
          <cell r="A177">
            <v>145</v>
          </cell>
          <cell r="B177">
            <v>48387</v>
          </cell>
          <cell r="C177">
            <v>445453.47978750063</v>
          </cell>
          <cell r="D177">
            <v>6681.8021968125095</v>
          </cell>
          <cell r="E177">
            <v>452135.28198431316</v>
          </cell>
          <cell r="F177">
            <v>9422.4081973157081</v>
          </cell>
          <cell r="G177">
            <v>16104.210394128217</v>
          </cell>
          <cell r="H177">
            <v>99.068853904740152</v>
          </cell>
          <cell r="I177">
            <v>25.5</v>
          </cell>
          <cell r="J177">
            <v>16228.779248032957</v>
          </cell>
          <cell r="K177">
            <v>436031.07159018493</v>
          </cell>
        </row>
        <row r="178">
          <cell r="A178">
            <v>146</v>
          </cell>
          <cell r="B178">
            <v>48417</v>
          </cell>
          <cell r="C178">
            <v>436031.07159018493</v>
          </cell>
          <cell r="D178">
            <v>6540.4660738527737</v>
          </cell>
          <cell r="E178">
            <v>442571.53766403772</v>
          </cell>
          <cell r="F178">
            <v>9563.7443202754439</v>
          </cell>
          <cell r="G178">
            <v>16104.210394128217</v>
          </cell>
          <cell r="H178">
            <v>96.973310321657138</v>
          </cell>
          <cell r="I178">
            <v>25.5</v>
          </cell>
          <cell r="J178">
            <v>16226.683704449873</v>
          </cell>
          <cell r="K178">
            <v>426467.3272699095</v>
          </cell>
        </row>
        <row r="179">
          <cell r="A179">
            <v>147</v>
          </cell>
          <cell r="B179">
            <v>48448</v>
          </cell>
          <cell r="C179">
            <v>426467.3272699095</v>
          </cell>
          <cell r="D179">
            <v>6397.0099090486419</v>
          </cell>
          <cell r="E179">
            <v>432864.33717895811</v>
          </cell>
          <cell r="F179">
            <v>9707.2004850795747</v>
          </cell>
          <cell r="G179">
            <v>16104.210394128217</v>
          </cell>
          <cell r="H179">
            <v>94.846333584827875</v>
          </cell>
          <cell r="I179">
            <v>25.5</v>
          </cell>
          <cell r="J179">
            <v>16224.556727713045</v>
          </cell>
          <cell r="K179">
            <v>416760.12678482995</v>
          </cell>
        </row>
        <row r="180">
          <cell r="A180">
            <v>148</v>
          </cell>
          <cell r="B180">
            <v>48479</v>
          </cell>
          <cell r="C180">
            <v>416760.12678482995</v>
          </cell>
          <cell r="D180">
            <v>6251.4019017724486</v>
          </cell>
          <cell r="E180">
            <v>423011.52868660237</v>
          </cell>
          <cell r="F180">
            <v>9852.808492355769</v>
          </cell>
          <cell r="G180">
            <v>16104.210394128217</v>
          </cell>
          <cell r="H180">
            <v>92.687452196946182</v>
          </cell>
          <cell r="I180">
            <v>25.5</v>
          </cell>
          <cell r="J180">
            <v>16222.397846325162</v>
          </cell>
          <cell r="K180">
            <v>406907.3182924742</v>
          </cell>
        </row>
        <row r="181">
          <cell r="A181">
            <v>149</v>
          </cell>
          <cell r="B181">
            <v>48509</v>
          </cell>
          <cell r="C181">
            <v>406907.3182924742</v>
          </cell>
          <cell r="D181">
            <v>6103.6097743871123</v>
          </cell>
          <cell r="E181">
            <v>413010.92806686129</v>
          </cell>
          <cell r="F181">
            <v>10000.600619741104</v>
          </cell>
          <cell r="G181">
            <v>16104.210394128217</v>
          </cell>
          <cell r="H181">
            <v>90.496187588246272</v>
          </cell>
          <cell r="I181">
            <v>25.5</v>
          </cell>
          <cell r="J181">
            <v>16220.206581716462</v>
          </cell>
          <cell r="K181">
            <v>396906.71767273312</v>
          </cell>
        </row>
        <row r="182">
          <cell r="A182">
            <v>150</v>
          </cell>
          <cell r="B182">
            <v>48540</v>
          </cell>
          <cell r="C182">
            <v>396906.71767273312</v>
          </cell>
          <cell r="D182">
            <v>5953.6007650909969</v>
          </cell>
          <cell r="E182">
            <v>402860.31843782414</v>
          </cell>
          <cell r="F182">
            <v>10150.609629037219</v>
          </cell>
          <cell r="G182">
            <v>16104.210394128217</v>
          </cell>
          <cell r="H182">
            <v>88.272054010415857</v>
          </cell>
          <cell r="I182">
            <v>25.5</v>
          </cell>
          <cell r="J182">
            <v>16217.982448138633</v>
          </cell>
          <cell r="K182">
            <v>386756.10804369592</v>
          </cell>
        </row>
        <row r="183">
          <cell r="A183">
            <v>151</v>
          </cell>
          <cell r="B183">
            <v>48570</v>
          </cell>
          <cell r="C183">
            <v>386756.10804369592</v>
          </cell>
          <cell r="D183">
            <v>5801.3416206554384</v>
          </cell>
          <cell r="E183">
            <v>392557.44966435136</v>
          </cell>
          <cell r="F183">
            <v>10302.868773472779</v>
          </cell>
          <cell r="G183">
            <v>16104.210394128217</v>
          </cell>
          <cell r="H183">
            <v>86.014558428917979</v>
          </cell>
          <cell r="I183">
            <v>25.5</v>
          </cell>
          <cell r="J183">
            <v>16215.724952557135</v>
          </cell>
          <cell r="K183">
            <v>376453.23927022313</v>
          </cell>
        </row>
        <row r="184">
          <cell r="A184">
            <v>152</v>
          </cell>
          <cell r="B184">
            <v>48601</v>
          </cell>
          <cell r="C184">
            <v>376453.23927022313</v>
          </cell>
          <cell r="D184">
            <v>5646.7985890533464</v>
          </cell>
          <cell r="E184">
            <v>382100.03785927646</v>
          </cell>
          <cell r="F184">
            <v>10457.411805074869</v>
          </cell>
          <cell r="G184">
            <v>16104.210394128217</v>
          </cell>
          <cell r="H184">
            <v>83.723200413697626</v>
          </cell>
          <cell r="I184">
            <v>25.5</v>
          </cell>
          <cell r="J184">
            <v>16213.433594541913</v>
          </cell>
          <cell r="K184">
            <v>365995.82746514824</v>
          </cell>
        </row>
        <row r="185">
          <cell r="A185">
            <v>153</v>
          </cell>
          <cell r="B185">
            <v>48632</v>
          </cell>
          <cell r="C185">
            <v>365995.82746514824</v>
          </cell>
          <cell r="D185">
            <v>5489.9374119772237</v>
          </cell>
          <cell r="E185">
            <v>371485.76487712545</v>
          </cell>
          <cell r="F185">
            <v>10614.272982150993</v>
          </cell>
          <cell r="G185">
            <v>16104.210394128217</v>
          </cell>
          <cell r="H185">
            <v>81.39747202824897</v>
          </cell>
          <cell r="I185">
            <v>25.5</v>
          </cell>
          <cell r="J185">
            <v>16211.107866156466</v>
          </cell>
          <cell r="K185">
            <v>355381.55448299722</v>
          </cell>
        </row>
        <row r="186">
          <cell r="A186">
            <v>154</v>
          </cell>
          <cell r="B186">
            <v>48660</v>
          </cell>
          <cell r="C186">
            <v>355381.55448299722</v>
          </cell>
          <cell r="D186">
            <v>5330.7233172449578</v>
          </cell>
          <cell r="E186">
            <v>360712.27780024218</v>
          </cell>
          <cell r="F186">
            <v>10773.487076883259</v>
          </cell>
          <cell r="G186">
            <v>16104.210394128217</v>
          </cell>
          <cell r="H186">
            <v>79.036857717018592</v>
          </cell>
          <cell r="I186">
            <v>25.5</v>
          </cell>
          <cell r="J186">
            <v>16208.747251845236</v>
          </cell>
          <cell r="K186">
            <v>344608.06740611396</v>
          </cell>
        </row>
        <row r="187">
          <cell r="A187">
            <v>155</v>
          </cell>
          <cell r="B187">
            <v>48691</v>
          </cell>
          <cell r="C187">
            <v>344608.06740611396</v>
          </cell>
          <cell r="D187">
            <v>5169.1210110917091</v>
          </cell>
          <cell r="E187">
            <v>349777.18841720565</v>
          </cell>
          <cell r="F187">
            <v>10935.089383036508</v>
          </cell>
          <cell r="G187">
            <v>16104.210394128217</v>
          </cell>
          <cell r="H187">
            <v>76.640834191119751</v>
          </cell>
          <cell r="I187">
            <v>25.5</v>
          </cell>
          <cell r="J187">
            <v>16206.351228319336</v>
          </cell>
          <cell r="K187">
            <v>333672.97802307748</v>
          </cell>
        </row>
        <row r="188">
          <cell r="A188">
            <v>156</v>
          </cell>
          <cell r="B188">
            <v>48721</v>
          </cell>
          <cell r="C188">
            <v>333672.97802307748</v>
          </cell>
          <cell r="D188">
            <v>5005.0946703461623</v>
          </cell>
          <cell r="E188">
            <v>338678.07269342366</v>
          </cell>
          <cell r="F188">
            <v>11099.115723782055</v>
          </cell>
          <cell r="G188">
            <v>16104.210394128217</v>
          </cell>
          <cell r="H188">
            <v>74.208870312332436</v>
          </cell>
          <cell r="I188">
            <v>25.5</v>
          </cell>
          <cell r="J188">
            <v>16203.919264440548</v>
          </cell>
          <cell r="K188">
            <v>322573.86229929543</v>
          </cell>
        </row>
        <row r="189">
          <cell r="A189">
            <v>157</v>
          </cell>
          <cell r="B189">
            <v>48752</v>
          </cell>
          <cell r="C189">
            <v>322573.86229929543</v>
          </cell>
          <cell r="D189">
            <v>4838.6079344894315</v>
          </cell>
          <cell r="E189">
            <v>327412.47023378487</v>
          </cell>
          <cell r="F189">
            <v>11265.602459638785</v>
          </cell>
          <cell r="G189">
            <v>16104.210394128217</v>
          </cell>
          <cell r="H189">
            <v>71.740426975363306</v>
          </cell>
          <cell r="I189">
            <v>25.5</v>
          </cell>
          <cell r="J189">
            <v>16201.450821103579</v>
          </cell>
          <cell r="K189">
            <v>311308.25983965665</v>
          </cell>
        </row>
        <row r="190">
          <cell r="A190">
            <v>158</v>
          </cell>
          <cell r="B190">
            <v>48782</v>
          </cell>
          <cell r="C190">
            <v>311308.25983965665</v>
          </cell>
          <cell r="D190">
            <v>4669.62389759485</v>
          </cell>
          <cell r="E190">
            <v>315977.88373725151</v>
          </cell>
          <cell r="F190">
            <v>11434.586496533368</v>
          </cell>
          <cell r="G190">
            <v>16104.210394128217</v>
          </cell>
          <cell r="H190">
            <v>69.234956988339647</v>
          </cell>
          <cell r="I190">
            <v>25.5</v>
          </cell>
          <cell r="J190">
            <v>16198.945351116556</v>
          </cell>
          <cell r="K190">
            <v>299873.67334312329</v>
          </cell>
        </row>
        <row r="191">
          <cell r="A191">
            <v>159</v>
          </cell>
          <cell r="B191">
            <v>48813</v>
          </cell>
          <cell r="C191">
            <v>299873.67334312329</v>
          </cell>
          <cell r="D191">
            <v>4498.1051001468495</v>
          </cell>
          <cell r="E191">
            <v>304371.77844327013</v>
          </cell>
          <cell r="F191">
            <v>11606.105293981367</v>
          </cell>
          <cell r="G191">
            <v>16104.210394128217</v>
          </cell>
          <cell r="H191">
            <v>66.691904951510622</v>
          </cell>
          <cell r="I191">
            <v>25.5</v>
          </cell>
          <cell r="J191">
            <v>16196.402299079728</v>
          </cell>
          <cell r="K191">
            <v>288267.5680491419</v>
          </cell>
        </row>
        <row r="192">
          <cell r="A192">
            <v>160</v>
          </cell>
          <cell r="B192">
            <v>48844</v>
          </cell>
          <cell r="C192">
            <v>288267.5680491419</v>
          </cell>
          <cell r="D192">
            <v>4324.0135207371286</v>
          </cell>
          <cell r="E192">
            <v>292591.58156987902</v>
          </cell>
          <cell r="F192">
            <v>11780.196873391087</v>
          </cell>
          <cell r="G192">
            <v>16104.210394128217</v>
          </cell>
          <cell r="H192">
            <v>64.110707134129157</v>
          </cell>
          <cell r="I192">
            <v>25.5</v>
          </cell>
          <cell r="J192">
            <v>16193.821101262345</v>
          </cell>
          <cell r="K192">
            <v>276487.3711757508</v>
          </cell>
        </row>
        <row r="193">
          <cell r="A193">
            <v>161</v>
          </cell>
          <cell r="B193">
            <v>48874</v>
          </cell>
          <cell r="C193">
            <v>276487.3711757508</v>
          </cell>
          <cell r="D193">
            <v>4147.310567636262</v>
          </cell>
          <cell r="E193">
            <v>280634.68174338707</v>
          </cell>
          <cell r="F193">
            <v>11956.899826491954</v>
          </cell>
          <cell r="G193">
            <v>16104.210394128217</v>
          </cell>
          <cell r="H193">
            <v>61.490791349486983</v>
          </cell>
          <cell r="I193">
            <v>25.5</v>
          </cell>
          <cell r="J193">
            <v>16191.201185477703</v>
          </cell>
          <cell r="K193">
            <v>264530.47134925885</v>
          </cell>
        </row>
        <row r="194">
          <cell r="A194">
            <v>162</v>
          </cell>
          <cell r="B194">
            <v>48905</v>
          </cell>
          <cell r="C194">
            <v>264530.47134925885</v>
          </cell>
          <cell r="D194">
            <v>3967.9570702388828</v>
          </cell>
          <cell r="E194">
            <v>268498.42841949774</v>
          </cell>
          <cell r="F194">
            <v>12136.253323889334</v>
          </cell>
          <cell r="G194">
            <v>16104.210394128217</v>
          </cell>
          <cell r="H194">
            <v>58.831576828075171</v>
          </cell>
          <cell r="I194">
            <v>25.5</v>
          </cell>
          <cell r="J194">
            <v>16188.541970956292</v>
          </cell>
          <cell r="K194">
            <v>252394.21802536951</v>
          </cell>
        </row>
        <row r="195">
          <cell r="A195">
            <v>163</v>
          </cell>
          <cell r="B195">
            <v>48935</v>
          </cell>
          <cell r="C195">
            <v>252394.21802536951</v>
          </cell>
          <cell r="D195">
            <v>3785.9132703805426</v>
          </cell>
          <cell r="E195">
            <v>256180.13129575006</v>
          </cell>
          <cell r="F195">
            <v>12318.297123747674</v>
          </cell>
          <cell r="G195">
            <v>16104.210394128217</v>
          </cell>
          <cell r="H195">
            <v>56.13247408884218</v>
          </cell>
          <cell r="I195">
            <v>25.5</v>
          </cell>
          <cell r="J195">
            <v>16185.84286821706</v>
          </cell>
          <cell r="K195">
            <v>240075.92090162184</v>
          </cell>
        </row>
        <row r="196">
          <cell r="A196">
            <v>164</v>
          </cell>
          <cell r="B196">
            <v>48966</v>
          </cell>
          <cell r="C196">
            <v>240075.92090162184</v>
          </cell>
          <cell r="D196">
            <v>3601.1388135243274</v>
          </cell>
          <cell r="E196">
            <v>243677.05971514617</v>
          </cell>
          <cell r="F196">
            <v>12503.07158060389</v>
          </cell>
          <cell r="G196">
            <v>16104.210394128217</v>
          </cell>
          <cell r="H196">
            <v>53.392884808520698</v>
          </cell>
          <cell r="I196">
            <v>25.5</v>
          </cell>
          <cell r="J196">
            <v>16183.103278936738</v>
          </cell>
          <cell r="K196">
            <v>227572.84932101794</v>
          </cell>
        </row>
        <row r="197">
          <cell r="A197">
            <v>165</v>
          </cell>
          <cell r="B197">
            <v>48997</v>
          </cell>
          <cell r="C197">
            <v>227572.84932101794</v>
          </cell>
          <cell r="D197">
            <v>3413.5927398152689</v>
          </cell>
          <cell r="E197">
            <v>230986.44206083321</v>
          </cell>
          <cell r="F197">
            <v>12690.617654312948</v>
          </cell>
          <cell r="G197">
            <v>16104.210394128217</v>
          </cell>
          <cell r="H197">
            <v>50.612201688994396</v>
          </cell>
          <cell r="I197">
            <v>25.5</v>
          </cell>
          <cell r="J197">
            <v>16180.322595817212</v>
          </cell>
          <cell r="K197">
            <v>214882.23166670499</v>
          </cell>
        </row>
        <row r="198">
          <cell r="A198">
            <v>166</v>
          </cell>
          <cell r="B198">
            <v>49025</v>
          </cell>
          <cell r="C198">
            <v>214882.23166670499</v>
          </cell>
          <cell r="D198">
            <v>3223.2334750005748</v>
          </cell>
          <cell r="E198">
            <v>218105.46514170556</v>
          </cell>
          <cell r="F198">
            <v>12880.976919127643</v>
          </cell>
          <cell r="G198">
            <v>16104.210394128217</v>
          </cell>
          <cell r="H198">
            <v>47.789808322675192</v>
          </cell>
          <cell r="I198">
            <v>25.5</v>
          </cell>
          <cell r="J198">
            <v>16177.500202450892</v>
          </cell>
          <cell r="K198">
            <v>202001.25474757736</v>
          </cell>
        </row>
        <row r="199">
          <cell r="A199">
            <v>167</v>
          </cell>
          <cell r="B199">
            <v>49056</v>
          </cell>
          <cell r="C199">
            <v>202001.25474757736</v>
          </cell>
          <cell r="D199">
            <v>3030.0188212136604</v>
          </cell>
          <cell r="E199">
            <v>205031.27356879102</v>
          </cell>
          <cell r="F199">
            <v>13074.191572914557</v>
          </cell>
          <cell r="G199">
            <v>16104.210394128217</v>
          </cell>
          <cell r="H199">
            <v>44.925079055861211</v>
          </cell>
          <cell r="I199">
            <v>25.5</v>
          </cell>
          <cell r="J199">
            <v>16174.635473184078</v>
          </cell>
          <cell r="K199">
            <v>188927.06317466279</v>
          </cell>
        </row>
        <row r="200">
          <cell r="A200">
            <v>168</v>
          </cell>
          <cell r="B200">
            <v>49086</v>
          </cell>
          <cell r="C200">
            <v>188927.06317466279</v>
          </cell>
          <cell r="D200">
            <v>2833.9059476199418</v>
          </cell>
          <cell r="E200">
            <v>191760.96912228272</v>
          </cell>
          <cell r="F200">
            <v>13270.304446508275</v>
          </cell>
          <cell r="G200">
            <v>16104.210394128217</v>
          </cell>
          <cell r="H200">
            <v>42.017378850045006</v>
          </cell>
          <cell r="I200">
            <v>25.5</v>
          </cell>
          <cell r="J200">
            <v>16171.727772978262</v>
          </cell>
          <cell r="K200">
            <v>175656.75872815453</v>
          </cell>
        </row>
        <row r="201">
          <cell r="A201">
            <v>169</v>
          </cell>
          <cell r="B201">
            <v>49117</v>
          </cell>
          <cell r="C201">
            <v>175656.75872815453</v>
          </cell>
          <cell r="D201">
            <v>2634.8513809223177</v>
          </cell>
          <cell r="E201">
            <v>178291.61010907684</v>
          </cell>
          <cell r="F201">
            <v>13469.3590132059</v>
          </cell>
          <cell r="G201">
            <v>16104.210394128217</v>
          </cell>
          <cell r="H201">
            <v>39.066063141141569</v>
          </cell>
          <cell r="I201">
            <v>25.5</v>
          </cell>
          <cell r="J201">
            <v>16168.776457269358</v>
          </cell>
          <cell r="K201">
            <v>162187.39971494864</v>
          </cell>
        </row>
        <row r="202">
          <cell r="A202">
            <v>170</v>
          </cell>
          <cell r="B202">
            <v>49147</v>
          </cell>
          <cell r="C202">
            <v>162187.39971494864</v>
          </cell>
          <cell r="D202">
            <v>2432.8109957242295</v>
          </cell>
          <cell r="E202">
            <v>164620.21071067287</v>
          </cell>
          <cell r="F202">
            <v>13671.399398403988</v>
          </cell>
          <cell r="G202">
            <v>16104.210394128217</v>
          </cell>
          <cell r="H202">
            <v>36.070477696604577</v>
          </cell>
          <cell r="I202">
            <v>25.5</v>
          </cell>
          <cell r="J202">
            <v>16165.780871824822</v>
          </cell>
          <cell r="K202">
            <v>148516.00031654464</v>
          </cell>
        </row>
        <row r="203">
          <cell r="A203">
            <v>171</v>
          </cell>
          <cell r="B203">
            <v>49178</v>
          </cell>
          <cell r="C203">
            <v>148516.00031654464</v>
          </cell>
          <cell r="D203">
            <v>2227.7400047481697</v>
          </cell>
          <cell r="E203">
            <v>150743.7403212928</v>
          </cell>
          <cell r="F203">
            <v>13876.470389380047</v>
          </cell>
          <cell r="G203">
            <v>16104.210394128217</v>
          </cell>
          <cell r="H203">
            <v>33.029958470399528</v>
          </cell>
          <cell r="I203">
            <v>25.5</v>
          </cell>
          <cell r="J203">
            <v>16162.740352598616</v>
          </cell>
          <cell r="K203">
            <v>134639.52992716461</v>
          </cell>
        </row>
        <row r="204">
          <cell r="A204">
            <v>172</v>
          </cell>
          <cell r="B204">
            <v>49209</v>
          </cell>
          <cell r="C204">
            <v>134639.52992716461</v>
          </cell>
          <cell r="D204">
            <v>2019.592948907469</v>
          </cell>
          <cell r="E204">
            <v>136659.12287607207</v>
          </cell>
          <cell r="F204">
            <v>14084.617445220747</v>
          </cell>
          <cell r="G204">
            <v>16104.210394128217</v>
          </cell>
          <cell r="H204">
            <v>29.943831455801408</v>
          </cell>
          <cell r="I204">
            <v>25.5</v>
          </cell>
          <cell r="J204">
            <v>16159.654225584018</v>
          </cell>
          <cell r="K204">
            <v>120554.91248194386</v>
          </cell>
        </row>
        <row r="205">
          <cell r="A205">
            <v>173</v>
          </cell>
          <cell r="B205">
            <v>49239</v>
          </cell>
          <cell r="C205">
            <v>120554.91248194386</v>
          </cell>
          <cell r="D205">
            <v>1808.3236872291577</v>
          </cell>
          <cell r="E205">
            <v>122363.23616917302</v>
          </cell>
          <cell r="F205">
            <v>14295.886706899058</v>
          </cell>
          <cell r="G205">
            <v>16104.210394128217</v>
          </cell>
          <cell r="H205">
            <v>26.811412535984317</v>
          </cell>
          <cell r="I205">
            <v>25.5</v>
          </cell>
          <cell r="J205">
            <v>16156.521806664201</v>
          </cell>
          <cell r="K205">
            <v>106259.02577504481</v>
          </cell>
        </row>
        <row r="206">
          <cell r="A206">
            <v>174</v>
          </cell>
          <cell r="B206">
            <v>49270</v>
          </cell>
          <cell r="C206">
            <v>106259.02577504481</v>
          </cell>
          <cell r="D206">
            <v>1593.885386625672</v>
          </cell>
          <cell r="E206">
            <v>107852.91116167048</v>
          </cell>
          <cell r="F206">
            <v>14510.325007502544</v>
          </cell>
          <cell r="G206">
            <v>16104.210394128217</v>
          </cell>
          <cell r="H206">
            <v>23.632007332369966</v>
          </cell>
          <cell r="I206">
            <v>25.5</v>
          </cell>
          <cell r="J206">
            <v>16153.342401460586</v>
          </cell>
          <cell r="K206">
            <v>91748.700767542265</v>
          </cell>
        </row>
        <row r="207">
          <cell r="A207">
            <v>175</v>
          </cell>
          <cell r="B207">
            <v>49300</v>
          </cell>
          <cell r="C207">
            <v>91748.700767542265</v>
          </cell>
          <cell r="D207">
            <v>1376.2305115131339</v>
          </cell>
          <cell r="E207">
            <v>93124.931279055396</v>
          </cell>
          <cell r="F207">
            <v>14727.979882615084</v>
          </cell>
          <cell r="G207">
            <v>16104.210394128217</v>
          </cell>
          <cell r="H207">
            <v>20.404911050701401</v>
          </cell>
          <cell r="I207">
            <v>25.5</v>
          </cell>
          <cell r="J207">
            <v>16150.115305178919</v>
          </cell>
          <cell r="K207">
            <v>77020.720884927185</v>
          </cell>
        </row>
        <row r="208">
          <cell r="A208">
            <v>176</v>
          </cell>
          <cell r="B208">
            <v>49331</v>
          </cell>
          <cell r="C208">
            <v>77020.720884927185</v>
          </cell>
          <cell r="D208">
            <v>1155.3108132739078</v>
          </cell>
          <cell r="E208">
            <v>78176.031698201099</v>
          </cell>
          <cell r="F208">
            <v>14948.89958085431</v>
          </cell>
          <cell r="G208">
            <v>16104.210394128217</v>
          </cell>
          <cell r="H208">
            <v>17.129408324807805</v>
          </cell>
          <cell r="I208">
            <v>25.5</v>
          </cell>
          <cell r="J208">
            <v>16146.839802453025</v>
          </cell>
          <cell r="K208">
            <v>62071.821304072873</v>
          </cell>
        </row>
        <row r="209">
          <cell r="A209">
            <v>177</v>
          </cell>
          <cell r="B209">
            <v>49362</v>
          </cell>
          <cell r="C209">
            <v>62071.821304072873</v>
          </cell>
          <cell r="D209">
            <v>931.07731956109308</v>
          </cell>
          <cell r="E209">
            <v>63002.89862363397</v>
          </cell>
          <cell r="F209">
            <v>15173.133074567124</v>
          </cell>
          <cell r="G209">
            <v>16104.210394128217</v>
          </cell>
          <cell r="H209">
            <v>13.804773058025807</v>
          </cell>
          <cell r="I209">
            <v>25.5</v>
          </cell>
          <cell r="J209">
            <v>16143.515167186242</v>
          </cell>
          <cell r="K209">
            <v>46898.688229505751</v>
          </cell>
        </row>
        <row r="210">
          <cell r="A210">
            <v>178</v>
          </cell>
          <cell r="B210">
            <v>49390</v>
          </cell>
          <cell r="C210">
            <v>46898.688229505751</v>
          </cell>
          <cell r="D210">
            <v>703.48032344258627</v>
          </cell>
          <cell r="E210">
            <v>47602.168552948337</v>
          </cell>
          <cell r="F210">
            <v>15400.730070685629</v>
          </cell>
          <cell r="G210">
            <v>16104.210394128217</v>
          </cell>
          <cell r="H210">
            <v>10.43026826224208</v>
          </cell>
          <cell r="I210">
            <v>25.5</v>
          </cell>
          <cell r="J210">
            <v>16140.140662390459</v>
          </cell>
          <cell r="K210">
            <v>31497.958158820122</v>
          </cell>
        </row>
        <row r="211">
          <cell r="A211">
            <v>179</v>
          </cell>
          <cell r="B211">
            <v>49421</v>
          </cell>
          <cell r="C211">
            <v>31497.958158820122</v>
          </cell>
          <cell r="D211">
            <v>472.4693723823018</v>
          </cell>
          <cell r="E211">
            <v>31970.427531202422</v>
          </cell>
          <cell r="F211">
            <v>15631.741021745915</v>
          </cell>
          <cell r="G211">
            <v>16104.210394128217</v>
          </cell>
          <cell r="H211">
            <v>7.0051458945215952</v>
          </cell>
          <cell r="I211">
            <v>25.5</v>
          </cell>
          <cell r="J211">
            <v>16136.715540022738</v>
          </cell>
          <cell r="K211">
            <v>15866.217137074207</v>
          </cell>
        </row>
        <row r="212">
          <cell r="A212">
            <v>180</v>
          </cell>
          <cell r="B212">
            <v>49451</v>
          </cell>
          <cell r="C212">
            <v>15866.217137074207</v>
          </cell>
          <cell r="D212">
            <v>237.99325705611309</v>
          </cell>
          <cell r="E212">
            <v>16104.210394130319</v>
          </cell>
          <cell r="F212">
            <v>15866.217137072104</v>
          </cell>
          <cell r="G212">
            <v>16104.210394128217</v>
          </cell>
          <cell r="H212">
            <v>3.5286466912853038</v>
          </cell>
          <cell r="I212">
            <v>25.5</v>
          </cell>
          <cell r="J212">
            <v>16133.239040819502</v>
          </cell>
          <cell r="K212">
            <v>2.1027517504990101E-9</v>
          </cell>
        </row>
        <row r="213">
          <cell r="A213" t="str">
            <v>Totais pagos:</v>
          </cell>
          <cell r="B213"/>
          <cell r="C213"/>
          <cell r="D213">
            <v>1898757.8709430823</v>
          </cell>
          <cell r="E213" t="str">
            <v>-----</v>
          </cell>
          <cell r="F213">
            <v>1000000</v>
          </cell>
          <cell r="G213">
            <v>2898757.8709430802</v>
          </cell>
          <cell r="H213">
            <v>28152.250033182732</v>
          </cell>
          <cell r="I213">
            <v>4590</v>
          </cell>
          <cell r="J213">
            <v>2931500.1209762609</v>
          </cell>
          <cell r="K213" t="str">
            <v>-----</v>
          </cell>
        </row>
        <row r="218">
          <cell r="B218"/>
          <cell r="C218"/>
          <cell r="D218"/>
          <cell r="E218"/>
          <cell r="H218"/>
          <cell r="I218"/>
          <cell r="J218"/>
          <cell r="K218"/>
        </row>
        <row r="219">
          <cell r="B219" t="str">
            <v>BANCO DAYCOVAL S/A</v>
          </cell>
          <cell r="C219"/>
          <cell r="D219"/>
          <cell r="E219"/>
          <cell r="H219">
            <v>0</v>
          </cell>
          <cell r="I219"/>
          <cell r="J219"/>
          <cell r="K219"/>
        </row>
        <row r="224">
          <cell r="B224"/>
          <cell r="C224"/>
          <cell r="H224"/>
          <cell r="I224"/>
          <cell r="J224"/>
          <cell r="K224"/>
        </row>
        <row r="225">
          <cell r="B225"/>
          <cell r="C225"/>
          <cell r="H225"/>
          <cell r="I225"/>
          <cell r="J225"/>
          <cell r="K225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B9B5-25DA-4860-9D32-72F478F79574}">
  <dimension ref="A1:HM705"/>
  <sheetViews>
    <sheetView topLeftCell="G23" zoomScale="85" zoomScaleNormal="85" workbookViewId="0">
      <selection activeCell="H41" sqref="H41"/>
    </sheetView>
  </sheetViews>
  <sheetFormatPr defaultColWidth="4.7265625" defaultRowHeight="0" customHeight="1" zeroHeight="1" x14ac:dyDescent="0.35"/>
  <cols>
    <col min="1" max="1" width="5.7265625" style="10" bestFit="1" customWidth="1"/>
    <col min="2" max="2" width="14.7265625" style="128" customWidth="1"/>
    <col min="3" max="3" width="18.81640625" style="129" customWidth="1"/>
    <col min="4" max="4" width="16.1796875" style="10" customWidth="1"/>
    <col min="5" max="5" width="18.453125" style="10" customWidth="1"/>
    <col min="6" max="6" width="16.1796875" style="10" customWidth="1"/>
    <col min="7" max="7" width="21.453125" style="10" customWidth="1"/>
    <col min="8" max="8" width="18.54296875" style="10" customWidth="1"/>
    <col min="9" max="9" width="17.81640625" style="10" bestFit="1" customWidth="1"/>
    <col min="10" max="10" width="26.54296875" style="10" customWidth="1"/>
    <col min="11" max="11" width="20.81640625" style="10" customWidth="1"/>
    <col min="12" max="13" width="4.7265625" style="10" customWidth="1"/>
    <col min="14" max="14" width="20.453125" style="10" bestFit="1" customWidth="1"/>
    <col min="15" max="15" width="15.1796875" style="10" bestFit="1" customWidth="1"/>
    <col min="16" max="16" width="14.7265625" style="10" bestFit="1" customWidth="1"/>
    <col min="17" max="17" width="15.1796875" style="10" bestFit="1" customWidth="1"/>
    <col min="18" max="18" width="4.7265625" style="10" customWidth="1"/>
    <col min="19" max="19" width="37.54296875" style="10" bestFit="1" customWidth="1"/>
    <col min="20" max="20" width="11.81640625" style="10" customWidth="1"/>
    <col min="21" max="21" width="10.54296875" style="10" bestFit="1" customWidth="1"/>
    <col min="22" max="22" width="10" style="10" bestFit="1" customWidth="1"/>
    <col min="23" max="23" width="11.7265625" style="10" bestFit="1" customWidth="1"/>
    <col min="24" max="24" width="19.1796875" style="10" bestFit="1" customWidth="1"/>
    <col min="25" max="25" width="5.54296875" style="10" bestFit="1" customWidth="1"/>
    <col min="26" max="26" width="22.7265625" style="10" bestFit="1" customWidth="1"/>
    <col min="27" max="27" width="12.81640625" style="10" bestFit="1" customWidth="1"/>
    <col min="28" max="28" width="15.453125" style="10" bestFit="1" customWidth="1"/>
    <col min="29" max="29" width="23.54296875" style="10" bestFit="1" customWidth="1"/>
    <col min="30" max="30" width="4.7265625" style="10" customWidth="1"/>
    <col min="31" max="31" width="5.54296875" style="10" bestFit="1" customWidth="1"/>
    <col min="32" max="32" width="15.453125" style="10" bestFit="1" customWidth="1"/>
    <col min="33" max="33" width="23.54296875" style="10" bestFit="1" customWidth="1"/>
    <col min="34" max="34" width="15.26953125" style="10" bestFit="1" customWidth="1"/>
    <col min="35" max="35" width="12.81640625" style="10" bestFit="1" customWidth="1"/>
    <col min="36" max="36" width="13.7265625" style="10" bestFit="1" customWidth="1"/>
    <col min="37" max="37" width="15.26953125" style="10" bestFit="1" customWidth="1"/>
    <col min="38" max="39" width="4.7265625" style="10" customWidth="1"/>
    <col min="40" max="40" width="10.7265625" style="10" bestFit="1" customWidth="1"/>
    <col min="41" max="41" width="8.453125" style="10" bestFit="1" customWidth="1"/>
    <col min="42" max="42" width="5.26953125" style="10" bestFit="1" customWidth="1"/>
    <col min="43" max="43" width="11.81640625" style="10" bestFit="1" customWidth="1"/>
    <col min="44" max="44" width="13.81640625" style="10" bestFit="1" customWidth="1"/>
    <col min="45" max="45" width="10.1796875" style="10" bestFit="1" customWidth="1"/>
    <col min="46" max="46" width="5.54296875" style="10" bestFit="1" customWidth="1"/>
    <col min="47" max="47" width="10.1796875" style="10" bestFit="1" customWidth="1"/>
    <col min="48" max="48" width="9.1796875" style="10" bestFit="1" customWidth="1"/>
    <col min="49" max="49" width="13.453125" style="10" bestFit="1" customWidth="1"/>
    <col min="50" max="16383" width="4.7265625" style="10"/>
    <col min="16384" max="16384" width="4.26953125" style="10" customWidth="1"/>
  </cols>
  <sheetData>
    <row r="1" spans="1:14" ht="15.5" x14ac:dyDescent="0.35">
      <c r="A1" s="1"/>
      <c r="B1" s="2"/>
      <c r="C1" s="3"/>
      <c r="D1" s="4"/>
      <c r="E1" s="4"/>
      <c r="F1" s="5"/>
      <c r="G1" s="4"/>
      <c r="H1" s="6"/>
      <c r="I1" s="4"/>
      <c r="J1" s="7"/>
      <c r="K1" s="8"/>
      <c r="L1" s="9"/>
    </row>
    <row r="2" spans="1:14" ht="15.5" x14ac:dyDescent="0.35">
      <c r="A2" s="1"/>
      <c r="B2" s="2"/>
      <c r="C2" s="11" t="s">
        <v>0</v>
      </c>
      <c r="D2" s="11"/>
      <c r="E2" s="11"/>
      <c r="F2" s="5"/>
      <c r="G2" s="12"/>
      <c r="H2" s="253" t="s">
        <v>1</v>
      </c>
      <c r="I2" s="253"/>
      <c r="J2" s="253"/>
      <c r="K2" s="8"/>
      <c r="L2" s="9"/>
    </row>
    <row r="3" spans="1:14" ht="15.5" x14ac:dyDescent="0.35">
      <c r="A3" s="1"/>
      <c r="B3" s="2"/>
      <c r="C3" s="254" t="s">
        <v>104</v>
      </c>
      <c r="D3" s="254"/>
      <c r="E3" s="254"/>
      <c r="F3" s="254"/>
      <c r="G3" s="12"/>
      <c r="H3" s="255" t="s">
        <v>2</v>
      </c>
      <c r="I3" s="255"/>
      <c r="J3" s="255"/>
      <c r="K3" s="8"/>
      <c r="L3" s="9"/>
    </row>
    <row r="4" spans="1:14" ht="6" customHeight="1" x14ac:dyDescent="0.35">
      <c r="A4" s="1"/>
      <c r="B4" s="2"/>
      <c r="C4" s="3"/>
      <c r="D4" s="4"/>
      <c r="E4" s="141"/>
      <c r="F4" s="5"/>
      <c r="G4" s="4"/>
      <c r="H4" s="6"/>
      <c r="I4" s="4"/>
      <c r="J4" s="7"/>
      <c r="K4" s="8"/>
      <c r="L4" s="9"/>
    </row>
    <row r="5" spans="1:14" ht="15.5" x14ac:dyDescent="0.35">
      <c r="A5" s="1"/>
      <c r="B5" s="2"/>
      <c r="C5" s="14" t="s">
        <v>3</v>
      </c>
      <c r="D5" s="14"/>
      <c r="E5" s="15"/>
      <c r="F5" s="14" t="s">
        <v>4</v>
      </c>
      <c r="G5" s="15"/>
      <c r="H5" s="13" t="s">
        <v>5</v>
      </c>
      <c r="I5" s="14" t="s">
        <v>6</v>
      </c>
      <c r="J5" s="14" t="s">
        <v>7</v>
      </c>
      <c r="K5" s="8"/>
      <c r="L5" s="9"/>
    </row>
    <row r="6" spans="1:14" ht="15.5" x14ac:dyDescent="0.35">
      <c r="A6" s="1"/>
      <c r="B6" s="2"/>
      <c r="C6" s="256">
        <v>200000</v>
      </c>
      <c r="D6" s="256"/>
      <c r="E6" s="5"/>
      <c r="F6" s="256">
        <v>500000</v>
      </c>
      <c r="G6" s="256"/>
      <c r="H6" s="6">
        <f>IFERROR(C6/F6,"")</f>
        <v>0.4</v>
      </c>
      <c r="I6" s="138">
        <v>360</v>
      </c>
      <c r="J6" s="16" t="s">
        <v>370</v>
      </c>
      <c r="K6" s="8"/>
      <c r="L6" s="9"/>
    </row>
    <row r="7" spans="1:14" ht="6" customHeight="1" x14ac:dyDescent="0.35">
      <c r="A7" s="1"/>
      <c r="B7" s="2"/>
      <c r="C7" s="3"/>
      <c r="D7" s="4"/>
      <c r="E7" s="4"/>
      <c r="F7" s="5"/>
      <c r="G7" s="4"/>
      <c r="H7" s="6"/>
      <c r="I7" s="4"/>
      <c r="J7" s="7"/>
      <c r="K7" s="8"/>
      <c r="L7" s="9"/>
    </row>
    <row r="8" spans="1:14" ht="15.5" x14ac:dyDescent="0.35">
      <c r="A8" s="1"/>
      <c r="B8" s="2"/>
      <c r="C8" s="11" t="s">
        <v>8</v>
      </c>
      <c r="D8" s="13"/>
      <c r="E8" s="13"/>
      <c r="F8" s="13"/>
      <c r="G8" s="13"/>
      <c r="H8" s="16" t="s">
        <v>9</v>
      </c>
      <c r="I8" s="8"/>
      <c r="J8" s="161" t="s">
        <v>368</v>
      </c>
      <c r="K8" s="8"/>
      <c r="L8" s="9"/>
    </row>
    <row r="9" spans="1:14" ht="15.5" x14ac:dyDescent="0.35">
      <c r="A9" s="1"/>
      <c r="B9" s="2"/>
      <c r="C9" s="252" t="s">
        <v>11</v>
      </c>
      <c r="D9" s="252"/>
      <c r="E9" s="252"/>
      <c r="F9" s="252"/>
      <c r="G9" s="13"/>
      <c r="H9" s="139">
        <f>T39</f>
        <v>29586</v>
      </c>
      <c r="I9" s="8"/>
      <c r="J9" s="17">
        <f>ROUNDUP(J44/36%,-2)</f>
        <v>7800</v>
      </c>
      <c r="K9" s="8"/>
      <c r="L9" s="9"/>
      <c r="N9" s="18"/>
    </row>
    <row r="10" spans="1:14" ht="5.25" customHeight="1" x14ac:dyDescent="0.35">
      <c r="A10" s="1"/>
      <c r="B10" s="2"/>
      <c r="C10" s="15"/>
      <c r="D10" s="15"/>
      <c r="E10" s="15"/>
      <c r="F10" s="5"/>
      <c r="G10" s="12"/>
      <c r="H10" s="6"/>
      <c r="I10" s="4"/>
      <c r="J10" s="19"/>
      <c r="K10" s="8"/>
      <c r="L10" s="9"/>
    </row>
    <row r="11" spans="1:14" ht="15.5" x14ac:dyDescent="0.35">
      <c r="A11" s="1"/>
      <c r="B11" s="2"/>
      <c r="C11" s="15"/>
      <c r="D11" s="15"/>
      <c r="E11" s="15"/>
      <c r="F11" s="5"/>
      <c r="G11" s="12"/>
      <c r="H11" s="6"/>
      <c r="I11" s="4"/>
      <c r="J11" s="19"/>
      <c r="K11" s="8"/>
      <c r="L11" s="9"/>
    </row>
    <row r="12" spans="1:14" ht="15.5" x14ac:dyDescent="0.35">
      <c r="A12" s="1"/>
      <c r="B12" s="2"/>
      <c r="C12" s="14" t="s">
        <v>12</v>
      </c>
      <c r="D12" s="14"/>
      <c r="E12" s="15"/>
      <c r="F12" s="5"/>
      <c r="G12" s="12"/>
      <c r="H12" s="6"/>
      <c r="I12" s="4"/>
      <c r="J12" s="16" t="s">
        <v>13</v>
      </c>
      <c r="K12" s="8"/>
      <c r="L12" s="9"/>
    </row>
    <row r="13" spans="1:14" ht="15.5" x14ac:dyDescent="0.35">
      <c r="A13" s="1"/>
      <c r="B13" s="2"/>
      <c r="C13" s="20" t="s">
        <v>14</v>
      </c>
      <c r="D13" s="21"/>
      <c r="E13" s="21"/>
      <c r="F13" s="22"/>
      <c r="G13" s="23"/>
      <c r="H13" s="24"/>
      <c r="I13" s="25">
        <f>C6</f>
        <v>200000</v>
      </c>
      <c r="J13" s="26" t="s">
        <v>15</v>
      </c>
      <c r="K13" s="12"/>
      <c r="L13" s="9"/>
    </row>
    <row r="14" spans="1:14" ht="15.5" x14ac:dyDescent="0.35">
      <c r="A14" s="1"/>
      <c r="B14" s="2"/>
      <c r="C14" s="257" t="s">
        <v>16</v>
      </c>
      <c r="D14" s="258"/>
      <c r="E14" s="258"/>
      <c r="F14" s="258"/>
      <c r="G14" s="258"/>
      <c r="H14" s="258"/>
      <c r="I14" s="27">
        <f>F6</f>
        <v>500000</v>
      </c>
      <c r="J14" s="28"/>
      <c r="K14" s="12"/>
      <c r="L14" s="9"/>
    </row>
    <row r="15" spans="1:14" ht="15.5" x14ac:dyDescent="0.35">
      <c r="A15" s="1"/>
      <c r="B15" s="2"/>
      <c r="C15" s="257" t="s">
        <v>17</v>
      </c>
      <c r="D15" s="258"/>
      <c r="E15" s="258"/>
      <c r="F15" s="258"/>
      <c r="G15" s="258"/>
      <c r="H15" s="258"/>
      <c r="I15" s="27">
        <v>3000</v>
      </c>
      <c r="J15" s="29">
        <f>I15/I13</f>
        <v>1.4999999999999999E-2</v>
      </c>
      <c r="K15" s="12"/>
      <c r="L15" s="9"/>
    </row>
    <row r="16" spans="1:14" ht="15.5" x14ac:dyDescent="0.35">
      <c r="A16" s="1"/>
      <c r="B16" s="2"/>
      <c r="C16" s="257" t="s">
        <v>360</v>
      </c>
      <c r="D16" s="258"/>
      <c r="E16" s="258"/>
      <c r="F16" s="258"/>
      <c r="G16" s="258"/>
      <c r="H16" s="258"/>
      <c r="I16" s="164" t="str">
        <f ca="1">IF(TODAY()&lt;=1/10/2020,Q39,"0,00")</f>
        <v>0,00</v>
      </c>
      <c r="J16" s="29">
        <f ca="1">I16/I13</f>
        <v>0</v>
      </c>
      <c r="K16" s="31"/>
      <c r="L16" s="9"/>
    </row>
    <row r="17" spans="1:46" ht="15.5" x14ac:dyDescent="0.35">
      <c r="A17" s="1"/>
      <c r="B17" s="2"/>
      <c r="C17" s="257" t="s">
        <v>19</v>
      </c>
      <c r="D17" s="258"/>
      <c r="E17" s="258"/>
      <c r="F17" s="258"/>
      <c r="G17" s="258"/>
      <c r="H17" s="258"/>
      <c r="I17" s="27">
        <f ca="1">I13-I15-I16</f>
        <v>197000</v>
      </c>
      <c r="J17" s="29">
        <f ca="1">I17/I13</f>
        <v>0.98499999999999999</v>
      </c>
      <c r="K17" s="12"/>
      <c r="L17" s="9"/>
    </row>
    <row r="18" spans="1:46" ht="15.5" x14ac:dyDescent="0.35">
      <c r="A18" s="1"/>
      <c r="B18" s="2"/>
      <c r="C18" s="257" t="s">
        <v>20</v>
      </c>
      <c r="D18" s="258"/>
      <c r="E18" s="258"/>
      <c r="F18" s="258"/>
      <c r="G18" s="258"/>
      <c r="H18" s="258"/>
      <c r="I18" s="32">
        <f>I6</f>
        <v>360</v>
      </c>
      <c r="J18" s="33"/>
      <c r="K18" s="12"/>
      <c r="L18" s="9"/>
    </row>
    <row r="19" spans="1:46" ht="15.5" x14ac:dyDescent="0.35">
      <c r="A19" s="1"/>
      <c r="B19" s="2"/>
      <c r="C19" s="257" t="s">
        <v>21</v>
      </c>
      <c r="D19" s="258"/>
      <c r="E19" s="258"/>
      <c r="F19" s="258"/>
      <c r="G19" s="258"/>
      <c r="H19" s="258"/>
      <c r="I19" s="34">
        <f>EFFECT(I21,(I18/12))</f>
        <v>0.13941580820631128</v>
      </c>
      <c r="J19" s="35"/>
      <c r="K19" s="12"/>
      <c r="L19" s="9"/>
    </row>
    <row r="20" spans="1:46" ht="15.5" x14ac:dyDescent="0.35">
      <c r="A20" s="1"/>
      <c r="B20" s="2"/>
      <c r="C20" s="257" t="s">
        <v>22</v>
      </c>
      <c r="D20" s="258"/>
      <c r="E20" s="258"/>
      <c r="F20" s="258"/>
      <c r="G20" s="258"/>
      <c r="H20" s="258"/>
      <c r="I20" s="36">
        <f>IF(H6&lt;=49.99%,1.09%,1.29%)</f>
        <v>1.09E-2</v>
      </c>
      <c r="J20" s="37"/>
      <c r="K20" s="12"/>
      <c r="L20" s="9"/>
    </row>
    <row r="21" spans="1:46" ht="15.5" x14ac:dyDescent="0.35">
      <c r="A21" s="1"/>
      <c r="B21" s="2"/>
      <c r="C21" s="257" t="s">
        <v>23</v>
      </c>
      <c r="D21" s="258"/>
      <c r="E21" s="258"/>
      <c r="F21" s="258"/>
      <c r="G21" s="258"/>
      <c r="H21" s="258"/>
      <c r="I21" s="36">
        <f>I22*12</f>
        <v>0.1308</v>
      </c>
      <c r="J21" s="33"/>
      <c r="K21" s="12"/>
      <c r="L21" s="9"/>
    </row>
    <row r="22" spans="1:46" ht="15.5" x14ac:dyDescent="0.35">
      <c r="A22" s="1"/>
      <c r="B22" s="2"/>
      <c r="C22" s="257" t="s">
        <v>24</v>
      </c>
      <c r="D22" s="258"/>
      <c r="E22" s="258"/>
      <c r="F22" s="258"/>
      <c r="G22" s="258"/>
      <c r="H22" s="258"/>
      <c r="I22" s="34">
        <f>I20</f>
        <v>1.09E-2</v>
      </c>
      <c r="J22" s="38"/>
      <c r="K22" s="12"/>
      <c r="L22" s="9"/>
    </row>
    <row r="23" spans="1:46" ht="15.5" x14ac:dyDescent="0.35">
      <c r="A23" s="1"/>
      <c r="B23" s="2"/>
      <c r="C23" s="257" t="s">
        <v>25</v>
      </c>
      <c r="D23" s="258"/>
      <c r="E23" s="258"/>
      <c r="F23" s="258"/>
      <c r="G23" s="258"/>
      <c r="H23" s="258"/>
      <c r="I23" s="39" t="str">
        <f>J6</f>
        <v>PRICE - FIXA</v>
      </c>
      <c r="J23" s="33"/>
      <c r="K23" s="12"/>
      <c r="L23" s="9"/>
      <c r="AR23" s="10" t="s">
        <v>371</v>
      </c>
      <c r="AS23" s="10" t="s">
        <v>374</v>
      </c>
      <c r="AT23" s="10" t="s">
        <v>375</v>
      </c>
    </row>
    <row r="24" spans="1:46" ht="15.5" x14ac:dyDescent="0.35">
      <c r="A24" s="1"/>
      <c r="B24" s="2"/>
      <c r="C24" s="257" t="s">
        <v>26</v>
      </c>
      <c r="D24" s="258"/>
      <c r="E24" s="258"/>
      <c r="F24" s="258"/>
      <c r="G24" s="258"/>
      <c r="H24" s="258"/>
      <c r="I24" s="40">
        <f ca="1">TODAY()</f>
        <v>46058</v>
      </c>
      <c r="J24" s="33"/>
      <c r="K24" s="12"/>
      <c r="L24" s="9"/>
      <c r="AR24" s="10" t="s">
        <v>372</v>
      </c>
    </row>
    <row r="25" spans="1:46" ht="15.5" x14ac:dyDescent="0.35">
      <c r="A25" s="1"/>
      <c r="B25" s="2"/>
      <c r="C25" s="41" t="s">
        <v>27</v>
      </c>
      <c r="D25" s="42"/>
      <c r="E25" s="42"/>
      <c r="F25" s="43"/>
      <c r="G25" s="44"/>
      <c r="H25" s="45"/>
      <c r="I25" s="40">
        <f ca="1">VLOOKUP(I18,A36:B426,2,0)</f>
        <v>57015</v>
      </c>
      <c r="J25" s="33"/>
      <c r="K25" s="12"/>
      <c r="L25" s="9"/>
      <c r="AR25" s="10" t="s">
        <v>373</v>
      </c>
    </row>
    <row r="26" spans="1:46" ht="15.5" x14ac:dyDescent="0.35">
      <c r="A26" s="1"/>
      <c r="B26" s="2"/>
      <c r="C26" s="257" t="s">
        <v>28</v>
      </c>
      <c r="D26" s="258"/>
      <c r="E26" s="258"/>
      <c r="F26" s="258"/>
      <c r="G26" s="258"/>
      <c r="H26" s="258"/>
      <c r="I26" s="27">
        <f>$G$44</f>
        <v>2735.5555555555557</v>
      </c>
      <c r="J26" s="33"/>
      <c r="K26" s="12"/>
      <c r="L26" s="9"/>
      <c r="Z26" s="10" t="s">
        <v>29</v>
      </c>
    </row>
    <row r="27" spans="1:46" ht="15.5" x14ac:dyDescent="0.35">
      <c r="A27" s="1"/>
      <c r="B27" s="2"/>
      <c r="C27" s="257" t="s">
        <v>30</v>
      </c>
      <c r="D27" s="258"/>
      <c r="E27" s="258"/>
      <c r="F27" s="258"/>
      <c r="G27" s="258"/>
      <c r="H27" s="258"/>
      <c r="I27" s="27">
        <f>$H$44</f>
        <v>46</v>
      </c>
      <c r="J27" s="142">
        <v>2.3000000000000001E-4</v>
      </c>
      <c r="K27" s="12"/>
      <c r="L27" s="9"/>
      <c r="Z27" s="10" t="b">
        <v>1</v>
      </c>
    </row>
    <row r="28" spans="1:46" ht="15.5" x14ac:dyDescent="0.35">
      <c r="A28" s="1"/>
      <c r="B28" s="2"/>
      <c r="C28" s="257" t="s">
        <v>31</v>
      </c>
      <c r="D28" s="258"/>
      <c r="E28" s="258"/>
      <c r="F28" s="258"/>
      <c r="G28" s="258"/>
      <c r="H28" s="258"/>
      <c r="I28" s="27">
        <f>$I$44</f>
        <v>20</v>
      </c>
      <c r="J28" s="142">
        <v>4.0000000000000003E-5</v>
      </c>
      <c r="K28" s="12"/>
      <c r="L28" s="9"/>
      <c r="Z28" s="10" t="b">
        <v>1</v>
      </c>
    </row>
    <row r="29" spans="1:46" ht="15.5" x14ac:dyDescent="0.35">
      <c r="A29" s="1"/>
      <c r="B29" s="2"/>
      <c r="C29" s="257" t="s">
        <v>32</v>
      </c>
      <c r="D29" s="258"/>
      <c r="E29" s="258"/>
      <c r="F29" s="258"/>
      <c r="G29" s="258"/>
      <c r="H29" s="258"/>
      <c r="I29" s="27">
        <f>I26+I27+I28</f>
        <v>2801.5555555555557</v>
      </c>
      <c r="J29" s="33"/>
      <c r="K29" s="12"/>
      <c r="L29" s="9"/>
      <c r="Z29" s="10" t="b">
        <v>1</v>
      </c>
    </row>
    <row r="30" spans="1:46" ht="15.5" x14ac:dyDescent="0.35">
      <c r="A30" s="1"/>
      <c r="B30" s="2"/>
      <c r="C30" s="259" t="s">
        <v>33</v>
      </c>
      <c r="D30" s="260"/>
      <c r="E30" s="260"/>
      <c r="F30" s="260"/>
      <c r="G30" s="260"/>
      <c r="H30" s="260"/>
      <c r="I30" s="162">
        <f>EFFECT(RATE(I18,((I26+I27+I28)*-1),I13,,)*12,(240/12))</f>
        <v>0.18085340311850473</v>
      </c>
      <c r="J30" s="163"/>
      <c r="K30" s="12"/>
      <c r="L30" s="9"/>
    </row>
    <row r="31" spans="1:46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9"/>
    </row>
    <row r="32" spans="1:46" ht="15.75" customHeight="1" x14ac:dyDescent="0.35">
      <c r="A32" s="48"/>
      <c r="B32" s="49"/>
      <c r="C32" s="52"/>
      <c r="H32" s="54"/>
      <c r="I32" s="55"/>
      <c r="J32" s="56"/>
      <c r="L32" s="9"/>
      <c r="Z32" s="10">
        <v>3</v>
      </c>
      <c r="AA32" s="10" t="s">
        <v>34</v>
      </c>
    </row>
    <row r="33" spans="1:221" ht="15.75" customHeight="1" x14ac:dyDescent="0.35">
      <c r="A33" s="48"/>
      <c r="B33" s="49"/>
      <c r="C33" s="52"/>
      <c r="H33" s="54"/>
      <c r="I33" s="57"/>
      <c r="J33" s="56"/>
      <c r="L33" s="9"/>
      <c r="Z33" s="10">
        <v>2</v>
      </c>
      <c r="AA33" s="10" t="s">
        <v>35</v>
      </c>
    </row>
    <row r="34" spans="1:221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9"/>
    </row>
    <row r="35" spans="1:221" ht="16" thickBot="1" x14ac:dyDescent="0.4">
      <c r="A35" s="48"/>
      <c r="B35" s="49"/>
      <c r="C35" s="52"/>
      <c r="H35" s="54"/>
      <c r="I35" s="57"/>
      <c r="J35" s="56"/>
      <c r="L35" s="9"/>
      <c r="Z35" s="10">
        <v>1</v>
      </c>
      <c r="AA35" s="10" t="s">
        <v>36</v>
      </c>
    </row>
    <row r="36" spans="1:221" s="66" customFormat="1" ht="48" customHeight="1" thickBot="1" x14ac:dyDescent="0.4">
      <c r="A36" s="48"/>
      <c r="B36" s="49"/>
      <c r="C36" s="52"/>
      <c r="D36" s="10"/>
      <c r="E36" s="10"/>
      <c r="F36" s="10"/>
      <c r="G36" s="10"/>
      <c r="H36" s="54"/>
      <c r="I36" s="57"/>
      <c r="J36" s="56"/>
      <c r="K36" s="10"/>
      <c r="N36" s="261" t="s">
        <v>47</v>
      </c>
      <c r="O36" s="262"/>
      <c r="P36" s="262"/>
      <c r="Q36" s="263"/>
      <c r="T36" s="261" t="s">
        <v>48</v>
      </c>
      <c r="U36" s="262"/>
      <c r="V36" s="262"/>
      <c r="W36" s="263"/>
      <c r="AA36" s="10">
        <v>3</v>
      </c>
      <c r="AB36" s="66" t="str">
        <f>IF(AA36=1,"Evolução Saldo SAC x Price",IF(AA36=2,"Evolução Amortização SAC x Price","Evolução Parcelas SAC x Price"))</f>
        <v>Evolução Parcelas SAC x Price</v>
      </c>
      <c r="AC36" s="66" t="str">
        <f>VLOOKUP(AA36,Z32:AA35,2,0)</f>
        <v>Parcelas</v>
      </c>
      <c r="AM36" s="10"/>
      <c r="AN36" s="10"/>
      <c r="AO36" s="265" t="s">
        <v>359</v>
      </c>
      <c r="AP36" s="265"/>
      <c r="AQ36" s="265"/>
      <c r="AR36" s="265"/>
      <c r="AS36" s="265"/>
      <c r="AT36" s="265"/>
      <c r="AU36" s="265"/>
      <c r="AV36" s="265"/>
      <c r="AW36" s="265"/>
      <c r="AX36" s="265"/>
    </row>
    <row r="37" spans="1:221" s="66" customFormat="1" ht="16.5" customHeight="1" thickBot="1" x14ac:dyDescent="0.4">
      <c r="A37" s="48"/>
      <c r="B37" s="49"/>
      <c r="C37" s="52"/>
      <c r="D37" s="10"/>
      <c r="E37" s="10"/>
      <c r="F37" s="10"/>
      <c r="G37" s="10"/>
      <c r="H37" s="54"/>
      <c r="I37" s="57"/>
      <c r="J37" s="56"/>
      <c r="K37" s="10"/>
      <c r="AM37" s="10"/>
      <c r="AN37" s="10"/>
      <c r="AO37" s="144" t="s">
        <v>112</v>
      </c>
      <c r="AP37" s="144" t="s">
        <v>113</v>
      </c>
      <c r="AQ37" s="144" t="s">
        <v>38</v>
      </c>
      <c r="AR37" s="145" t="s">
        <v>114</v>
      </c>
      <c r="AS37" s="145" t="s">
        <v>115</v>
      </c>
      <c r="AT37" s="145" t="s">
        <v>86</v>
      </c>
      <c r="AU37" s="145" t="s">
        <v>40</v>
      </c>
      <c r="AV37" s="145" t="s">
        <v>116</v>
      </c>
      <c r="AW37" s="145" t="s">
        <v>117</v>
      </c>
      <c r="AX37" s="146"/>
    </row>
    <row r="38" spans="1:221" ht="18.75" customHeight="1" thickBot="1" x14ac:dyDescent="0.4">
      <c r="A38" s="48"/>
      <c r="B38" s="49"/>
      <c r="C38" s="52"/>
      <c r="H38" s="54"/>
      <c r="I38" s="57"/>
      <c r="J38" s="56"/>
      <c r="O38" s="79" t="s">
        <v>49</v>
      </c>
      <c r="P38" s="80"/>
      <c r="Q38" s="81"/>
      <c r="S38" s="82" t="s">
        <v>50</v>
      </c>
      <c r="T38" s="82" t="s">
        <v>51</v>
      </c>
      <c r="U38" s="82" t="s">
        <v>52</v>
      </c>
      <c r="V38" s="83" t="s">
        <v>53</v>
      </c>
      <c r="W38" s="82" t="s">
        <v>44</v>
      </c>
      <c r="X38" s="82" t="s">
        <v>54</v>
      </c>
      <c r="AA38" s="84" t="s">
        <v>37</v>
      </c>
      <c r="AB38" s="84" t="str">
        <f>IF($AA$36=1,VLOOKUP(AA38,$AE$38:$AK$218,6,0),IF($AA$36=2,VLOOKUP(AA38,$AE$38:$AK$218,4,0),VLOOKUP(AA38,$AE$38:$AK$218,2,0)))</f>
        <v>Parcela PRICE</v>
      </c>
      <c r="AC38" s="84" t="str">
        <f>IF($AA$36=1,VLOOKUP(AA38,$AE$38:$AK$218,7,0),IF($AA$36=2,VLOOKUP(AA38,$AE$38:$AK$218,5,0),VLOOKUP(AA38,$AE$38:$AK$218,3,0)))</f>
        <v>Parcela SAC</v>
      </c>
      <c r="AE38" s="84" t="s">
        <v>37</v>
      </c>
      <c r="AF38" s="84" t="s">
        <v>55</v>
      </c>
      <c r="AG38" s="84" t="s">
        <v>56</v>
      </c>
      <c r="AH38" s="84" t="s">
        <v>57</v>
      </c>
      <c r="AI38" s="84" t="s">
        <v>58</v>
      </c>
      <c r="AJ38" s="84" t="s">
        <v>59</v>
      </c>
      <c r="AK38" s="84" t="s">
        <v>60</v>
      </c>
      <c r="AN38" s="157">
        <f t="shared" ref="AN38:AN101" si="0">AR39-K44</f>
        <v>50399.575555555552</v>
      </c>
      <c r="AO38" s="147" t="s">
        <v>118</v>
      </c>
      <c r="AP38" s="147" t="s">
        <v>119</v>
      </c>
      <c r="AQ38" s="148">
        <v>44078</v>
      </c>
      <c r="AR38" s="149">
        <v>250000</v>
      </c>
      <c r="AS38" s="150">
        <v>155.97999999999999</v>
      </c>
      <c r="AT38" s="150">
        <v>0</v>
      </c>
      <c r="AU38" s="149">
        <v>3225</v>
      </c>
      <c r="AV38" s="150">
        <v>77.5</v>
      </c>
      <c r="AW38" s="149">
        <v>3458.48</v>
      </c>
      <c r="AX38" s="151"/>
      <c r="AY38" s="132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2"/>
      <c r="BZ38" s="132"/>
      <c r="CA38" s="132"/>
      <c r="CB38" s="132"/>
      <c r="CC38" s="132"/>
      <c r="CD38" s="132"/>
      <c r="CE38" s="132"/>
      <c r="CF38" s="132"/>
      <c r="CG38" s="132"/>
      <c r="CH38" s="132"/>
      <c r="CI38" s="132"/>
      <c r="CJ38" s="132"/>
      <c r="CK38" s="132"/>
      <c r="CL38" s="132"/>
      <c r="CM38" s="132"/>
      <c r="CN38" s="132"/>
      <c r="CO38" s="132"/>
      <c r="CP38" s="132"/>
      <c r="CQ38" s="132"/>
      <c r="CR38" s="132"/>
      <c r="CS38" s="132"/>
      <c r="CT38" s="132"/>
      <c r="CU38" s="132"/>
      <c r="CV38" s="132"/>
      <c r="CW38" s="132"/>
      <c r="CX38" s="132"/>
      <c r="CY38" s="132"/>
      <c r="CZ38" s="132"/>
      <c r="DA38" s="132"/>
      <c r="DB38" s="132"/>
      <c r="DC38" s="132"/>
      <c r="DD38" s="132"/>
      <c r="DE38" s="132"/>
      <c r="DF38" s="132"/>
      <c r="DG38" s="132"/>
      <c r="DH38" s="132"/>
      <c r="DI38" s="132"/>
      <c r="DJ38" s="132"/>
      <c r="DK38" s="132"/>
      <c r="DL38" s="132"/>
      <c r="DM38" s="132"/>
      <c r="DN38" s="132"/>
      <c r="DO38" s="132"/>
      <c r="DP38" s="132"/>
      <c r="DQ38" s="132"/>
      <c r="DR38" s="132"/>
      <c r="DS38" s="132"/>
      <c r="DT38" s="132"/>
      <c r="DU38" s="132"/>
      <c r="DV38" s="132"/>
      <c r="DW38" s="132"/>
      <c r="DX38" s="132"/>
      <c r="DY38" s="132"/>
      <c r="DZ38" s="132"/>
      <c r="EA38" s="132"/>
      <c r="EB38" s="132"/>
      <c r="EC38" s="132"/>
      <c r="ED38" s="132"/>
      <c r="EE38" s="132"/>
      <c r="EF38" s="132"/>
      <c r="EG38" s="132"/>
      <c r="EH38" s="132"/>
      <c r="EI38" s="132"/>
      <c r="EJ38" s="132"/>
      <c r="EK38" s="132"/>
      <c r="EL38" s="132"/>
      <c r="EM38" s="132"/>
      <c r="EN38" s="132"/>
      <c r="EO38" s="132"/>
      <c r="EP38" s="132"/>
      <c r="EQ38" s="132"/>
      <c r="ER38" s="132"/>
      <c r="ES38" s="132"/>
      <c r="ET38" s="132"/>
      <c r="EU38" s="132"/>
      <c r="EV38" s="132"/>
      <c r="EW38" s="132"/>
      <c r="EX38" s="132"/>
      <c r="EY38" s="132"/>
      <c r="EZ38" s="132"/>
      <c r="FA38" s="132"/>
      <c r="FB38" s="132"/>
      <c r="FC38" s="132"/>
      <c r="FD38" s="132"/>
      <c r="FE38" s="132"/>
      <c r="FF38" s="132"/>
      <c r="FG38" s="132"/>
      <c r="FH38" s="132"/>
      <c r="FI38" s="132"/>
      <c r="FJ38" s="132"/>
      <c r="FK38" s="132"/>
      <c r="FL38" s="132"/>
      <c r="FM38" s="132"/>
      <c r="FN38" s="132"/>
      <c r="FO38" s="132"/>
      <c r="FP38" s="132"/>
      <c r="FQ38" s="132"/>
      <c r="FR38" s="132"/>
      <c r="FS38" s="132"/>
      <c r="FT38" s="132"/>
      <c r="FU38" s="132"/>
      <c r="FV38" s="132"/>
      <c r="FW38" s="132"/>
      <c r="FX38" s="132"/>
      <c r="FY38" s="132"/>
      <c r="FZ38" s="132"/>
      <c r="GA38" s="132"/>
      <c r="GB38" s="132"/>
      <c r="GC38" s="132"/>
      <c r="GD38" s="132"/>
      <c r="GE38" s="132"/>
      <c r="GF38" s="132"/>
      <c r="GG38" s="132"/>
      <c r="GH38" s="132"/>
      <c r="GI38" s="132"/>
      <c r="GJ38" s="132"/>
      <c r="GK38" s="132"/>
      <c r="GL38" s="132"/>
      <c r="GM38" s="132"/>
      <c r="GN38" s="132"/>
      <c r="GO38" s="132"/>
      <c r="GP38" s="132"/>
      <c r="GQ38" s="132"/>
      <c r="GR38" s="132"/>
      <c r="GS38" s="132"/>
      <c r="GT38" s="132"/>
      <c r="GU38" s="132"/>
      <c r="GV38" s="132"/>
      <c r="GW38" s="132"/>
      <c r="GX38" s="132"/>
      <c r="GY38" s="132"/>
      <c r="GZ38" s="132"/>
      <c r="HA38" s="132"/>
      <c r="HB38" s="132"/>
      <c r="HC38" s="132"/>
      <c r="HD38" s="132"/>
      <c r="HE38" s="132"/>
      <c r="HF38" s="132"/>
      <c r="HG38" s="132"/>
      <c r="HH38" s="132"/>
      <c r="HI38" s="132"/>
      <c r="HJ38" s="132"/>
      <c r="HK38" s="132"/>
      <c r="HL38" s="132"/>
      <c r="HM38" s="132"/>
    </row>
    <row r="39" spans="1:221" ht="15.5" x14ac:dyDescent="0.35">
      <c r="A39" s="48"/>
      <c r="B39" s="49"/>
      <c r="C39" s="52"/>
      <c r="H39" s="54"/>
      <c r="I39" s="57"/>
      <c r="J39" s="56"/>
      <c r="N39" s="88" t="s">
        <v>61</v>
      </c>
      <c r="O39" s="89">
        <v>0.03</v>
      </c>
      <c r="P39" s="90">
        <f>SUM(O56:O251)</f>
        <v>3266.6666666666592</v>
      </c>
      <c r="Q39" s="91">
        <f ca="1">SUM(P39:P41)</f>
        <v>4173.0566666666591</v>
      </c>
      <c r="S39" s="92" t="s">
        <v>62</v>
      </c>
      <c r="T39" s="93">
        <f>[1]Capa!P6</f>
        <v>29586</v>
      </c>
      <c r="U39" s="94">
        <f ca="1">IF($T$39="","",INT((TODAY())-$T$39)/365.25)</f>
        <v>45.097878165639976</v>
      </c>
      <c r="V39" s="92">
        <f ca="1">IF(AND(U39&gt;=S48,U39&lt;S49),U48,IF(AND(U39&gt;=S49,U39&lt;S50),U49,IF(AND(U39&gt;=S50,U39&lt;S51),U50,IF(AND(U39&gt;=S51,U39&lt;S52),U51,IF(AND(U39&gt;=S52,U39&lt;S53),U52,IF(AND(U39&gt;=S53,U39&lt;S54),U53,IF(AND(U39&gt;=S54,U39&lt;S55),U54,IF(AND(U39&gt;=S55,U39&lt;S56),U55,IF(AND(U39&gt;=S56,U39&lt;T56),U56,"")))))))))</f>
        <v>2.3000000000000001E-4</v>
      </c>
      <c r="W39" s="95">
        <v>4.0000000000000003E-5</v>
      </c>
      <c r="X39" s="95"/>
      <c r="AA39" s="96">
        <f t="shared" ref="AA39:AA102" si="1">A44</f>
        <v>1</v>
      </c>
      <c r="AB39" s="97">
        <f t="shared" ref="AB39:AB102" si="2">IF($AA$36=1,VLOOKUP(AA39,$AE$38:$AK$218,6,0),IF($AA$36=2,VLOOKUP(AA39,$AE$38:$AK$218,4,0),VLOOKUP(AA39,$AE$38:$AK$218,2,0)))</f>
        <v>16352.110394128216</v>
      </c>
      <c r="AC39" s="97">
        <f>IF($AA$36=1,VLOOKUP(AA39,$AE$38:$AK$278,7,0),IF($AA$36=2,VLOOKUP(AA39,$AE$38:$AK$278,5,0),VLOOKUP(AA39,$AE$38:$AK$278,3,0)))</f>
        <v>2801.5555555555557</v>
      </c>
      <c r="AE39" s="96">
        <f>AA39</f>
        <v>1</v>
      </c>
      <c r="AF39" s="97">
        <f>IFERROR(VLOOKUP(AE39,[1]Cálculos_PRICE!$A$32:$K$212,10,0),"")</f>
        <v>16352.110394128216</v>
      </c>
      <c r="AG39" s="97">
        <f>IFERROR(VLOOKUP(AE39,'Cálculos_CGI - SAC FIXA'!A37:K429,10,0),"")</f>
        <v>2801.5555555555557</v>
      </c>
      <c r="AH39" s="97">
        <f>IFERROR(VLOOKUP(AE39,[1]Cálculos_PRICE!$A$32:$K$212,6,0),"")</f>
        <v>1104.2103941282166</v>
      </c>
      <c r="AI39" s="97">
        <f>IFERROR(VLOOKUP(AE39,'Cálculos_CGI - SAC FIXA'!A37:K429,6,0),"")</f>
        <v>555.55555555555554</v>
      </c>
      <c r="AJ39" s="97">
        <f>IFERROR(VLOOKUP(AE39,[1]Cálculos_PRICE!$A$32:$K$240,11,0),"")</f>
        <v>998895.78960587177</v>
      </c>
      <c r="AK39" s="97">
        <f>IFERROR(VLOOKUP(AE39,'Cálculos_CGI - SAC FIXA'!A37:K429,11,0),"")</f>
        <v>199444.44444444444</v>
      </c>
      <c r="AN39" s="157">
        <f t="shared" si="0"/>
        <v>50797.141111111123</v>
      </c>
      <c r="AO39" s="152" t="s">
        <v>120</v>
      </c>
      <c r="AP39" s="152" t="s">
        <v>119</v>
      </c>
      <c r="AQ39" s="153">
        <v>44108</v>
      </c>
      <c r="AR39" s="154">
        <v>249844.02</v>
      </c>
      <c r="AS39" s="155">
        <v>157.99</v>
      </c>
      <c r="AT39" s="155">
        <v>0</v>
      </c>
      <c r="AU39" s="154">
        <v>3222.99</v>
      </c>
      <c r="AV39" s="155">
        <v>77.459999999999994</v>
      </c>
      <c r="AW39" s="154">
        <v>3458.44</v>
      </c>
      <c r="AX39" s="156"/>
      <c r="AY39" s="132"/>
      <c r="AZ39" s="132"/>
      <c r="BA39" s="132"/>
      <c r="BB39" s="132"/>
      <c r="BC39" s="132"/>
      <c r="BD39" s="132"/>
      <c r="BE39" s="132"/>
      <c r="BF39" s="132"/>
      <c r="BG39" s="132"/>
      <c r="BH39" s="132"/>
      <c r="BI39" s="132"/>
      <c r="BJ39" s="132"/>
      <c r="BK39" s="132"/>
      <c r="BL39" s="132"/>
      <c r="BM39" s="132"/>
      <c r="BN39" s="132"/>
      <c r="BO39" s="132"/>
      <c r="BP39" s="132"/>
      <c r="BQ39" s="132"/>
      <c r="BR39" s="132"/>
      <c r="BS39" s="132"/>
      <c r="BT39" s="132"/>
      <c r="BU39" s="132"/>
      <c r="BV39" s="132"/>
      <c r="BW39" s="132"/>
      <c r="BX39" s="132"/>
      <c r="BY39" s="132"/>
      <c r="BZ39" s="132"/>
      <c r="CA39" s="132"/>
      <c r="CB39" s="132"/>
      <c r="CC39" s="132"/>
      <c r="CD39" s="132"/>
      <c r="CE39" s="132"/>
      <c r="CF39" s="132"/>
      <c r="CG39" s="132"/>
      <c r="CH39" s="132"/>
      <c r="CI39" s="132"/>
      <c r="CJ39" s="132"/>
      <c r="CK39" s="132"/>
      <c r="CL39" s="132"/>
      <c r="CM39" s="132"/>
      <c r="CN39" s="132"/>
      <c r="CO39" s="132"/>
      <c r="CP39" s="132"/>
      <c r="CQ39" s="132"/>
      <c r="CR39" s="132"/>
      <c r="CS39" s="132"/>
      <c r="CT39" s="132"/>
      <c r="CU39" s="132"/>
      <c r="CV39" s="132"/>
      <c r="CW39" s="132"/>
      <c r="CX39" s="132"/>
      <c r="CY39" s="132"/>
      <c r="CZ39" s="132"/>
      <c r="DA39" s="132"/>
      <c r="DB39" s="132"/>
      <c r="DC39" s="132"/>
      <c r="DD39" s="132"/>
      <c r="DE39" s="132"/>
      <c r="DF39" s="132"/>
      <c r="DG39" s="132"/>
      <c r="DH39" s="132"/>
      <c r="DI39" s="132"/>
      <c r="DJ39" s="132"/>
      <c r="DK39" s="132"/>
      <c r="DL39" s="132"/>
      <c r="DM39" s="132"/>
      <c r="DN39" s="132"/>
      <c r="DO39" s="132"/>
      <c r="DP39" s="132"/>
      <c r="DQ39" s="132"/>
      <c r="DR39" s="132"/>
      <c r="DS39" s="132"/>
      <c r="DT39" s="132"/>
      <c r="DU39" s="132"/>
      <c r="DV39" s="132"/>
      <c r="DW39" s="132"/>
      <c r="DX39" s="132"/>
      <c r="DY39" s="132"/>
      <c r="DZ39" s="132"/>
      <c r="EA39" s="132"/>
      <c r="EB39" s="132"/>
      <c r="EC39" s="132"/>
      <c r="ED39" s="132"/>
      <c r="EE39" s="132"/>
      <c r="EF39" s="132"/>
      <c r="EG39" s="132"/>
      <c r="EH39" s="132"/>
      <c r="EI39" s="132"/>
      <c r="EJ39" s="132"/>
      <c r="EK39" s="132"/>
      <c r="EL39" s="132"/>
      <c r="EM39" s="132"/>
      <c r="EN39" s="132"/>
      <c r="EO39" s="132"/>
      <c r="EP39" s="132"/>
      <c r="EQ39" s="132"/>
      <c r="ER39" s="132"/>
      <c r="ES39" s="132"/>
      <c r="ET39" s="132"/>
      <c r="EU39" s="132"/>
      <c r="EV39" s="132"/>
      <c r="EW39" s="132"/>
      <c r="EX39" s="132"/>
      <c r="EY39" s="132"/>
      <c r="EZ39" s="132"/>
      <c r="FA39" s="132"/>
      <c r="FB39" s="132"/>
      <c r="FC39" s="132"/>
      <c r="FD39" s="132"/>
      <c r="FE39" s="132"/>
      <c r="FF39" s="132"/>
      <c r="FG39" s="132"/>
      <c r="FH39" s="132"/>
      <c r="FI39" s="132"/>
      <c r="FJ39" s="132"/>
      <c r="FK39" s="132"/>
      <c r="FL39" s="132"/>
      <c r="FM39" s="132"/>
      <c r="FN39" s="132"/>
      <c r="FO39" s="132"/>
      <c r="FP39" s="132"/>
      <c r="FQ39" s="132"/>
      <c r="FR39" s="132"/>
      <c r="FS39" s="132"/>
      <c r="FT39" s="132"/>
      <c r="FU39" s="132"/>
      <c r="FV39" s="132"/>
      <c r="FW39" s="132"/>
      <c r="FX39" s="132"/>
      <c r="FY39" s="132"/>
      <c r="FZ39" s="132"/>
      <c r="GA39" s="132"/>
      <c r="GB39" s="132"/>
      <c r="GC39" s="132"/>
      <c r="GD39" s="132"/>
      <c r="GE39" s="132"/>
      <c r="GF39" s="132"/>
      <c r="GG39" s="132"/>
      <c r="GH39" s="132"/>
      <c r="GI39" s="132"/>
      <c r="GJ39" s="132"/>
      <c r="GK39" s="132"/>
      <c r="GL39" s="132"/>
      <c r="GM39" s="132"/>
      <c r="GN39" s="132"/>
      <c r="GO39" s="132"/>
      <c r="GP39" s="132"/>
      <c r="GQ39" s="132"/>
      <c r="GR39" s="132"/>
      <c r="GS39" s="132"/>
      <c r="GT39" s="132"/>
      <c r="GU39" s="132"/>
      <c r="GV39" s="132"/>
      <c r="GW39" s="132"/>
      <c r="GX39" s="132"/>
      <c r="GY39" s="132"/>
      <c r="GZ39" s="132"/>
      <c r="HA39" s="132"/>
      <c r="HB39" s="132"/>
      <c r="HC39" s="132"/>
      <c r="HD39" s="132"/>
      <c r="HE39" s="132"/>
      <c r="HF39" s="132"/>
      <c r="HG39" s="132"/>
      <c r="HH39" s="132"/>
      <c r="HI39" s="132"/>
      <c r="HJ39" s="132"/>
      <c r="HK39" s="132"/>
      <c r="HL39" s="132"/>
      <c r="HM39" s="132"/>
    </row>
    <row r="40" spans="1:221" ht="15.5" x14ac:dyDescent="0.35">
      <c r="A40" s="48"/>
      <c r="B40" s="49"/>
      <c r="C40" s="52"/>
      <c r="H40" s="54"/>
      <c r="I40" s="57"/>
      <c r="J40" s="56"/>
      <c r="N40" s="88" t="s">
        <v>63</v>
      </c>
      <c r="O40" s="102">
        <v>3.8E-3</v>
      </c>
      <c r="P40" s="103">
        <f>ROUNDUP(O40*$C$43,2)</f>
        <v>760</v>
      </c>
      <c r="Q40" s="104"/>
      <c r="S40" s="92" t="s">
        <v>64</v>
      </c>
      <c r="T40" s="93"/>
      <c r="U40" s="94"/>
      <c r="V40" s="92"/>
      <c r="W40" s="95"/>
      <c r="X40" s="95"/>
      <c r="AA40" s="96">
        <f t="shared" si="1"/>
        <v>2</v>
      </c>
      <c r="AB40" s="97">
        <f t="shared" si="2"/>
        <v>16351.864817736563</v>
      </c>
      <c r="AC40" s="97">
        <f t="shared" ref="AC40:AC103" si="3">IF($AA$36=1,VLOOKUP(AA40,$AE$38:$AK$278,7,0),IF($AA$36=2,VLOOKUP(AA40,$AE$38:$AK$278,5,0),VLOOKUP(AA40,$AE$38:$AK$278,3,0)))</f>
        <v>2290.7841892011538</v>
      </c>
      <c r="AE40" s="96">
        <f t="shared" ref="AE40:AE103" si="4">AA40</f>
        <v>2</v>
      </c>
      <c r="AF40" s="97">
        <f>IFERROR(VLOOKUP(AE40,[1]Cálculos_PRICE!$A$32:$K$212,10,0),"")</f>
        <v>16351.864817736563</v>
      </c>
      <c r="AG40" s="97">
        <f>IFERROR(VLOOKUP(AE40,'Cálculos_CGI - SAC FIXA'!A38:K430,10,0),"")</f>
        <v>2290.7841892011538</v>
      </c>
      <c r="AH40" s="97">
        <f>IFERROR(VLOOKUP(AE40,[1]Cálculos_PRICE!$A$32:$K$212,6,0),"")</f>
        <v>1120.7735500401413</v>
      </c>
      <c r="AI40" s="97">
        <f>IFERROR(VLOOKUP(AE40,'Cálculos_CGI - SAC FIXA'!A38:K430,6,0),"")</f>
        <v>555.55555555555554</v>
      </c>
      <c r="AJ40" s="97">
        <f>IFERROR(VLOOKUP(AE40,[1]Cálculos_PRICE!$A$32:$K$240,11,0),"")</f>
        <v>997775.01605583169</v>
      </c>
      <c r="AK40" s="97">
        <f>IFERROR(VLOOKUP(AE40,'Cálculos_CGI - SAC FIXA'!A38:K430,11,0),"")</f>
        <v>198888.88888888888</v>
      </c>
      <c r="AN40" s="157">
        <f t="shared" si="0"/>
        <v>51192.666666666686</v>
      </c>
      <c r="AO40" s="147" t="s">
        <v>121</v>
      </c>
      <c r="AP40" s="147" t="s">
        <v>119</v>
      </c>
      <c r="AQ40" s="148">
        <v>44139</v>
      </c>
      <c r="AR40" s="149">
        <v>249686.03</v>
      </c>
      <c r="AS40" s="150">
        <v>160.03</v>
      </c>
      <c r="AT40" s="150">
        <v>0</v>
      </c>
      <c r="AU40" s="149">
        <v>3220.95</v>
      </c>
      <c r="AV40" s="150">
        <v>77.430000000000007</v>
      </c>
      <c r="AW40" s="149">
        <v>3458.41</v>
      </c>
      <c r="AX40" s="151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2"/>
      <c r="BZ40" s="132"/>
      <c r="CA40" s="132"/>
      <c r="CB40" s="132"/>
      <c r="CC40" s="132"/>
      <c r="CD40" s="132"/>
      <c r="CE40" s="132"/>
      <c r="CF40" s="132"/>
      <c r="CG40" s="132"/>
      <c r="CH40" s="132"/>
      <c r="CI40" s="132"/>
      <c r="CJ40" s="132"/>
      <c r="CK40" s="132"/>
      <c r="CL40" s="132"/>
      <c r="CM40" s="132"/>
      <c r="CN40" s="132"/>
      <c r="CO40" s="132"/>
      <c r="CP40" s="132"/>
      <c r="CQ40" s="132"/>
      <c r="CR40" s="132"/>
      <c r="CS40" s="132"/>
      <c r="CT40" s="132"/>
      <c r="CU40" s="132"/>
      <c r="CV40" s="132"/>
      <c r="CW40" s="132"/>
      <c r="CX40" s="132"/>
      <c r="CY40" s="132"/>
      <c r="CZ40" s="132"/>
      <c r="DA40" s="132"/>
      <c r="DB40" s="132"/>
      <c r="DC40" s="132"/>
      <c r="DD40" s="132"/>
      <c r="DE40" s="132"/>
      <c r="DF40" s="132"/>
      <c r="DG40" s="132"/>
      <c r="DH40" s="132"/>
      <c r="DI40" s="132"/>
      <c r="DJ40" s="132"/>
      <c r="DK40" s="132"/>
      <c r="DL40" s="132"/>
      <c r="DM40" s="132"/>
      <c r="DN40" s="132"/>
      <c r="DO40" s="132"/>
      <c r="DP40" s="132"/>
      <c r="DQ40" s="132"/>
      <c r="DR40" s="132"/>
      <c r="DS40" s="132"/>
      <c r="DT40" s="132"/>
      <c r="DU40" s="132"/>
      <c r="DV40" s="132"/>
      <c r="DW40" s="132"/>
      <c r="DX40" s="132"/>
      <c r="DY40" s="132"/>
      <c r="DZ40" s="132"/>
      <c r="EA40" s="132"/>
      <c r="EB40" s="132"/>
      <c r="EC40" s="132"/>
      <c r="ED40" s="132"/>
      <c r="EE40" s="132"/>
      <c r="EF40" s="132"/>
      <c r="EG40" s="132"/>
      <c r="EH40" s="132"/>
      <c r="EI40" s="132"/>
      <c r="EJ40" s="132"/>
      <c r="EK40" s="132"/>
      <c r="EL40" s="132"/>
      <c r="EM40" s="132"/>
      <c r="EN40" s="132"/>
      <c r="EO40" s="132"/>
      <c r="EP40" s="132"/>
      <c r="EQ40" s="132"/>
      <c r="ER40" s="132"/>
      <c r="ES40" s="132"/>
      <c r="ET40" s="132"/>
      <c r="EU40" s="132"/>
      <c r="EV40" s="132"/>
      <c r="EW40" s="132"/>
      <c r="EX40" s="132"/>
      <c r="EY40" s="132"/>
      <c r="EZ40" s="132"/>
      <c r="FA40" s="132"/>
      <c r="FB40" s="132"/>
      <c r="FC40" s="132"/>
      <c r="FD40" s="132"/>
      <c r="FE40" s="132"/>
      <c r="FF40" s="132"/>
      <c r="FG40" s="132"/>
      <c r="FH40" s="132"/>
      <c r="FI40" s="132"/>
      <c r="FJ40" s="132"/>
      <c r="FK40" s="132"/>
      <c r="FL40" s="132"/>
      <c r="FM40" s="132"/>
      <c r="FN40" s="132"/>
      <c r="FO40" s="132"/>
      <c r="FP40" s="132"/>
      <c r="FQ40" s="132"/>
      <c r="FR40" s="132"/>
      <c r="FS40" s="132"/>
      <c r="FT40" s="132"/>
      <c r="FU40" s="132"/>
      <c r="FV40" s="132"/>
      <c r="FW40" s="132"/>
      <c r="FX40" s="132"/>
      <c r="FY40" s="132"/>
      <c r="FZ40" s="132"/>
      <c r="GA40" s="132"/>
      <c r="GB40" s="132"/>
      <c r="GC40" s="132"/>
      <c r="GD40" s="132"/>
      <c r="GE40" s="132"/>
      <c r="GF40" s="132"/>
      <c r="GG40" s="132"/>
      <c r="GH40" s="132"/>
      <c r="GI40" s="132"/>
      <c r="GJ40" s="132"/>
      <c r="GK40" s="132"/>
      <c r="GL40" s="132"/>
      <c r="GM40" s="132"/>
      <c r="GN40" s="132"/>
      <c r="GO40" s="132"/>
      <c r="GP40" s="132"/>
      <c r="GQ40" s="132"/>
      <c r="GR40" s="132"/>
      <c r="GS40" s="132"/>
      <c r="GT40" s="132"/>
      <c r="GU40" s="132"/>
      <c r="GV40" s="132"/>
      <c r="GW40" s="132"/>
      <c r="GX40" s="132"/>
      <c r="GY40" s="132"/>
      <c r="GZ40" s="132"/>
      <c r="HA40" s="132"/>
      <c r="HB40" s="132"/>
      <c r="HC40" s="132"/>
      <c r="HD40" s="132"/>
      <c r="HE40" s="132"/>
      <c r="HF40" s="132"/>
      <c r="HG40" s="132"/>
      <c r="HH40" s="132"/>
      <c r="HI40" s="132"/>
      <c r="HJ40" s="132"/>
      <c r="HK40" s="132"/>
      <c r="HL40" s="132"/>
      <c r="HM40" s="132"/>
    </row>
    <row r="41" spans="1:221" ht="16" thickBot="1" x14ac:dyDescent="0.4">
      <c r="A41" s="48"/>
      <c r="B41" s="49"/>
      <c r="C41" s="52"/>
      <c r="H41" s="54"/>
      <c r="I41" s="57"/>
      <c r="J41" s="56"/>
      <c r="N41" s="88" t="s">
        <v>65</v>
      </c>
      <c r="O41" s="105">
        <v>1.1179999999999999E-4</v>
      </c>
      <c r="P41" s="106">
        <f ca="1">SUM(O44:O55)</f>
        <v>146.39000000000001</v>
      </c>
      <c r="Q41" s="107"/>
      <c r="S41" s="92" t="s">
        <v>66</v>
      </c>
      <c r="T41" s="93"/>
      <c r="U41" s="94"/>
      <c r="V41" s="92"/>
      <c r="W41" s="95"/>
      <c r="X41" s="95"/>
      <c r="AA41" s="96">
        <f t="shared" si="1"/>
        <v>3</v>
      </c>
      <c r="AB41" s="97">
        <f t="shared" si="2"/>
        <v>16351.615557699033</v>
      </c>
      <c r="AC41" s="97">
        <f t="shared" si="3"/>
        <v>2290.6564114233761</v>
      </c>
      <c r="AE41" s="96">
        <f t="shared" si="4"/>
        <v>3</v>
      </c>
      <c r="AF41" s="97">
        <f>IFERROR(VLOOKUP(AE41,[1]Cálculos_PRICE!$A$32:$K$212,10,0),"")</f>
        <v>16351.615557699033</v>
      </c>
      <c r="AG41" s="97">
        <f>IFERROR(VLOOKUP(AE41,'Cálculos_CGI - SAC FIXA'!A39:K431,10,0),"")</f>
        <v>2290.6564114233761</v>
      </c>
      <c r="AH41" s="97">
        <f>IFERROR(VLOOKUP(AE41,[1]Cálculos_PRICE!$A$32:$K$212,6,0),"")</f>
        <v>1137.5851532907418</v>
      </c>
      <c r="AI41" s="97">
        <f>IFERROR(VLOOKUP(AE41,'Cálculos_CGI - SAC FIXA'!A39:K431,6,0),"")</f>
        <v>555.55555555555554</v>
      </c>
      <c r="AJ41" s="97">
        <f>IFERROR(VLOOKUP(AE41,[1]Cálculos_PRICE!$A$32:$K$240,11,0),"")</f>
        <v>996637.43090254092</v>
      </c>
      <c r="AK41" s="97">
        <f>IFERROR(VLOOKUP(AE41,'Cálculos_CGI - SAC FIXA'!A39:K431,11,0),"")</f>
        <v>198333.33333333331</v>
      </c>
      <c r="AN41" s="157">
        <f t="shared" si="0"/>
        <v>51586.132222222252</v>
      </c>
      <c r="AO41" s="152" t="s">
        <v>122</v>
      </c>
      <c r="AP41" s="152" t="s">
        <v>119</v>
      </c>
      <c r="AQ41" s="153">
        <v>44169</v>
      </c>
      <c r="AR41" s="154">
        <v>249526</v>
      </c>
      <c r="AS41" s="155">
        <v>162.09</v>
      </c>
      <c r="AT41" s="155">
        <v>0</v>
      </c>
      <c r="AU41" s="154">
        <v>3218.89</v>
      </c>
      <c r="AV41" s="155">
        <v>77.39</v>
      </c>
      <c r="AW41" s="154">
        <v>3458.37</v>
      </c>
      <c r="AX41" s="156"/>
      <c r="AY41" s="132"/>
      <c r="AZ41" s="132"/>
      <c r="BA41" s="132"/>
      <c r="BB41" s="132"/>
      <c r="BC41" s="132"/>
      <c r="BD41" s="132"/>
      <c r="BE41" s="132"/>
      <c r="BF41" s="132"/>
      <c r="BG41" s="132"/>
      <c r="BH41" s="132"/>
      <c r="BI41" s="132"/>
      <c r="BJ41" s="132"/>
      <c r="BK41" s="132"/>
      <c r="BL41" s="132"/>
      <c r="BM41" s="132"/>
      <c r="BN41" s="132"/>
      <c r="BO41" s="132"/>
      <c r="BP41" s="132"/>
      <c r="BQ41" s="132"/>
      <c r="BR41" s="132"/>
      <c r="BS41" s="132"/>
      <c r="BT41" s="132"/>
      <c r="BU41" s="132"/>
      <c r="BV41" s="132"/>
      <c r="BW41" s="132"/>
      <c r="BX41" s="132"/>
      <c r="BY41" s="132"/>
      <c r="BZ41" s="132"/>
      <c r="CA41" s="132"/>
      <c r="CB41" s="132"/>
      <c r="CC41" s="132"/>
      <c r="CD41" s="132"/>
      <c r="CE41" s="132"/>
      <c r="CF41" s="132"/>
      <c r="CG41" s="132"/>
      <c r="CH41" s="132"/>
      <c r="CI41" s="132"/>
      <c r="CJ41" s="132"/>
      <c r="CK41" s="132"/>
      <c r="CL41" s="132"/>
      <c r="CM41" s="132"/>
      <c r="CN41" s="132"/>
      <c r="CO41" s="132"/>
      <c r="CP41" s="132"/>
      <c r="CQ41" s="132"/>
      <c r="CR41" s="132"/>
      <c r="CS41" s="132"/>
      <c r="CT41" s="132"/>
      <c r="CU41" s="132"/>
      <c r="CV41" s="132"/>
      <c r="CW41" s="132"/>
      <c r="CX41" s="132"/>
      <c r="CY41" s="132"/>
      <c r="CZ41" s="132"/>
      <c r="DA41" s="132"/>
      <c r="DB41" s="132"/>
      <c r="DC41" s="132"/>
      <c r="DD41" s="132"/>
      <c r="DE41" s="132"/>
      <c r="DF41" s="132"/>
      <c r="DG41" s="132"/>
      <c r="DH41" s="132"/>
      <c r="DI41" s="132"/>
      <c r="DJ41" s="132"/>
      <c r="DK41" s="132"/>
      <c r="DL41" s="132"/>
      <c r="DM41" s="132"/>
      <c r="DN41" s="132"/>
      <c r="DO41" s="132"/>
      <c r="DP41" s="132"/>
      <c r="DQ41" s="132"/>
      <c r="DR41" s="132"/>
      <c r="DS41" s="132"/>
      <c r="DT41" s="132"/>
      <c r="DU41" s="132"/>
      <c r="DV41" s="132"/>
      <c r="DW41" s="132"/>
      <c r="DX41" s="132"/>
      <c r="DY41" s="132"/>
      <c r="DZ41" s="132"/>
      <c r="EA41" s="132"/>
      <c r="EB41" s="132"/>
      <c r="EC41" s="132"/>
      <c r="ED41" s="132"/>
      <c r="EE41" s="132"/>
      <c r="EF41" s="132"/>
      <c r="EG41" s="132"/>
      <c r="EH41" s="132"/>
      <c r="EI41" s="132"/>
      <c r="EJ41" s="132"/>
      <c r="EK41" s="132"/>
      <c r="EL41" s="132"/>
      <c r="EM41" s="132"/>
      <c r="EN41" s="132"/>
      <c r="EO41" s="132"/>
      <c r="EP41" s="132"/>
      <c r="EQ41" s="132"/>
      <c r="ER41" s="132"/>
      <c r="ES41" s="132"/>
      <c r="ET41" s="132"/>
      <c r="EU41" s="132"/>
      <c r="EV41" s="132"/>
      <c r="EW41" s="132"/>
      <c r="EX41" s="132"/>
      <c r="EY41" s="132"/>
      <c r="EZ41" s="132"/>
      <c r="FA41" s="132"/>
      <c r="FB41" s="132"/>
      <c r="FC41" s="132"/>
      <c r="FD41" s="132"/>
      <c r="FE41" s="132"/>
      <c r="FF41" s="132"/>
      <c r="FG41" s="132"/>
      <c r="FH41" s="132"/>
      <c r="FI41" s="132"/>
      <c r="FJ41" s="132"/>
      <c r="FK41" s="132"/>
      <c r="FL41" s="132"/>
      <c r="FM41" s="132"/>
      <c r="FN41" s="132"/>
      <c r="FO41" s="132"/>
      <c r="FP41" s="132"/>
      <c r="FQ41" s="132"/>
      <c r="FR41" s="132"/>
      <c r="FS41" s="132"/>
      <c r="FT41" s="132"/>
      <c r="FU41" s="132"/>
      <c r="FV41" s="132"/>
      <c r="FW41" s="132"/>
      <c r="FX41" s="132"/>
      <c r="FY41" s="132"/>
      <c r="FZ41" s="132"/>
      <c r="GA41" s="132"/>
      <c r="GB41" s="132"/>
      <c r="GC41" s="132"/>
      <c r="GD41" s="132"/>
      <c r="GE41" s="132"/>
      <c r="GF41" s="132"/>
      <c r="GG41" s="132"/>
      <c r="GH41" s="132"/>
      <c r="GI41" s="132"/>
      <c r="GJ41" s="132"/>
      <c r="GK41" s="132"/>
      <c r="GL41" s="132"/>
      <c r="GM41" s="132"/>
      <c r="GN41" s="132"/>
      <c r="GO41" s="132"/>
      <c r="GP41" s="132"/>
      <c r="GQ41" s="132"/>
      <c r="GR41" s="132"/>
      <c r="GS41" s="132"/>
      <c r="GT41" s="132"/>
      <c r="GU41" s="132"/>
      <c r="GV41" s="132"/>
      <c r="GW41" s="132"/>
      <c r="GX41" s="132"/>
      <c r="GY41" s="132"/>
      <c r="GZ41" s="132"/>
      <c r="HA41" s="132"/>
      <c r="HB41" s="132"/>
      <c r="HC41" s="132"/>
      <c r="HD41" s="132"/>
      <c r="HE41" s="132"/>
      <c r="HF41" s="132"/>
      <c r="HG41" s="132"/>
      <c r="HH41" s="132"/>
      <c r="HI41" s="132"/>
      <c r="HJ41" s="132"/>
      <c r="HK41" s="132"/>
      <c r="HL41" s="132"/>
      <c r="HM41" s="132"/>
    </row>
    <row r="42" spans="1:221" ht="30.5" thickBot="1" x14ac:dyDescent="0.4">
      <c r="A42" s="61" t="s">
        <v>37</v>
      </c>
      <c r="B42" s="62" t="s">
        <v>38</v>
      </c>
      <c r="C42" s="63" t="s">
        <v>39</v>
      </c>
      <c r="D42" s="64" t="s">
        <v>40</v>
      </c>
      <c r="E42" s="64" t="s">
        <v>41</v>
      </c>
      <c r="F42" s="64" t="s">
        <v>35</v>
      </c>
      <c r="G42" s="65" t="s">
        <v>42</v>
      </c>
      <c r="H42" s="64" t="s">
        <v>43</v>
      </c>
      <c r="I42" s="64" t="s">
        <v>44</v>
      </c>
      <c r="J42" s="64" t="s">
        <v>369</v>
      </c>
      <c r="K42" s="64" t="s">
        <v>46</v>
      </c>
      <c r="N42" s="66"/>
      <c r="O42" s="108" t="s">
        <v>67</v>
      </c>
      <c r="P42" s="109" t="s">
        <v>68</v>
      </c>
      <c r="Q42" s="110" t="s">
        <v>69</v>
      </c>
      <c r="R42" s="66"/>
      <c r="S42" s="92" t="s">
        <v>70</v>
      </c>
      <c r="T42" s="93"/>
      <c r="U42" s="94"/>
      <c r="V42" s="92"/>
      <c r="W42" s="95"/>
      <c r="X42" s="95"/>
      <c r="AA42" s="96">
        <f t="shared" si="1"/>
        <v>4</v>
      </c>
      <c r="AB42" s="97">
        <f t="shared" si="2"/>
        <v>16351.362558760942</v>
      </c>
      <c r="AC42" s="97">
        <f t="shared" si="3"/>
        <v>2290.5286336455983</v>
      </c>
      <c r="AE42" s="96">
        <f t="shared" si="4"/>
        <v>4</v>
      </c>
      <c r="AF42" s="97">
        <f>IFERROR(VLOOKUP(AE42,[1]Cálculos_PRICE!$A$32:$K$212,10,0),"")</f>
        <v>16351.362558760942</v>
      </c>
      <c r="AG42" s="97">
        <f>IFERROR(VLOOKUP(AE42,'Cálculos_CGI - SAC FIXA'!A40:K432,10,0),"")</f>
        <v>2290.5286336455983</v>
      </c>
      <c r="AH42" s="97">
        <f>IFERROR(VLOOKUP(AE42,[1]Cálculos_PRICE!$A$32:$K$212,6,0),"")</f>
        <v>1154.6489305901032</v>
      </c>
      <c r="AI42" s="97">
        <f>IFERROR(VLOOKUP(AE42,'Cálculos_CGI - SAC FIXA'!A40:K432,6,0),"")</f>
        <v>555.55555555555554</v>
      </c>
      <c r="AJ42" s="97">
        <f>IFERROR(VLOOKUP(AE42,[1]Cálculos_PRICE!$A$32:$K$240,11,0),"")</f>
        <v>995482.78197195078</v>
      </c>
      <c r="AK42" s="97">
        <f>IFERROR(VLOOKUP(AE42,'Cálculos_CGI - SAC FIXA'!A40:K432,11,0),"")</f>
        <v>197777.77777777775</v>
      </c>
      <c r="AN42" s="157">
        <f t="shared" si="0"/>
        <v>51977.497777777811</v>
      </c>
      <c r="AO42" s="147" t="s">
        <v>123</v>
      </c>
      <c r="AP42" s="147" t="s">
        <v>119</v>
      </c>
      <c r="AQ42" s="148">
        <v>44200</v>
      </c>
      <c r="AR42" s="149">
        <v>249363.91</v>
      </c>
      <c r="AS42" s="150">
        <v>164.19</v>
      </c>
      <c r="AT42" s="150">
        <v>0</v>
      </c>
      <c r="AU42" s="149">
        <v>3216.79</v>
      </c>
      <c r="AV42" s="150">
        <v>77.349999999999994</v>
      </c>
      <c r="AW42" s="149">
        <v>3458.33</v>
      </c>
      <c r="AX42" s="151"/>
    </row>
    <row r="43" spans="1:221" ht="15.5" x14ac:dyDescent="0.35">
      <c r="A43" s="67">
        <v>0</v>
      </c>
      <c r="B43" s="68">
        <f ca="1">I24</f>
        <v>46058</v>
      </c>
      <c r="C43" s="69">
        <f>I13</f>
        <v>200000</v>
      </c>
      <c r="D43" s="70"/>
      <c r="E43" s="70"/>
      <c r="F43" s="70"/>
      <c r="G43" s="71"/>
      <c r="H43" s="72"/>
      <c r="I43" s="72"/>
      <c r="J43" s="73">
        <f ca="1">I17*-1</f>
        <v>-197000</v>
      </c>
      <c r="K43" s="74">
        <f>C43</f>
        <v>200000</v>
      </c>
      <c r="O43" s="165"/>
      <c r="P43" s="166"/>
      <c r="Q43" s="167"/>
      <c r="S43" s="92" t="s">
        <v>71</v>
      </c>
      <c r="T43" s="93"/>
      <c r="U43" s="94"/>
      <c r="V43" s="92"/>
      <c r="W43" s="95"/>
      <c r="X43" s="95"/>
      <c r="AA43" s="96">
        <f t="shared" si="1"/>
        <v>5</v>
      </c>
      <c r="AB43" s="97">
        <f t="shared" si="2"/>
        <v>16351.105764838778</v>
      </c>
      <c r="AC43" s="97">
        <f t="shared" si="3"/>
        <v>2290.4008558678206</v>
      </c>
      <c r="AE43" s="96">
        <f t="shared" si="4"/>
        <v>5</v>
      </c>
      <c r="AF43" s="97">
        <f>IFERROR(VLOOKUP(AE43,[1]Cálculos_PRICE!$A$32:$K$212,10,0),"")</f>
        <v>16351.105764838778</v>
      </c>
      <c r="AG43" s="97">
        <f>IFERROR(VLOOKUP(AE43,'Cálculos_CGI - SAC FIXA'!A41:K433,10,0),"")</f>
        <v>2290.4008558678206</v>
      </c>
      <c r="AH43" s="97">
        <f>IFERROR(VLOOKUP(AE43,[1]Cálculos_PRICE!$A$32:$K$212,6,0),"")</f>
        <v>1171.9686645489546</v>
      </c>
      <c r="AI43" s="97">
        <f>IFERROR(VLOOKUP(AE43,'Cálculos_CGI - SAC FIXA'!A41:K433,6,0),"")</f>
        <v>555.55555555555554</v>
      </c>
      <c r="AJ43" s="97">
        <f>IFERROR(VLOOKUP(AE43,[1]Cálculos_PRICE!$A$32:$K$240,11,0),"")</f>
        <v>994310.81330740184</v>
      </c>
      <c r="AK43" s="97">
        <f>IFERROR(VLOOKUP(AE43,'Cálculos_CGI - SAC FIXA'!A41:K433,11,0),"")</f>
        <v>197222.22222222219</v>
      </c>
      <c r="AN43" s="157">
        <f t="shared" si="0"/>
        <v>52366.753333333385</v>
      </c>
      <c r="AO43" s="152" t="s">
        <v>124</v>
      </c>
      <c r="AP43" s="152" t="s">
        <v>119</v>
      </c>
      <c r="AQ43" s="153">
        <v>44231</v>
      </c>
      <c r="AR43" s="154">
        <v>249199.72</v>
      </c>
      <c r="AS43" s="155">
        <v>166.3</v>
      </c>
      <c r="AT43" s="155">
        <v>0</v>
      </c>
      <c r="AU43" s="154">
        <v>3214.68</v>
      </c>
      <c r="AV43" s="155">
        <v>77.319999999999993</v>
      </c>
      <c r="AW43" s="154">
        <v>3458.3</v>
      </c>
      <c r="AX43" s="156"/>
    </row>
    <row r="44" spans="1:221" ht="15.5" x14ac:dyDescent="0.35">
      <c r="A44" s="98">
        <f>IF(AND(A43=0,A43&lt;$I$18),A43+1,0)</f>
        <v>1</v>
      </c>
      <c r="B44" s="99">
        <f ca="1">IFERROR(IF(A44&lt;=$I$18,DATE(YEAR(B43),MONTH(B43)+1,DAY(B43)),"-"),"")</f>
        <v>46086</v>
      </c>
      <c r="C44" s="100">
        <f t="shared" ref="C44:C107" si="5">IF(A44="","",K43)</f>
        <v>200000</v>
      </c>
      <c r="D44" s="100">
        <f>C44*$I$20</f>
        <v>2180</v>
      </c>
      <c r="E44" s="100">
        <f>IFERROR(C44+D44,"")</f>
        <v>202180</v>
      </c>
      <c r="F44" s="100">
        <f>$I$13/$I$18</f>
        <v>555.55555555555554</v>
      </c>
      <c r="G44" s="100">
        <f>F44+D44</f>
        <v>2735.5555555555557</v>
      </c>
      <c r="H44" s="100">
        <f>C44*$J$27</f>
        <v>46</v>
      </c>
      <c r="I44" s="100">
        <f t="shared" ref="I44:I107" si="6">IF(A44="","",IF(K43="","",IF(K43=0,"",$J$28*$I$14)))</f>
        <v>20</v>
      </c>
      <c r="J44" s="100">
        <f>IFERROR(SUM(I44+H44+G44),"")</f>
        <v>2801.5555555555557</v>
      </c>
      <c r="K44" s="101">
        <f>C44-F44</f>
        <v>199444.44444444444</v>
      </c>
      <c r="O44" s="111">
        <f t="shared" ref="O44:O55" ca="1" si="7">ROUNDUP(F44*$O$41*Q44,2)</f>
        <v>1.74</v>
      </c>
      <c r="P44" s="112">
        <f t="shared" ref="P44:P107" ca="1" si="8">IF($A44&lt;=$I$18,B44-B43,)</f>
        <v>28</v>
      </c>
      <c r="Q44" s="113">
        <f t="shared" ref="Q44:Q55" ca="1" si="9">IF($A44&lt;=$I$18,$B44-$B$43,)</f>
        <v>28</v>
      </c>
      <c r="S44" s="92" t="s">
        <v>72</v>
      </c>
      <c r="T44" s="93"/>
      <c r="U44" s="94"/>
      <c r="V44" s="92"/>
      <c r="W44" s="95"/>
      <c r="X44" s="114"/>
      <c r="AA44" s="96">
        <f t="shared" si="1"/>
        <v>6</v>
      </c>
      <c r="AB44" s="97">
        <f t="shared" si="2"/>
        <v>16350.845119007783</v>
      </c>
      <c r="AC44" s="97">
        <f t="shared" si="3"/>
        <v>2290.2730780900429</v>
      </c>
      <c r="AE44" s="96">
        <f t="shared" si="4"/>
        <v>6</v>
      </c>
      <c r="AF44" s="97">
        <f>IFERROR(VLOOKUP(AE44,[1]Cálculos_PRICE!$A$32:$K$212,10,0),"")</f>
        <v>16350.845119007783</v>
      </c>
      <c r="AG44" s="97">
        <f>IFERROR(VLOOKUP(AE44,'Cálculos_CGI - SAC FIXA'!A42:K434,10,0),"")</f>
        <v>2290.2730780900429</v>
      </c>
      <c r="AH44" s="97">
        <f>IFERROR(VLOOKUP(AE44,[1]Cálculos_PRICE!$A$32:$K$212,6,0),"")</f>
        <v>1189.5481945171905</v>
      </c>
      <c r="AI44" s="97">
        <f>IFERROR(VLOOKUP(AE44,'Cálculos_CGI - SAC FIXA'!A42:K434,6,0),"")</f>
        <v>555.55555555555554</v>
      </c>
      <c r="AJ44" s="97">
        <f>IFERROR(VLOOKUP(AE44,[1]Cálculos_PRICE!$A$32:$K$240,11,0),"")</f>
        <v>993121.26511288469</v>
      </c>
      <c r="AK44" s="97">
        <f>IFERROR(VLOOKUP(AE44,'Cálculos_CGI - SAC FIXA'!A42:K434,11,0),"")</f>
        <v>196666.66666666663</v>
      </c>
      <c r="AN44" s="157">
        <f t="shared" si="0"/>
        <v>52753.858888888935</v>
      </c>
      <c r="AO44" s="147" t="s">
        <v>125</v>
      </c>
      <c r="AP44" s="147" t="s">
        <v>119</v>
      </c>
      <c r="AQ44" s="148">
        <v>44259</v>
      </c>
      <c r="AR44" s="149">
        <v>249033.42</v>
      </c>
      <c r="AS44" s="150">
        <v>168.45</v>
      </c>
      <c r="AT44" s="150">
        <v>0</v>
      </c>
      <c r="AU44" s="149">
        <v>3212.53</v>
      </c>
      <c r="AV44" s="150">
        <v>77.28</v>
      </c>
      <c r="AW44" s="149">
        <v>3458.26</v>
      </c>
      <c r="AX44" s="151"/>
    </row>
    <row r="45" spans="1:221" ht="15.5" x14ac:dyDescent="0.35">
      <c r="A45" s="98">
        <f>IF(IF(AND(A44&gt;0,A44&lt;$I$18),A44+1,0)=0,"",IF(AND(A44&gt;0,A44&lt;$I$18),A44+1,0))</f>
        <v>2</v>
      </c>
      <c r="B45" s="99">
        <f t="shared" ref="B45:B108" ca="1" si="10">IFERROR(IF(A45&lt;=$I$18,DATE(YEAR($B$44),MONTH($B$44)+A44,DAY($B$44)),"-"),"")</f>
        <v>46117</v>
      </c>
      <c r="C45" s="100">
        <f t="shared" si="5"/>
        <v>199444.44444444444</v>
      </c>
      <c r="D45" s="100">
        <f t="shared" ref="D45:D108" si="11">C45*$I$20</f>
        <v>2173.9444444444443</v>
      </c>
      <c r="E45" s="100">
        <f t="shared" ref="E45:E108" si="12">IFERROR(C45+D45,"")</f>
        <v>201618.38888888888</v>
      </c>
      <c r="F45" s="100">
        <f t="shared" ref="F45:F108" si="13">$I$13/$I$18</f>
        <v>555.55555555555554</v>
      </c>
      <c r="G45" s="100">
        <f t="shared" ref="G45:G108" si="14">IF(A45="","",PMT($I$20,$I$18,$C$44)*-1)</f>
        <v>2224.9119669789316</v>
      </c>
      <c r="H45" s="100">
        <f t="shared" ref="H45:H108" si="15">C45*$J$27</f>
        <v>45.87222222222222</v>
      </c>
      <c r="I45" s="100">
        <f t="shared" si="6"/>
        <v>20</v>
      </c>
      <c r="J45" s="100">
        <f t="shared" ref="J45:J108" si="16">IFERROR(SUM(I45+H45+G45),"")</f>
        <v>2290.7841892011538</v>
      </c>
      <c r="K45" s="101">
        <f t="shared" ref="K45:K108" si="17">C45-F45</f>
        <v>198888.88888888888</v>
      </c>
      <c r="O45" s="111">
        <f t="shared" ca="1" si="7"/>
        <v>3.67</v>
      </c>
      <c r="P45" s="112">
        <f t="shared" ca="1" si="8"/>
        <v>31</v>
      </c>
      <c r="Q45" s="113">
        <f t="shared" ca="1" si="9"/>
        <v>59</v>
      </c>
      <c r="S45" s="92" t="s">
        <v>73</v>
      </c>
      <c r="T45" s="93"/>
      <c r="U45" s="94"/>
      <c r="V45" s="92"/>
      <c r="W45" s="95"/>
      <c r="X45" s="114"/>
      <c r="AA45" s="96">
        <f t="shared" si="1"/>
        <v>7</v>
      </c>
      <c r="AB45" s="97">
        <f t="shared" si="2"/>
        <v>16350.580563489322</v>
      </c>
      <c r="AC45" s="97">
        <f t="shared" si="3"/>
        <v>2290.1453003122647</v>
      </c>
      <c r="AE45" s="96">
        <f t="shared" si="4"/>
        <v>7</v>
      </c>
      <c r="AF45" s="97">
        <f>IFERROR(VLOOKUP(AE45,[1]Cálculos_PRICE!$A$32:$K$212,10,0),"")</f>
        <v>16350.580563489322</v>
      </c>
      <c r="AG45" s="97">
        <f>IFERROR(VLOOKUP(AE45,'Cálculos_CGI - SAC FIXA'!A43:K435,10,0),"")</f>
        <v>2290.1453003122647</v>
      </c>
      <c r="AH45" s="97">
        <f>IFERROR(VLOOKUP(AE45,[1]Cálculos_PRICE!$A$32:$K$212,6,0),"")</f>
        <v>1207.3914174349466</v>
      </c>
      <c r="AI45" s="97">
        <f>IFERROR(VLOOKUP(AE45,'Cálculos_CGI - SAC FIXA'!A43:K435,6,0),"")</f>
        <v>555.55555555555554</v>
      </c>
      <c r="AJ45" s="97">
        <f>IFERROR(VLOOKUP(AE45,[1]Cálculos_PRICE!$A$32:$K$240,11,0),"")</f>
        <v>991913.87369544979</v>
      </c>
      <c r="AK45" s="97">
        <f>IFERROR(VLOOKUP(AE45,'Cálculos_CGI - SAC FIXA'!A43:K435,11,0),"")</f>
        <v>196111.11111111107</v>
      </c>
      <c r="AN45" s="157">
        <f t="shared" si="0"/>
        <v>53138.794444444502</v>
      </c>
      <c r="AO45" s="152" t="s">
        <v>126</v>
      </c>
      <c r="AP45" s="152" t="s">
        <v>119</v>
      </c>
      <c r="AQ45" s="153">
        <v>44290</v>
      </c>
      <c r="AR45" s="154">
        <v>248864.97</v>
      </c>
      <c r="AS45" s="155">
        <v>170.62</v>
      </c>
      <c r="AT45" s="155">
        <v>0</v>
      </c>
      <c r="AU45" s="154">
        <v>3210.36</v>
      </c>
      <c r="AV45" s="155">
        <v>77.239999999999995</v>
      </c>
      <c r="AW45" s="154">
        <v>3458.22</v>
      </c>
      <c r="AX45" s="156"/>
    </row>
    <row r="46" spans="1:221" ht="15.5" x14ac:dyDescent="0.35">
      <c r="A46" s="98">
        <f t="shared" ref="A46:A109" si="18">IF(IF(AND(A45&gt;0,A45&lt;$I$18),A45+1,0)=0,"",IF(AND(A45&gt;0,A45&lt;$I$18),A45+1,0))</f>
        <v>3</v>
      </c>
      <c r="B46" s="99">
        <f t="shared" ca="1" si="10"/>
        <v>46147</v>
      </c>
      <c r="C46" s="100">
        <f t="shared" si="5"/>
        <v>198888.88888888888</v>
      </c>
      <c r="D46" s="100">
        <f t="shared" si="11"/>
        <v>2167.8888888888887</v>
      </c>
      <c r="E46" s="100">
        <f t="shared" si="12"/>
        <v>201056.77777777775</v>
      </c>
      <c r="F46" s="100">
        <f t="shared" si="13"/>
        <v>555.55555555555554</v>
      </c>
      <c r="G46" s="100">
        <f t="shared" si="14"/>
        <v>2224.9119669789316</v>
      </c>
      <c r="H46" s="100">
        <f t="shared" si="15"/>
        <v>45.74444444444444</v>
      </c>
      <c r="I46" s="100">
        <f t="shared" si="6"/>
        <v>20</v>
      </c>
      <c r="J46" s="100">
        <f t="shared" si="16"/>
        <v>2290.6564114233761</v>
      </c>
      <c r="K46" s="101">
        <f t="shared" si="17"/>
        <v>198333.33333333331</v>
      </c>
      <c r="O46" s="111">
        <f t="shared" ca="1" si="7"/>
        <v>5.5299999999999994</v>
      </c>
      <c r="P46" s="112">
        <f t="shared" ca="1" si="8"/>
        <v>30</v>
      </c>
      <c r="Q46" s="113">
        <f t="shared" ca="1" si="9"/>
        <v>89</v>
      </c>
      <c r="S46" s="92" t="s">
        <v>74</v>
      </c>
      <c r="T46" s="93"/>
      <c r="U46" s="94"/>
      <c r="V46" s="92"/>
      <c r="W46" s="95"/>
      <c r="X46" s="114"/>
      <c r="AA46" s="96">
        <f t="shared" si="1"/>
        <v>8</v>
      </c>
      <c r="AB46" s="97">
        <f t="shared" si="2"/>
        <v>16350.312039638085</v>
      </c>
      <c r="AC46" s="97">
        <f t="shared" si="3"/>
        <v>2290.0175225344869</v>
      </c>
      <c r="AE46" s="96">
        <f t="shared" si="4"/>
        <v>8</v>
      </c>
      <c r="AF46" s="97">
        <f>IFERROR(VLOOKUP(AE46,[1]Cálculos_PRICE!$A$32:$K$212,10,0),"")</f>
        <v>16350.312039638085</v>
      </c>
      <c r="AG46" s="97">
        <f>IFERROR(VLOOKUP(AE46,'Cálculos_CGI - SAC FIXA'!A44:K436,10,0),"")</f>
        <v>2290.0175225344869</v>
      </c>
      <c r="AH46" s="97">
        <f>IFERROR(VLOOKUP(AE46,[1]Cálculos_PRICE!$A$32:$K$212,6,0),"")</f>
        <v>1225.5022886964707</v>
      </c>
      <c r="AI46" s="97">
        <f>IFERROR(VLOOKUP(AE46,'Cálculos_CGI - SAC FIXA'!A44:K436,6,0),"")</f>
        <v>555.55555555555554</v>
      </c>
      <c r="AJ46" s="97">
        <f>IFERROR(VLOOKUP(AE46,[1]Cálculos_PRICE!$A$32:$K$240,11,0),"")</f>
        <v>990688.37140675331</v>
      </c>
      <c r="AK46" s="97">
        <f>IFERROR(VLOOKUP(AE46,'Cálculos_CGI - SAC FIXA'!A44:K436,11,0),"")</f>
        <v>195555.5555555555</v>
      </c>
      <c r="AN46" s="157">
        <f t="shared" si="0"/>
        <v>53521.530000000057</v>
      </c>
      <c r="AO46" s="147" t="s">
        <v>127</v>
      </c>
      <c r="AP46" s="147" t="s">
        <v>119</v>
      </c>
      <c r="AQ46" s="148">
        <v>44320</v>
      </c>
      <c r="AR46" s="149">
        <v>248694.35</v>
      </c>
      <c r="AS46" s="150">
        <v>172.82</v>
      </c>
      <c r="AT46" s="150">
        <v>0</v>
      </c>
      <c r="AU46" s="149">
        <v>3208.16</v>
      </c>
      <c r="AV46" s="150">
        <v>77.2</v>
      </c>
      <c r="AW46" s="149">
        <v>3458.18</v>
      </c>
      <c r="AX46" s="151"/>
    </row>
    <row r="47" spans="1:221" ht="15.5" x14ac:dyDescent="0.35">
      <c r="A47" s="98">
        <f t="shared" si="18"/>
        <v>4</v>
      </c>
      <c r="B47" s="99">
        <f t="shared" ca="1" si="10"/>
        <v>46178</v>
      </c>
      <c r="C47" s="100">
        <f t="shared" si="5"/>
        <v>198333.33333333331</v>
      </c>
      <c r="D47" s="100">
        <f t="shared" si="11"/>
        <v>2161.833333333333</v>
      </c>
      <c r="E47" s="100">
        <f t="shared" si="12"/>
        <v>200495.16666666666</v>
      </c>
      <c r="F47" s="100">
        <f t="shared" si="13"/>
        <v>555.55555555555554</v>
      </c>
      <c r="G47" s="100">
        <f t="shared" si="14"/>
        <v>2224.9119669789316</v>
      </c>
      <c r="H47" s="100">
        <f t="shared" si="15"/>
        <v>45.61666666666666</v>
      </c>
      <c r="I47" s="100">
        <f t="shared" si="6"/>
        <v>20</v>
      </c>
      <c r="J47" s="100">
        <f t="shared" si="16"/>
        <v>2290.5286336455983</v>
      </c>
      <c r="K47" s="101">
        <f t="shared" si="17"/>
        <v>197777.77777777775</v>
      </c>
      <c r="O47" s="111">
        <f t="shared" ca="1" si="7"/>
        <v>7.46</v>
      </c>
      <c r="P47" s="112">
        <f t="shared" ca="1" si="8"/>
        <v>31</v>
      </c>
      <c r="Q47" s="113">
        <f t="shared" ca="1" si="9"/>
        <v>120</v>
      </c>
      <c r="S47" s="115" t="s">
        <v>51</v>
      </c>
      <c r="T47" s="116"/>
      <c r="U47" s="83" t="s">
        <v>53</v>
      </c>
      <c r="V47" s="82" t="s">
        <v>44</v>
      </c>
      <c r="AA47" s="96">
        <f t="shared" si="1"/>
        <v>9</v>
      </c>
      <c r="AB47" s="97">
        <f t="shared" si="2"/>
        <v>16350.039487929078</v>
      </c>
      <c r="AC47" s="97">
        <f t="shared" si="3"/>
        <v>2289.8897447567092</v>
      </c>
      <c r="AE47" s="96">
        <f t="shared" si="4"/>
        <v>9</v>
      </c>
      <c r="AF47" s="97">
        <f>IFERROR(VLOOKUP(AE47,[1]Cálculos_PRICE!$A$32:$K$212,10,0),"")</f>
        <v>16350.039487929078</v>
      </c>
      <c r="AG47" s="97">
        <f>IFERROR(VLOOKUP(AE47,'Cálculos_CGI - SAC FIXA'!A45:K437,10,0),"")</f>
        <v>2289.8897447567092</v>
      </c>
      <c r="AH47" s="97">
        <f>IFERROR(VLOOKUP(AE47,[1]Cálculos_PRICE!$A$32:$K$212,6,0),"")</f>
        <v>1243.8848230269177</v>
      </c>
      <c r="AI47" s="97">
        <f>IFERROR(VLOOKUP(AE47,'Cálculos_CGI - SAC FIXA'!A45:K437,6,0),"")</f>
        <v>555.55555555555554</v>
      </c>
      <c r="AJ47" s="97">
        <f>IFERROR(VLOOKUP(AE47,[1]Cálculos_PRICE!$A$32:$K$240,11,0),"")</f>
        <v>989444.48658372636</v>
      </c>
      <c r="AK47" s="97">
        <f>IFERROR(VLOOKUP(AE47,'Cálculos_CGI - SAC FIXA'!A45:K437,11,0),"")</f>
        <v>194999.99999999994</v>
      </c>
      <c r="AN47" s="157">
        <f t="shared" si="0"/>
        <v>53902.035555555631</v>
      </c>
      <c r="AO47" s="152" t="s">
        <v>128</v>
      </c>
      <c r="AP47" s="152" t="s">
        <v>119</v>
      </c>
      <c r="AQ47" s="153">
        <v>44351</v>
      </c>
      <c r="AR47" s="154">
        <v>248521.53</v>
      </c>
      <c r="AS47" s="155">
        <v>175.05</v>
      </c>
      <c r="AT47" s="155">
        <v>0</v>
      </c>
      <c r="AU47" s="154">
        <v>3205.93</v>
      </c>
      <c r="AV47" s="155">
        <v>77.16</v>
      </c>
      <c r="AW47" s="154">
        <v>3458.14</v>
      </c>
      <c r="AX47" s="156"/>
    </row>
    <row r="48" spans="1:221" ht="15.5" x14ac:dyDescent="0.35">
      <c r="A48" s="98">
        <f t="shared" si="18"/>
        <v>5</v>
      </c>
      <c r="B48" s="99">
        <f t="shared" ca="1" si="10"/>
        <v>46208</v>
      </c>
      <c r="C48" s="100">
        <f t="shared" si="5"/>
        <v>197777.77777777775</v>
      </c>
      <c r="D48" s="100">
        <f t="shared" si="11"/>
        <v>2155.7777777777774</v>
      </c>
      <c r="E48" s="100">
        <f t="shared" si="12"/>
        <v>199933.55555555553</v>
      </c>
      <c r="F48" s="100">
        <f t="shared" si="13"/>
        <v>555.55555555555554</v>
      </c>
      <c r="G48" s="100">
        <f t="shared" si="14"/>
        <v>2224.9119669789316</v>
      </c>
      <c r="H48" s="100">
        <f t="shared" si="15"/>
        <v>45.488888888888887</v>
      </c>
      <c r="I48" s="100">
        <f t="shared" si="6"/>
        <v>20</v>
      </c>
      <c r="J48" s="100">
        <f t="shared" si="16"/>
        <v>2290.4008558678206</v>
      </c>
      <c r="K48" s="101">
        <f t="shared" si="17"/>
        <v>197222.22222222219</v>
      </c>
      <c r="O48" s="111">
        <f t="shared" ca="1" si="7"/>
        <v>9.32</v>
      </c>
      <c r="P48" s="112">
        <f t="shared" ca="1" si="8"/>
        <v>30</v>
      </c>
      <c r="Q48" s="113">
        <f t="shared" ca="1" si="9"/>
        <v>150</v>
      </c>
      <c r="S48" s="114">
        <v>18</v>
      </c>
      <c r="T48" s="114">
        <v>25</v>
      </c>
      <c r="U48" s="117">
        <v>2.3000000000000001E-4</v>
      </c>
      <c r="V48" s="114" t="s">
        <v>75</v>
      </c>
      <c r="AA48" s="96">
        <f t="shared" si="1"/>
        <v>10</v>
      </c>
      <c r="AB48" s="97">
        <f t="shared" si="2"/>
        <v>16349.762847944437</v>
      </c>
      <c r="AC48" s="97">
        <f t="shared" si="3"/>
        <v>2289.7619669789315</v>
      </c>
      <c r="AE48" s="96">
        <f t="shared" si="4"/>
        <v>10</v>
      </c>
      <c r="AF48" s="97">
        <f>IFERROR(VLOOKUP(AE48,[1]Cálculos_PRICE!$A$32:$K$212,10,0),"")</f>
        <v>16349.762847944437</v>
      </c>
      <c r="AG48" s="97">
        <f>IFERROR(VLOOKUP(AE48,'Cálculos_CGI - SAC FIXA'!A46:K438,10,0),"")</f>
        <v>2289.7619669789315</v>
      </c>
      <c r="AH48" s="97">
        <f>IFERROR(VLOOKUP(AE48,[1]Cálculos_PRICE!$A$32:$K$212,6,0),"")</f>
        <v>1262.5430953723226</v>
      </c>
      <c r="AI48" s="97">
        <f>IFERROR(VLOOKUP(AE48,'Cálculos_CGI - SAC FIXA'!A46:K438,6,0),"")</f>
        <v>555.55555555555554</v>
      </c>
      <c r="AJ48" s="97">
        <f>IFERROR(VLOOKUP(AE48,[1]Cálculos_PRICE!$A$32:$K$240,11,0),"")</f>
        <v>988181.9434883541</v>
      </c>
      <c r="AK48" s="97">
        <f>IFERROR(VLOOKUP(AE48,'Cálculos_CGI - SAC FIXA'!A46:K438,11,0),"")</f>
        <v>194444.44444444438</v>
      </c>
      <c r="AN48" s="157">
        <f t="shared" si="0"/>
        <v>54280.281111111195</v>
      </c>
      <c r="AO48" s="147" t="s">
        <v>129</v>
      </c>
      <c r="AP48" s="147" t="s">
        <v>119</v>
      </c>
      <c r="AQ48" s="148">
        <v>44381</v>
      </c>
      <c r="AR48" s="149">
        <v>248346.48</v>
      </c>
      <c r="AS48" s="150">
        <v>177.31</v>
      </c>
      <c r="AT48" s="150">
        <v>0</v>
      </c>
      <c r="AU48" s="149">
        <v>3203.67</v>
      </c>
      <c r="AV48" s="150">
        <v>77.12</v>
      </c>
      <c r="AW48" s="149">
        <v>3458.1</v>
      </c>
      <c r="AX48" s="151"/>
    </row>
    <row r="49" spans="1:50" ht="15.5" x14ac:dyDescent="0.35">
      <c r="A49" s="98">
        <f t="shared" si="18"/>
        <v>6</v>
      </c>
      <c r="B49" s="99">
        <f t="shared" ca="1" si="10"/>
        <v>46239</v>
      </c>
      <c r="C49" s="100">
        <f t="shared" si="5"/>
        <v>197222.22222222219</v>
      </c>
      <c r="D49" s="100">
        <f t="shared" si="11"/>
        <v>2149.7222222222217</v>
      </c>
      <c r="E49" s="100">
        <f t="shared" si="12"/>
        <v>199371.94444444441</v>
      </c>
      <c r="F49" s="100">
        <f t="shared" si="13"/>
        <v>555.55555555555554</v>
      </c>
      <c r="G49" s="100">
        <f t="shared" si="14"/>
        <v>2224.9119669789316</v>
      </c>
      <c r="H49" s="100">
        <f t="shared" si="15"/>
        <v>45.361111111111107</v>
      </c>
      <c r="I49" s="100">
        <f t="shared" si="6"/>
        <v>20</v>
      </c>
      <c r="J49" s="100">
        <f t="shared" si="16"/>
        <v>2290.2730780900429</v>
      </c>
      <c r="K49" s="101">
        <f t="shared" si="17"/>
        <v>196666.66666666663</v>
      </c>
      <c r="O49" s="111">
        <f t="shared" ca="1" si="7"/>
        <v>11.25</v>
      </c>
      <c r="P49" s="112">
        <f t="shared" ca="1" si="8"/>
        <v>31</v>
      </c>
      <c r="Q49" s="113">
        <f t="shared" ca="1" si="9"/>
        <v>181</v>
      </c>
      <c r="S49" s="114">
        <v>26</v>
      </c>
      <c r="T49" s="114">
        <v>30</v>
      </c>
      <c r="U49" s="117">
        <v>2.3000000000000001E-4</v>
      </c>
      <c r="V49" s="114" t="s">
        <v>76</v>
      </c>
      <c r="AA49" s="96">
        <f t="shared" si="1"/>
        <v>11</v>
      </c>
      <c r="AB49" s="97">
        <f t="shared" si="2"/>
        <v>16349.482058360027</v>
      </c>
      <c r="AC49" s="97">
        <f t="shared" si="3"/>
        <v>2289.6341892011537</v>
      </c>
      <c r="AE49" s="96">
        <f t="shared" si="4"/>
        <v>11</v>
      </c>
      <c r="AF49" s="97">
        <f>IFERROR(VLOOKUP(AE49,[1]Cálculos_PRICE!$A$32:$K$212,10,0),"")</f>
        <v>16349.482058360027</v>
      </c>
      <c r="AG49" s="97">
        <f>IFERROR(VLOOKUP(AE49,'Cálculos_CGI - SAC FIXA'!A47:K439,10,0),"")</f>
        <v>2289.6341892011537</v>
      </c>
      <c r="AH49" s="97">
        <f>IFERROR(VLOOKUP(AE49,[1]Cálculos_PRICE!$A$32:$K$212,6,0),"")</f>
        <v>1281.4812418029051</v>
      </c>
      <c r="AI49" s="97">
        <f>IFERROR(VLOOKUP(AE49,'Cálculos_CGI - SAC FIXA'!A47:K439,6,0),"")</f>
        <v>555.55555555555554</v>
      </c>
      <c r="AJ49" s="97">
        <f>IFERROR(VLOOKUP(AE49,[1]Cálculos_PRICE!$A$32:$K$240,11,0),"")</f>
        <v>986900.46224655118</v>
      </c>
      <c r="AK49" s="97">
        <f>IFERROR(VLOOKUP(AE49,'Cálculos_CGI - SAC FIXA'!A47:K439,11,0),"")</f>
        <v>193888.88888888882</v>
      </c>
      <c r="AN49" s="157">
        <f t="shared" si="0"/>
        <v>54656.236666666751</v>
      </c>
      <c r="AO49" s="152" t="s">
        <v>130</v>
      </c>
      <c r="AP49" s="152" t="s">
        <v>119</v>
      </c>
      <c r="AQ49" s="153">
        <v>44412</v>
      </c>
      <c r="AR49" s="154">
        <v>248169.17</v>
      </c>
      <c r="AS49" s="155">
        <v>179.6</v>
      </c>
      <c r="AT49" s="155">
        <v>0</v>
      </c>
      <c r="AU49" s="154">
        <v>3201.38</v>
      </c>
      <c r="AV49" s="155">
        <v>77.08</v>
      </c>
      <c r="AW49" s="154">
        <v>3458.06</v>
      </c>
      <c r="AX49" s="156"/>
    </row>
    <row r="50" spans="1:50" ht="15.5" x14ac:dyDescent="0.35">
      <c r="A50" s="98">
        <f t="shared" si="18"/>
        <v>7</v>
      </c>
      <c r="B50" s="99">
        <f t="shared" ca="1" si="10"/>
        <v>46270</v>
      </c>
      <c r="C50" s="100">
        <f t="shared" si="5"/>
        <v>196666.66666666663</v>
      </c>
      <c r="D50" s="100">
        <f t="shared" si="11"/>
        <v>2143.6666666666661</v>
      </c>
      <c r="E50" s="100">
        <f t="shared" si="12"/>
        <v>198810.33333333328</v>
      </c>
      <c r="F50" s="100">
        <f t="shared" si="13"/>
        <v>555.55555555555554</v>
      </c>
      <c r="G50" s="100">
        <f t="shared" si="14"/>
        <v>2224.9119669789316</v>
      </c>
      <c r="H50" s="100">
        <f t="shared" si="15"/>
        <v>45.233333333333327</v>
      </c>
      <c r="I50" s="100">
        <f t="shared" si="6"/>
        <v>20</v>
      </c>
      <c r="J50" s="100">
        <f t="shared" si="16"/>
        <v>2290.1453003122647</v>
      </c>
      <c r="K50" s="101">
        <f t="shared" si="17"/>
        <v>196111.11111111107</v>
      </c>
      <c r="O50" s="111">
        <f t="shared" ca="1" si="7"/>
        <v>13.17</v>
      </c>
      <c r="P50" s="112">
        <f t="shared" ca="1" si="8"/>
        <v>31</v>
      </c>
      <c r="Q50" s="113">
        <f t="shared" ca="1" si="9"/>
        <v>212</v>
      </c>
      <c r="S50" s="114">
        <v>31</v>
      </c>
      <c r="T50" s="114">
        <v>35</v>
      </c>
      <c r="U50" s="117">
        <v>2.3000000000000001E-4</v>
      </c>
      <c r="V50" s="114" t="s">
        <v>77</v>
      </c>
      <c r="AA50" s="96">
        <f t="shared" si="1"/>
        <v>12</v>
      </c>
      <c r="AB50" s="97">
        <f t="shared" si="2"/>
        <v>16349.197056931849</v>
      </c>
      <c r="AC50" s="97">
        <f t="shared" si="3"/>
        <v>2289.506411423376</v>
      </c>
      <c r="AE50" s="96">
        <f t="shared" si="4"/>
        <v>12</v>
      </c>
      <c r="AF50" s="97">
        <f>IFERROR(VLOOKUP(AE50,[1]Cálculos_PRICE!$A$32:$K$212,10,0),"")</f>
        <v>16349.197056931849</v>
      </c>
      <c r="AG50" s="97">
        <f>IFERROR(VLOOKUP(AE50,'Cálculos_CGI - SAC FIXA'!A48:K440,10,0),"")</f>
        <v>2289.506411423376</v>
      </c>
      <c r="AH50" s="97">
        <f>IFERROR(VLOOKUP(AE50,[1]Cálculos_PRICE!$A$32:$K$212,6,0),"")</f>
        <v>1300.7034604299497</v>
      </c>
      <c r="AI50" s="97">
        <f>IFERROR(VLOOKUP(AE50,'Cálculos_CGI - SAC FIXA'!A48:K440,6,0),"")</f>
        <v>555.55555555555554</v>
      </c>
      <c r="AJ50" s="97">
        <f>IFERROR(VLOOKUP(AE50,[1]Cálculos_PRICE!$A$32:$K$240,11,0),"")</f>
        <v>985599.75878612127</v>
      </c>
      <c r="AK50" s="97">
        <f>IFERROR(VLOOKUP(AE50,'Cálculos_CGI - SAC FIXA'!A48:K440,11,0),"")</f>
        <v>193333.33333333326</v>
      </c>
      <c r="AN50" s="157">
        <f t="shared" si="0"/>
        <v>55029.88222222231</v>
      </c>
      <c r="AO50" s="147" t="s">
        <v>131</v>
      </c>
      <c r="AP50" s="147" t="s">
        <v>119</v>
      </c>
      <c r="AQ50" s="148">
        <v>44443</v>
      </c>
      <c r="AR50" s="149">
        <v>247989.57</v>
      </c>
      <c r="AS50" s="150">
        <v>181.91</v>
      </c>
      <c r="AT50" s="150">
        <v>0</v>
      </c>
      <c r="AU50" s="149">
        <v>3199.07</v>
      </c>
      <c r="AV50" s="150">
        <v>77.040000000000006</v>
      </c>
      <c r="AW50" s="149">
        <v>3458.02</v>
      </c>
      <c r="AX50" s="151"/>
    </row>
    <row r="51" spans="1:50" ht="15.5" x14ac:dyDescent="0.35">
      <c r="A51" s="98">
        <f t="shared" si="18"/>
        <v>8</v>
      </c>
      <c r="B51" s="99">
        <f t="shared" ca="1" si="10"/>
        <v>46300</v>
      </c>
      <c r="C51" s="100">
        <f t="shared" si="5"/>
        <v>196111.11111111107</v>
      </c>
      <c r="D51" s="100">
        <f t="shared" si="11"/>
        <v>2137.6111111111104</v>
      </c>
      <c r="E51" s="100">
        <f t="shared" si="12"/>
        <v>198248.72222222219</v>
      </c>
      <c r="F51" s="100">
        <f t="shared" si="13"/>
        <v>555.55555555555554</v>
      </c>
      <c r="G51" s="100">
        <f t="shared" si="14"/>
        <v>2224.9119669789316</v>
      </c>
      <c r="H51" s="100">
        <f t="shared" si="15"/>
        <v>45.105555555555547</v>
      </c>
      <c r="I51" s="100">
        <f t="shared" si="6"/>
        <v>20</v>
      </c>
      <c r="J51" s="100">
        <f t="shared" si="16"/>
        <v>2290.0175225344869</v>
      </c>
      <c r="K51" s="101">
        <f t="shared" si="17"/>
        <v>195555.5555555555</v>
      </c>
      <c r="O51" s="111">
        <f t="shared" ca="1" si="7"/>
        <v>15.04</v>
      </c>
      <c r="P51" s="112">
        <f t="shared" ca="1" si="8"/>
        <v>30</v>
      </c>
      <c r="Q51" s="113">
        <f t="shared" ca="1" si="9"/>
        <v>242</v>
      </c>
      <c r="S51" s="114">
        <v>36</v>
      </c>
      <c r="T51" s="114">
        <v>40</v>
      </c>
      <c r="U51" s="117">
        <v>2.3000000000000001E-4</v>
      </c>
      <c r="V51" s="114" t="s">
        <v>78</v>
      </c>
      <c r="AA51" s="96">
        <f t="shared" si="1"/>
        <v>13</v>
      </c>
      <c r="AB51" s="97">
        <f t="shared" si="2"/>
        <v>16348.90778048225</v>
      </c>
      <c r="AC51" s="97">
        <f t="shared" si="3"/>
        <v>2289.3786336455983</v>
      </c>
      <c r="AE51" s="96">
        <f t="shared" si="4"/>
        <v>13</v>
      </c>
      <c r="AF51" s="97">
        <f>IFERROR(VLOOKUP(AE51,[1]Cálculos_PRICE!$A$32:$K$212,10,0),"")</f>
        <v>16348.90778048225</v>
      </c>
      <c r="AG51" s="97">
        <f>IFERROR(VLOOKUP(AE51,'Cálculos_CGI - SAC FIXA'!A49:K441,10,0),"")</f>
        <v>2289.3786336455983</v>
      </c>
      <c r="AH51" s="97">
        <f>IFERROR(VLOOKUP(AE51,[1]Cálculos_PRICE!$A$32:$K$212,6,0),"")</f>
        <v>1320.2140123363988</v>
      </c>
      <c r="AI51" s="97">
        <f>IFERROR(VLOOKUP(AE51,'Cálculos_CGI - SAC FIXA'!A49:K441,6,0),"")</f>
        <v>555.55555555555554</v>
      </c>
      <c r="AJ51" s="97">
        <f>IFERROR(VLOOKUP(AE51,[1]Cálculos_PRICE!$A$32:$K$240,11,0),"")</f>
        <v>984279.54477378482</v>
      </c>
      <c r="AK51" s="97">
        <f>IFERROR(VLOOKUP(AE51,'Cálculos_CGI - SAC FIXA'!A49:K441,11,0),"")</f>
        <v>192777.77777777769</v>
      </c>
      <c r="AN51" s="157">
        <f t="shared" si="0"/>
        <v>55401.177777777863</v>
      </c>
      <c r="AO51" s="152" t="s">
        <v>132</v>
      </c>
      <c r="AP51" s="152" t="s">
        <v>119</v>
      </c>
      <c r="AQ51" s="153">
        <v>44473</v>
      </c>
      <c r="AR51" s="154">
        <v>247807.66</v>
      </c>
      <c r="AS51" s="155">
        <v>184.26</v>
      </c>
      <c r="AT51" s="155">
        <v>0</v>
      </c>
      <c r="AU51" s="154">
        <v>3196.72</v>
      </c>
      <c r="AV51" s="155">
        <v>77</v>
      </c>
      <c r="AW51" s="154">
        <v>3457.98</v>
      </c>
      <c r="AX51" s="156"/>
    </row>
    <row r="52" spans="1:50" ht="15.5" x14ac:dyDescent="0.35">
      <c r="A52" s="98">
        <f t="shared" si="18"/>
        <v>9</v>
      </c>
      <c r="B52" s="99">
        <f t="shared" ca="1" si="10"/>
        <v>46331</v>
      </c>
      <c r="C52" s="100">
        <f t="shared" si="5"/>
        <v>195555.5555555555</v>
      </c>
      <c r="D52" s="100">
        <f t="shared" si="11"/>
        <v>2131.5555555555552</v>
      </c>
      <c r="E52" s="100">
        <f t="shared" si="12"/>
        <v>197687.11111111107</v>
      </c>
      <c r="F52" s="100">
        <f t="shared" si="13"/>
        <v>555.55555555555554</v>
      </c>
      <c r="G52" s="100">
        <f t="shared" si="14"/>
        <v>2224.9119669789316</v>
      </c>
      <c r="H52" s="100">
        <f t="shared" si="15"/>
        <v>44.977777777777767</v>
      </c>
      <c r="I52" s="100">
        <f t="shared" si="6"/>
        <v>20</v>
      </c>
      <c r="J52" s="100">
        <f t="shared" si="16"/>
        <v>2289.8897447567092</v>
      </c>
      <c r="K52" s="101">
        <f t="shared" si="17"/>
        <v>194999.99999999994</v>
      </c>
      <c r="O52" s="111">
        <f t="shared" ca="1" si="7"/>
        <v>16.96</v>
      </c>
      <c r="P52" s="112">
        <f t="shared" ca="1" si="8"/>
        <v>31</v>
      </c>
      <c r="Q52" s="113">
        <f t="shared" ca="1" si="9"/>
        <v>273</v>
      </c>
      <c r="S52" s="114">
        <v>41</v>
      </c>
      <c r="T52" s="114">
        <v>50</v>
      </c>
      <c r="U52" s="117">
        <v>2.3000000000000001E-4</v>
      </c>
      <c r="V52" s="114" t="s">
        <v>79</v>
      </c>
      <c r="AA52" s="96">
        <f t="shared" si="1"/>
        <v>14</v>
      </c>
      <c r="AB52" s="97">
        <f t="shared" si="2"/>
        <v>16348.614164885907</v>
      </c>
      <c r="AC52" s="97">
        <f t="shared" si="3"/>
        <v>2289.2508558678205</v>
      </c>
      <c r="AE52" s="96">
        <f t="shared" si="4"/>
        <v>14</v>
      </c>
      <c r="AF52" s="97">
        <f>IFERROR(VLOOKUP(AE52,[1]Cálculos_PRICE!$A$32:$K$212,10,0),"")</f>
        <v>16348.614164885907</v>
      </c>
      <c r="AG52" s="97">
        <f>IFERROR(VLOOKUP(AE52,'Cálculos_CGI - SAC FIXA'!A50:K442,10,0),"")</f>
        <v>2289.2508558678205</v>
      </c>
      <c r="AH52" s="97">
        <f>IFERROR(VLOOKUP(AE52,[1]Cálculos_PRICE!$A$32:$K$212,6,0),"")</f>
        <v>1340.0172225214446</v>
      </c>
      <c r="AI52" s="97">
        <f>IFERROR(VLOOKUP(AE52,'Cálculos_CGI - SAC FIXA'!A50:K442,6,0),"")</f>
        <v>555.55555555555554</v>
      </c>
      <c r="AJ52" s="97">
        <f>IFERROR(VLOOKUP(AE52,[1]Cálculos_PRICE!$A$32:$K$240,11,0),"")</f>
        <v>982939.52755126334</v>
      </c>
      <c r="AK52" s="97">
        <f>IFERROR(VLOOKUP(AE52,'Cálculos_CGI - SAC FIXA'!A50:K442,11,0),"")</f>
        <v>192222.22222222213</v>
      </c>
      <c r="AN52" s="157">
        <f t="shared" si="0"/>
        <v>55770.09333333344</v>
      </c>
      <c r="AO52" s="147" t="s">
        <v>133</v>
      </c>
      <c r="AP52" s="147" t="s">
        <v>119</v>
      </c>
      <c r="AQ52" s="148">
        <v>44504</v>
      </c>
      <c r="AR52" s="149">
        <v>247623.4</v>
      </c>
      <c r="AS52" s="150">
        <v>186.64</v>
      </c>
      <c r="AT52" s="150">
        <v>0</v>
      </c>
      <c r="AU52" s="149">
        <v>3194.34</v>
      </c>
      <c r="AV52" s="150">
        <v>76.95</v>
      </c>
      <c r="AW52" s="149">
        <v>3457.93</v>
      </c>
      <c r="AX52" s="151"/>
    </row>
    <row r="53" spans="1:50" ht="15.5" x14ac:dyDescent="0.35">
      <c r="A53" s="98">
        <f t="shared" si="18"/>
        <v>10</v>
      </c>
      <c r="B53" s="99">
        <f t="shared" ca="1" si="10"/>
        <v>46361</v>
      </c>
      <c r="C53" s="100">
        <f t="shared" si="5"/>
        <v>194999.99999999994</v>
      </c>
      <c r="D53" s="100">
        <f t="shared" si="11"/>
        <v>2125.4999999999995</v>
      </c>
      <c r="E53" s="100">
        <f t="shared" si="12"/>
        <v>197125.49999999994</v>
      </c>
      <c r="F53" s="100">
        <f t="shared" si="13"/>
        <v>555.55555555555554</v>
      </c>
      <c r="G53" s="100">
        <f t="shared" si="14"/>
        <v>2224.9119669789316</v>
      </c>
      <c r="H53" s="100">
        <f t="shared" si="15"/>
        <v>44.849999999999987</v>
      </c>
      <c r="I53" s="100">
        <f t="shared" si="6"/>
        <v>20</v>
      </c>
      <c r="J53" s="100">
        <f t="shared" si="16"/>
        <v>2289.7619669789315</v>
      </c>
      <c r="K53" s="101">
        <f t="shared" si="17"/>
        <v>194444.44444444438</v>
      </c>
      <c r="O53" s="111">
        <f t="shared" ca="1" si="7"/>
        <v>18.82</v>
      </c>
      <c r="P53" s="112">
        <f t="shared" ca="1" si="8"/>
        <v>30</v>
      </c>
      <c r="Q53" s="113">
        <f t="shared" ca="1" si="9"/>
        <v>303</v>
      </c>
      <c r="S53" s="114">
        <v>51</v>
      </c>
      <c r="T53" s="114">
        <v>60</v>
      </c>
      <c r="U53" s="117">
        <v>2.3000000000000001E-4</v>
      </c>
      <c r="V53" s="114" t="s">
        <v>80</v>
      </c>
      <c r="AA53" s="96">
        <f t="shared" si="1"/>
        <v>15</v>
      </c>
      <c r="AB53" s="97">
        <f t="shared" si="2"/>
        <v>16348.316145055618</v>
      </c>
      <c r="AC53" s="97">
        <f t="shared" si="3"/>
        <v>2289.1230780900428</v>
      </c>
      <c r="AE53" s="96">
        <f t="shared" si="4"/>
        <v>15</v>
      </c>
      <c r="AF53" s="97">
        <f>IFERROR(VLOOKUP(AE53,[1]Cálculos_PRICE!$A$32:$K$212,10,0),"")</f>
        <v>16348.316145055618</v>
      </c>
      <c r="AG53" s="97">
        <f>IFERROR(VLOOKUP(AE53,'Cálculos_CGI - SAC FIXA'!A51:K443,10,0),"")</f>
        <v>2289.1230780900428</v>
      </c>
      <c r="AH53" s="97">
        <f>IFERROR(VLOOKUP(AE53,[1]Cálculos_PRICE!$A$32:$K$212,6,0),"")</f>
        <v>1360.1174808592677</v>
      </c>
      <c r="AI53" s="97">
        <f>IFERROR(VLOOKUP(AE53,'Cálculos_CGI - SAC FIXA'!A51:K443,6,0),"")</f>
        <v>555.55555555555554</v>
      </c>
      <c r="AJ53" s="97">
        <f>IFERROR(VLOOKUP(AE53,[1]Cálculos_PRICE!$A$32:$K$240,11,0),"")</f>
        <v>981579.41007040406</v>
      </c>
      <c r="AK53" s="97">
        <f>IFERROR(VLOOKUP(AE53,'Cálculos_CGI - SAC FIXA'!A51:K443,11,0),"")</f>
        <v>191666.66666666657</v>
      </c>
      <c r="AN53" s="157">
        <f t="shared" si="0"/>
        <v>56136.598888888984</v>
      </c>
      <c r="AO53" s="152" t="s">
        <v>134</v>
      </c>
      <c r="AP53" s="152" t="s">
        <v>119</v>
      </c>
      <c r="AQ53" s="153">
        <v>44534</v>
      </c>
      <c r="AR53" s="154">
        <v>247436.76</v>
      </c>
      <c r="AS53" s="155">
        <v>189.05</v>
      </c>
      <c r="AT53" s="155">
        <v>0</v>
      </c>
      <c r="AU53" s="154">
        <v>3191.93</v>
      </c>
      <c r="AV53" s="155">
        <v>76.91</v>
      </c>
      <c r="AW53" s="154">
        <v>3457.89</v>
      </c>
      <c r="AX53" s="156"/>
    </row>
    <row r="54" spans="1:50" ht="15.5" x14ac:dyDescent="0.35">
      <c r="A54" s="98">
        <f t="shared" si="18"/>
        <v>11</v>
      </c>
      <c r="B54" s="99">
        <f t="shared" ca="1" si="10"/>
        <v>46392</v>
      </c>
      <c r="C54" s="100">
        <f t="shared" si="5"/>
        <v>194444.44444444438</v>
      </c>
      <c r="D54" s="100">
        <f t="shared" si="11"/>
        <v>2119.4444444444439</v>
      </c>
      <c r="E54" s="100">
        <f t="shared" si="12"/>
        <v>196563.88888888882</v>
      </c>
      <c r="F54" s="100">
        <f t="shared" si="13"/>
        <v>555.55555555555554</v>
      </c>
      <c r="G54" s="100">
        <f t="shared" si="14"/>
        <v>2224.9119669789316</v>
      </c>
      <c r="H54" s="100">
        <f t="shared" si="15"/>
        <v>44.722222222222207</v>
      </c>
      <c r="I54" s="100">
        <f t="shared" si="6"/>
        <v>20</v>
      </c>
      <c r="J54" s="100">
        <f t="shared" si="16"/>
        <v>2289.6341892011537</v>
      </c>
      <c r="K54" s="101">
        <f t="shared" si="17"/>
        <v>193888.88888888882</v>
      </c>
      <c r="O54" s="111">
        <f t="shared" ca="1" si="7"/>
        <v>20.75</v>
      </c>
      <c r="P54" s="112">
        <f t="shared" ca="1" si="8"/>
        <v>31</v>
      </c>
      <c r="Q54" s="113">
        <f t="shared" ca="1" si="9"/>
        <v>334</v>
      </c>
      <c r="S54" s="114">
        <v>61</v>
      </c>
      <c r="T54" s="114">
        <v>70</v>
      </c>
      <c r="U54" s="117">
        <v>2.3000000000000001E-4</v>
      </c>
      <c r="V54" s="114" t="s">
        <v>81</v>
      </c>
      <c r="AA54" s="96">
        <f t="shared" si="1"/>
        <v>16</v>
      </c>
      <c r="AB54" s="97">
        <f t="shared" si="2"/>
        <v>16348.013654927874</v>
      </c>
      <c r="AC54" s="97">
        <f t="shared" si="3"/>
        <v>2288.995300312265</v>
      </c>
      <c r="AE54" s="96">
        <f t="shared" si="4"/>
        <v>16</v>
      </c>
      <c r="AF54" s="97">
        <f>IFERROR(VLOOKUP(AE54,[1]Cálculos_PRICE!$A$32:$K$212,10,0),"")</f>
        <v>16348.013654927874</v>
      </c>
      <c r="AG54" s="97">
        <f>IFERROR(VLOOKUP(AE54,'Cálculos_CGI - SAC FIXA'!A52:K444,10,0),"")</f>
        <v>2288.995300312265</v>
      </c>
      <c r="AH54" s="97">
        <f>IFERROR(VLOOKUP(AE54,[1]Cálculos_PRICE!$A$32:$K$212,6,0),"")</f>
        <v>1380.5192430721563</v>
      </c>
      <c r="AI54" s="97">
        <f>IFERROR(VLOOKUP(AE54,'Cálculos_CGI - SAC FIXA'!A52:K444,6,0),"")</f>
        <v>555.55555555555554</v>
      </c>
      <c r="AJ54" s="97">
        <f>IFERROR(VLOOKUP(AE54,[1]Cálculos_PRICE!$A$32:$K$240,11,0),"")</f>
        <v>980198.89082733192</v>
      </c>
      <c r="AK54" s="97">
        <f>IFERROR(VLOOKUP(AE54,'Cálculos_CGI - SAC FIXA'!A52:K444,11,0),"")</f>
        <v>191111.11111111101</v>
      </c>
      <c r="AN54" s="157">
        <f t="shared" si="0"/>
        <v>56500.674444444565</v>
      </c>
      <c r="AO54" s="147" t="s">
        <v>135</v>
      </c>
      <c r="AP54" s="147" t="s">
        <v>119</v>
      </c>
      <c r="AQ54" s="148">
        <v>44565</v>
      </c>
      <c r="AR54" s="149">
        <v>247247.71</v>
      </c>
      <c r="AS54" s="150">
        <v>191.48</v>
      </c>
      <c r="AT54" s="150">
        <v>0</v>
      </c>
      <c r="AU54" s="149">
        <v>3189.5</v>
      </c>
      <c r="AV54" s="150">
        <v>76.87</v>
      </c>
      <c r="AW54" s="149">
        <v>3457.85</v>
      </c>
      <c r="AX54" s="151"/>
    </row>
    <row r="55" spans="1:50" ht="15.5" x14ac:dyDescent="0.35">
      <c r="A55" s="98">
        <f t="shared" si="18"/>
        <v>12</v>
      </c>
      <c r="B55" s="99">
        <f t="shared" ca="1" si="10"/>
        <v>46423</v>
      </c>
      <c r="C55" s="100">
        <f t="shared" si="5"/>
        <v>193888.88888888882</v>
      </c>
      <c r="D55" s="100">
        <f t="shared" si="11"/>
        <v>2113.3888888888882</v>
      </c>
      <c r="E55" s="100">
        <f t="shared" si="12"/>
        <v>196002.27777777769</v>
      </c>
      <c r="F55" s="100">
        <f t="shared" si="13"/>
        <v>555.55555555555554</v>
      </c>
      <c r="G55" s="100">
        <f t="shared" si="14"/>
        <v>2224.9119669789316</v>
      </c>
      <c r="H55" s="100">
        <f t="shared" si="15"/>
        <v>44.594444444444427</v>
      </c>
      <c r="I55" s="100">
        <f t="shared" si="6"/>
        <v>20</v>
      </c>
      <c r="J55" s="100">
        <f t="shared" si="16"/>
        <v>2289.506411423376</v>
      </c>
      <c r="K55" s="101">
        <f t="shared" si="17"/>
        <v>193333.33333333326</v>
      </c>
      <c r="O55" s="111">
        <f t="shared" ca="1" si="7"/>
        <v>22.680000000000003</v>
      </c>
      <c r="P55" s="112">
        <f t="shared" ca="1" si="8"/>
        <v>31</v>
      </c>
      <c r="Q55" s="113">
        <f t="shared" ca="1" si="9"/>
        <v>365</v>
      </c>
      <c r="S55" s="114">
        <v>71</v>
      </c>
      <c r="T55" s="114">
        <v>75</v>
      </c>
      <c r="U55" s="117">
        <v>2.3000000000000001E-4</v>
      </c>
      <c r="V55" s="114" t="s">
        <v>82</v>
      </c>
      <c r="AA55" s="96">
        <f t="shared" si="1"/>
        <v>17</v>
      </c>
      <c r="AB55" s="97">
        <f t="shared" si="2"/>
        <v>16347.706627448215</v>
      </c>
      <c r="AC55" s="97">
        <f t="shared" si="3"/>
        <v>2288.8675225344873</v>
      </c>
      <c r="AE55" s="96">
        <f t="shared" si="4"/>
        <v>17</v>
      </c>
      <c r="AF55" s="97">
        <f>IFERROR(VLOOKUP(AE55,[1]Cálculos_PRICE!$A$32:$K$212,10,0),"")</f>
        <v>16347.706627448215</v>
      </c>
      <c r="AG55" s="97">
        <f>IFERROR(VLOOKUP(AE55,'Cálculos_CGI - SAC FIXA'!A53:K445,10,0),"")</f>
        <v>2288.8675225344873</v>
      </c>
      <c r="AH55" s="97">
        <f>IFERROR(VLOOKUP(AE55,[1]Cálculos_PRICE!$A$32:$K$212,6,0),"")</f>
        <v>1401.2270317182374</v>
      </c>
      <c r="AI55" s="97">
        <f>IFERROR(VLOOKUP(AE55,'Cálculos_CGI - SAC FIXA'!A53:K445,6,0),"")</f>
        <v>555.55555555555554</v>
      </c>
      <c r="AJ55" s="97">
        <f>IFERROR(VLOOKUP(AE55,[1]Cálculos_PRICE!$A$32:$K$240,11,0),"")</f>
        <v>978797.66379561368</v>
      </c>
      <c r="AK55" s="97">
        <f>IFERROR(VLOOKUP(AE55,'Cálculos_CGI - SAC FIXA'!A53:K445,11,0),"")</f>
        <v>190555.55555555545</v>
      </c>
      <c r="AN55" s="157">
        <f t="shared" si="0"/>
        <v>56862.280000000115</v>
      </c>
      <c r="AO55" s="152" t="s">
        <v>136</v>
      </c>
      <c r="AP55" s="152" t="s">
        <v>119</v>
      </c>
      <c r="AQ55" s="153">
        <v>44596</v>
      </c>
      <c r="AR55" s="154">
        <v>247056.23</v>
      </c>
      <c r="AS55" s="155">
        <v>193.95</v>
      </c>
      <c r="AT55" s="155">
        <v>0</v>
      </c>
      <c r="AU55" s="154">
        <v>3187.03</v>
      </c>
      <c r="AV55" s="155">
        <v>76.819999999999993</v>
      </c>
      <c r="AW55" s="154">
        <v>3457.8</v>
      </c>
      <c r="AX55" s="156"/>
    </row>
    <row r="56" spans="1:50" ht="15.5" x14ac:dyDescent="0.35">
      <c r="A56" s="98">
        <f t="shared" si="18"/>
        <v>13</v>
      </c>
      <c r="B56" s="99">
        <f t="shared" ca="1" si="10"/>
        <v>46451</v>
      </c>
      <c r="C56" s="100">
        <f t="shared" si="5"/>
        <v>193333.33333333326</v>
      </c>
      <c r="D56" s="100">
        <f t="shared" si="11"/>
        <v>2107.3333333333326</v>
      </c>
      <c r="E56" s="100">
        <f t="shared" si="12"/>
        <v>195440.6666666666</v>
      </c>
      <c r="F56" s="100">
        <f t="shared" si="13"/>
        <v>555.55555555555554</v>
      </c>
      <c r="G56" s="100">
        <f t="shared" si="14"/>
        <v>2224.9119669789316</v>
      </c>
      <c r="H56" s="100">
        <f t="shared" si="15"/>
        <v>44.466666666666647</v>
      </c>
      <c r="I56" s="100">
        <f t="shared" si="6"/>
        <v>20</v>
      </c>
      <c r="J56" s="100">
        <f t="shared" si="16"/>
        <v>2289.3786336455983</v>
      </c>
      <c r="K56" s="101">
        <f t="shared" si="17"/>
        <v>192777.77777777769</v>
      </c>
      <c r="O56" s="118">
        <f t="shared" ref="O56:O119" si="19">IFERROR(F56*$O$39,0)</f>
        <v>16.666666666666664</v>
      </c>
      <c r="P56" s="119">
        <f t="shared" ca="1" si="8"/>
        <v>28</v>
      </c>
      <c r="Q56" s="120">
        <v>365</v>
      </c>
      <c r="S56" s="114">
        <v>76</v>
      </c>
      <c r="T56" s="114">
        <v>80.400000000000006</v>
      </c>
      <c r="U56" s="117">
        <v>2.3000000000000001E-4</v>
      </c>
      <c r="V56" s="114" t="s">
        <v>83</v>
      </c>
      <c r="AA56" s="96">
        <f t="shared" si="1"/>
        <v>18</v>
      </c>
      <c r="AB56" s="97">
        <f t="shared" si="2"/>
        <v>16347.394994556362</v>
      </c>
      <c r="AC56" s="97">
        <f t="shared" si="3"/>
        <v>2288.7397447567091</v>
      </c>
      <c r="AE56" s="96">
        <f t="shared" si="4"/>
        <v>18</v>
      </c>
      <c r="AF56" s="97">
        <f>IFERROR(VLOOKUP(AE56,[1]Cálculos_PRICE!$A$32:$K$212,10,0),"")</f>
        <v>16347.394994556362</v>
      </c>
      <c r="AG56" s="97">
        <f>IFERROR(VLOOKUP(AE56,'Cálculos_CGI - SAC FIXA'!A54:K446,10,0),"")</f>
        <v>2288.7397447567091</v>
      </c>
      <c r="AH56" s="97">
        <f>IFERROR(VLOOKUP(AE56,[1]Cálculos_PRICE!$A$32:$K$212,6,0),"")</f>
        <v>1422.2454371940112</v>
      </c>
      <c r="AI56" s="97">
        <f>IFERROR(VLOOKUP(AE56,'Cálculos_CGI - SAC FIXA'!A54:K446,6,0),"")</f>
        <v>555.55555555555554</v>
      </c>
      <c r="AJ56" s="97">
        <f>IFERROR(VLOOKUP(AE56,[1]Cálculos_PRICE!$A$32:$K$240,11,0),"")</f>
        <v>977375.41835841967</v>
      </c>
      <c r="AK56" s="97">
        <f>IFERROR(VLOOKUP(AE56,'Cálculos_CGI - SAC FIXA'!A54:K446,11,0),"")</f>
        <v>189999.99999999988</v>
      </c>
      <c r="AN56" s="157">
        <f t="shared" si="0"/>
        <v>57221.375555555685</v>
      </c>
      <c r="AO56" s="147" t="s">
        <v>137</v>
      </c>
      <c r="AP56" s="147" t="s">
        <v>119</v>
      </c>
      <c r="AQ56" s="148">
        <v>44624</v>
      </c>
      <c r="AR56" s="149">
        <v>246862.28</v>
      </c>
      <c r="AS56" s="150">
        <v>196.46</v>
      </c>
      <c r="AT56" s="150">
        <v>0</v>
      </c>
      <c r="AU56" s="149">
        <v>3184.52</v>
      </c>
      <c r="AV56" s="150">
        <v>76.78</v>
      </c>
      <c r="AW56" s="149">
        <v>3457.76</v>
      </c>
      <c r="AX56" s="151"/>
    </row>
    <row r="57" spans="1:50" ht="15.5" x14ac:dyDescent="0.35">
      <c r="A57" s="98">
        <f t="shared" si="18"/>
        <v>14</v>
      </c>
      <c r="B57" s="99">
        <f t="shared" ca="1" si="10"/>
        <v>46482</v>
      </c>
      <c r="C57" s="100">
        <f t="shared" si="5"/>
        <v>192777.77777777769</v>
      </c>
      <c r="D57" s="100">
        <f t="shared" si="11"/>
        <v>2101.2777777777769</v>
      </c>
      <c r="E57" s="100">
        <f t="shared" si="12"/>
        <v>194879.05555555547</v>
      </c>
      <c r="F57" s="100">
        <f t="shared" si="13"/>
        <v>555.55555555555554</v>
      </c>
      <c r="G57" s="100">
        <f t="shared" si="14"/>
        <v>2224.9119669789316</v>
      </c>
      <c r="H57" s="100">
        <f t="shared" si="15"/>
        <v>44.338888888888874</v>
      </c>
      <c r="I57" s="100">
        <f t="shared" si="6"/>
        <v>20</v>
      </c>
      <c r="J57" s="100">
        <f t="shared" si="16"/>
        <v>2289.2508558678205</v>
      </c>
      <c r="K57" s="101">
        <f t="shared" si="17"/>
        <v>192222.22222222213</v>
      </c>
      <c r="O57" s="118">
        <f t="shared" si="19"/>
        <v>16.666666666666664</v>
      </c>
      <c r="P57" s="119">
        <f t="shared" ca="1" si="8"/>
        <v>31</v>
      </c>
      <c r="Q57" s="120">
        <v>365</v>
      </c>
      <c r="AA57" s="96">
        <f t="shared" si="1"/>
        <v>19</v>
      </c>
      <c r="AB57" s="97">
        <f t="shared" si="2"/>
        <v>16347.07868717113</v>
      </c>
      <c r="AC57" s="97">
        <f t="shared" si="3"/>
        <v>2288.6119669789314</v>
      </c>
      <c r="AE57" s="96">
        <f t="shared" si="4"/>
        <v>19</v>
      </c>
      <c r="AF57" s="97">
        <f>IFERROR(VLOOKUP(AE57,[1]Cálculos_PRICE!$A$32:$K$212,10,0),"")</f>
        <v>16347.07868717113</v>
      </c>
      <c r="AG57" s="97">
        <f>IFERROR(VLOOKUP(AE57,'Cálculos_CGI - SAC FIXA'!A55:K447,10,0),"")</f>
        <v>2288.6119669789314</v>
      </c>
      <c r="AH57" s="97">
        <f>IFERROR(VLOOKUP(AE57,[1]Cálculos_PRICE!$A$32:$K$212,6,0),"")</f>
        <v>1443.5791187519226</v>
      </c>
      <c r="AI57" s="97">
        <f>IFERROR(VLOOKUP(AE57,'Cálculos_CGI - SAC FIXA'!A55:K447,6,0),"")</f>
        <v>555.55555555555554</v>
      </c>
      <c r="AJ57" s="97">
        <f>IFERROR(VLOOKUP(AE57,[1]Cálculos_PRICE!$A$32:$K$240,11,0),"")</f>
        <v>975931.83923966775</v>
      </c>
      <c r="AK57" s="97">
        <f>IFERROR(VLOOKUP(AE57,'Cálculos_CGI - SAC FIXA'!A55:K447,11,0),"")</f>
        <v>189444.44444444432</v>
      </c>
      <c r="AN57" s="157">
        <f t="shared" si="0"/>
        <v>57577.941111111228</v>
      </c>
      <c r="AO57" s="152" t="s">
        <v>138</v>
      </c>
      <c r="AP57" s="152" t="s">
        <v>119</v>
      </c>
      <c r="AQ57" s="153">
        <v>44655</v>
      </c>
      <c r="AR57" s="154">
        <v>246665.82</v>
      </c>
      <c r="AS57" s="155">
        <v>198.99</v>
      </c>
      <c r="AT57" s="155">
        <v>0</v>
      </c>
      <c r="AU57" s="154">
        <v>3181.99</v>
      </c>
      <c r="AV57" s="155">
        <v>76.73</v>
      </c>
      <c r="AW57" s="154">
        <v>3457.71</v>
      </c>
      <c r="AX57" s="156"/>
    </row>
    <row r="58" spans="1:50" ht="15.5" x14ac:dyDescent="0.35">
      <c r="A58" s="98">
        <f t="shared" si="18"/>
        <v>15</v>
      </c>
      <c r="B58" s="99">
        <f t="shared" ca="1" si="10"/>
        <v>46512</v>
      </c>
      <c r="C58" s="100">
        <f t="shared" si="5"/>
        <v>192222.22222222213</v>
      </c>
      <c r="D58" s="100">
        <f t="shared" si="11"/>
        <v>2095.2222222222213</v>
      </c>
      <c r="E58" s="100">
        <f t="shared" si="12"/>
        <v>194317.44444444435</v>
      </c>
      <c r="F58" s="100">
        <f t="shared" si="13"/>
        <v>555.55555555555554</v>
      </c>
      <c r="G58" s="100">
        <f t="shared" si="14"/>
        <v>2224.9119669789316</v>
      </c>
      <c r="H58" s="100">
        <f t="shared" si="15"/>
        <v>44.211111111111094</v>
      </c>
      <c r="I58" s="100">
        <f t="shared" si="6"/>
        <v>20</v>
      </c>
      <c r="J58" s="100">
        <f t="shared" si="16"/>
        <v>2289.1230780900428</v>
      </c>
      <c r="K58" s="101">
        <f t="shared" si="17"/>
        <v>191666.66666666657</v>
      </c>
      <c r="O58" s="118">
        <f t="shared" si="19"/>
        <v>16.666666666666664</v>
      </c>
      <c r="P58" s="119">
        <f t="shared" ca="1" si="8"/>
        <v>30</v>
      </c>
      <c r="Q58" s="120">
        <v>365</v>
      </c>
      <c r="S58" s="121" t="s">
        <v>84</v>
      </c>
      <c r="T58" s="121"/>
      <c r="U58" s="121"/>
      <c r="V58" s="121"/>
      <c r="W58" s="121"/>
      <c r="AA58" s="96">
        <f t="shared" si="1"/>
        <v>20</v>
      </c>
      <c r="AB58" s="97">
        <f t="shared" si="2"/>
        <v>16346.75763517512</v>
      </c>
      <c r="AC58" s="97">
        <f t="shared" si="3"/>
        <v>2288.4841892011536</v>
      </c>
      <c r="AE58" s="96">
        <f t="shared" si="4"/>
        <v>20</v>
      </c>
      <c r="AF58" s="97">
        <f>IFERROR(VLOOKUP(AE58,[1]Cálculos_PRICE!$A$32:$K$212,10,0),"")</f>
        <v>16346.75763517512</v>
      </c>
      <c r="AG58" s="97">
        <f>IFERROR(VLOOKUP(AE58,'Cálculos_CGI - SAC FIXA'!A56:K448,10,0),"")</f>
        <v>2288.4841892011536</v>
      </c>
      <c r="AH58" s="97">
        <f>IFERROR(VLOOKUP(AE58,[1]Cálculos_PRICE!$A$32:$K$212,6,0),"")</f>
        <v>1465.2328055332</v>
      </c>
      <c r="AI58" s="97">
        <f>IFERROR(VLOOKUP(AE58,'Cálculos_CGI - SAC FIXA'!A56:K448,6,0),"")</f>
        <v>555.55555555555554</v>
      </c>
      <c r="AJ58" s="97">
        <f>IFERROR(VLOOKUP(AE58,[1]Cálculos_PRICE!$A$32:$K$240,11,0),"")</f>
        <v>974466.60643413453</v>
      </c>
      <c r="AK58" s="97">
        <f>IFERROR(VLOOKUP(AE58,'Cálculos_CGI - SAC FIXA'!A56:K448,11,0),"")</f>
        <v>188888.88888888876</v>
      </c>
      <c r="AN58" s="157">
        <f t="shared" si="0"/>
        <v>57931.936666666792</v>
      </c>
      <c r="AO58" s="147" t="s">
        <v>139</v>
      </c>
      <c r="AP58" s="147" t="s">
        <v>119</v>
      </c>
      <c r="AQ58" s="148">
        <v>44685</v>
      </c>
      <c r="AR58" s="149">
        <v>246466.83</v>
      </c>
      <c r="AS58" s="150">
        <v>201.56</v>
      </c>
      <c r="AT58" s="150">
        <v>0</v>
      </c>
      <c r="AU58" s="149">
        <v>3179.42</v>
      </c>
      <c r="AV58" s="150">
        <v>76.69</v>
      </c>
      <c r="AW58" s="149">
        <v>3457.67</v>
      </c>
      <c r="AX58" s="151"/>
    </row>
    <row r="59" spans="1:50" ht="15.5" x14ac:dyDescent="0.35">
      <c r="A59" s="98">
        <f t="shared" si="18"/>
        <v>16</v>
      </c>
      <c r="B59" s="99">
        <f t="shared" ca="1" si="10"/>
        <v>46543</v>
      </c>
      <c r="C59" s="100">
        <f t="shared" si="5"/>
        <v>191666.66666666657</v>
      </c>
      <c r="D59" s="100">
        <f t="shared" si="11"/>
        <v>2089.1666666666656</v>
      </c>
      <c r="E59" s="100">
        <f t="shared" si="12"/>
        <v>193755.83333333323</v>
      </c>
      <c r="F59" s="100">
        <f t="shared" si="13"/>
        <v>555.55555555555554</v>
      </c>
      <c r="G59" s="100">
        <f t="shared" si="14"/>
        <v>2224.9119669789316</v>
      </c>
      <c r="H59" s="100">
        <f t="shared" si="15"/>
        <v>44.083333333333314</v>
      </c>
      <c r="I59" s="100">
        <f t="shared" si="6"/>
        <v>20</v>
      </c>
      <c r="J59" s="100">
        <f t="shared" si="16"/>
        <v>2288.995300312265</v>
      </c>
      <c r="K59" s="101">
        <f t="shared" si="17"/>
        <v>191111.11111111101</v>
      </c>
      <c r="O59" s="118">
        <f t="shared" si="19"/>
        <v>16.666666666666664</v>
      </c>
      <c r="P59" s="119">
        <f t="shared" ca="1" si="8"/>
        <v>31</v>
      </c>
      <c r="Q59" s="120">
        <v>365</v>
      </c>
      <c r="S59" s="122" t="s">
        <v>85</v>
      </c>
      <c r="T59" s="122"/>
      <c r="U59" s="122"/>
      <c r="V59" s="122"/>
      <c r="W59" s="122"/>
      <c r="X59" s="121" t="s">
        <v>86</v>
      </c>
      <c r="Y59" s="121" t="s">
        <v>5</v>
      </c>
      <c r="AA59" s="96">
        <f t="shared" si="1"/>
        <v>21</v>
      </c>
      <c r="AB59" s="97">
        <f t="shared" si="2"/>
        <v>16346.431767399168</v>
      </c>
      <c r="AC59" s="97">
        <f t="shared" si="3"/>
        <v>2288.3564114233759</v>
      </c>
      <c r="AE59" s="96">
        <f t="shared" si="4"/>
        <v>21</v>
      </c>
      <c r="AF59" s="97">
        <f>IFERROR(VLOOKUP(AE59,[1]Cálculos_PRICE!$A$32:$K$212,10,0),"")</f>
        <v>16346.431767399168</v>
      </c>
      <c r="AG59" s="97">
        <f>IFERROR(VLOOKUP(AE59,'Cálculos_CGI - SAC FIXA'!A57:K449,10,0),"")</f>
        <v>2288.3564114233759</v>
      </c>
      <c r="AH59" s="97">
        <f>IFERROR(VLOOKUP(AE59,[1]Cálculos_PRICE!$A$32:$K$212,6,0),"")</f>
        <v>1487.2112976161989</v>
      </c>
      <c r="AI59" s="97">
        <f>IFERROR(VLOOKUP(AE59,'Cálculos_CGI - SAC FIXA'!A57:K449,6,0),"")</f>
        <v>555.55555555555554</v>
      </c>
      <c r="AJ59" s="97">
        <f>IFERROR(VLOOKUP(AE59,[1]Cálculos_PRICE!$A$32:$K$240,11,0),"")</f>
        <v>972979.39513651829</v>
      </c>
      <c r="AK59" s="97">
        <f>IFERROR(VLOOKUP(AE59,'Cálculos_CGI - SAC FIXA'!A57:K449,11,0),"")</f>
        <v>188333.3333333332</v>
      </c>
      <c r="AN59" s="157">
        <f t="shared" si="0"/>
        <v>58283.332222222351</v>
      </c>
      <c r="AO59" s="152" t="s">
        <v>140</v>
      </c>
      <c r="AP59" s="152" t="s">
        <v>119</v>
      </c>
      <c r="AQ59" s="153">
        <v>44716</v>
      </c>
      <c r="AR59" s="154">
        <v>246265.27</v>
      </c>
      <c r="AS59" s="155">
        <v>204.16</v>
      </c>
      <c r="AT59" s="155">
        <v>0</v>
      </c>
      <c r="AU59" s="154">
        <v>3176.82</v>
      </c>
      <c r="AV59" s="155">
        <v>76.64</v>
      </c>
      <c r="AW59" s="154">
        <v>3457.62</v>
      </c>
      <c r="AX59" s="156"/>
    </row>
    <row r="60" spans="1:50" ht="15.5" x14ac:dyDescent="0.35">
      <c r="A60" s="98">
        <f t="shared" si="18"/>
        <v>17</v>
      </c>
      <c r="B60" s="99">
        <f t="shared" ca="1" si="10"/>
        <v>46573</v>
      </c>
      <c r="C60" s="100">
        <f t="shared" si="5"/>
        <v>191111.11111111101</v>
      </c>
      <c r="D60" s="100">
        <f t="shared" si="11"/>
        <v>2083.1111111111099</v>
      </c>
      <c r="E60" s="100">
        <f t="shared" si="12"/>
        <v>193194.22222222213</v>
      </c>
      <c r="F60" s="100">
        <f t="shared" si="13"/>
        <v>555.55555555555554</v>
      </c>
      <c r="G60" s="100">
        <f t="shared" si="14"/>
        <v>2224.9119669789316</v>
      </c>
      <c r="H60" s="100">
        <f t="shared" si="15"/>
        <v>43.955555555555534</v>
      </c>
      <c r="I60" s="100">
        <f t="shared" si="6"/>
        <v>20</v>
      </c>
      <c r="J60" s="100">
        <f t="shared" si="16"/>
        <v>2288.8675225344873</v>
      </c>
      <c r="K60" s="101">
        <f t="shared" si="17"/>
        <v>190555.55555555545</v>
      </c>
      <c r="O60" s="118">
        <f t="shared" si="19"/>
        <v>16.666666666666664</v>
      </c>
      <c r="P60" s="119">
        <f t="shared" ca="1" si="8"/>
        <v>30</v>
      </c>
      <c r="Q60" s="120">
        <v>365</v>
      </c>
      <c r="S60" s="133" t="s">
        <v>87</v>
      </c>
      <c r="T60" s="133"/>
      <c r="U60" s="133"/>
      <c r="V60" s="133"/>
      <c r="W60" s="133"/>
      <c r="X60" s="10" t="s">
        <v>88</v>
      </c>
      <c r="Y60" s="10">
        <v>70</v>
      </c>
      <c r="AA60" s="96">
        <f t="shared" si="1"/>
        <v>22</v>
      </c>
      <c r="AB60" s="97">
        <f t="shared" si="2"/>
        <v>16346.101011606579</v>
      </c>
      <c r="AC60" s="97">
        <f t="shared" si="3"/>
        <v>2288.2286336455982</v>
      </c>
      <c r="AE60" s="96">
        <f t="shared" si="4"/>
        <v>22</v>
      </c>
      <c r="AF60" s="97">
        <f>IFERROR(VLOOKUP(AE60,[1]Cálculos_PRICE!$A$32:$K$212,10,0),"")</f>
        <v>16346.101011606579</v>
      </c>
      <c r="AG60" s="97">
        <f>IFERROR(VLOOKUP(AE60,'Cálculos_CGI - SAC FIXA'!A58:K450,10,0),"")</f>
        <v>2288.2286336455982</v>
      </c>
      <c r="AH60" s="97">
        <f>IFERROR(VLOOKUP(AE60,[1]Cálculos_PRICE!$A$32:$K$212,6,0),"")</f>
        <v>1509.5194670804431</v>
      </c>
      <c r="AI60" s="97">
        <f>IFERROR(VLOOKUP(AE60,'Cálculos_CGI - SAC FIXA'!A58:K450,6,0),"")</f>
        <v>555.55555555555554</v>
      </c>
      <c r="AJ60" s="97">
        <f>IFERROR(VLOOKUP(AE60,[1]Cálculos_PRICE!$A$32:$K$240,11,0),"")</f>
        <v>971469.87566943781</v>
      </c>
      <c r="AK60" s="97">
        <f>IFERROR(VLOOKUP(AE60,'Cálculos_CGI - SAC FIXA'!A58:K450,11,0),"")</f>
        <v>187777.77777777764</v>
      </c>
      <c r="AN60" s="157">
        <f t="shared" si="0"/>
        <v>58632.097777777934</v>
      </c>
      <c r="AO60" s="147" t="s">
        <v>141</v>
      </c>
      <c r="AP60" s="147" t="s">
        <v>119</v>
      </c>
      <c r="AQ60" s="148">
        <v>44746</v>
      </c>
      <c r="AR60" s="149">
        <v>246061.11</v>
      </c>
      <c r="AS60" s="150">
        <v>206.79</v>
      </c>
      <c r="AT60" s="150">
        <v>0</v>
      </c>
      <c r="AU60" s="149">
        <v>3174.19</v>
      </c>
      <c r="AV60" s="150">
        <v>76.59</v>
      </c>
      <c r="AW60" s="149">
        <v>3457.57</v>
      </c>
      <c r="AX60" s="151"/>
    </row>
    <row r="61" spans="1:50" ht="15.5" x14ac:dyDescent="0.35">
      <c r="A61" s="98">
        <f t="shared" si="18"/>
        <v>18</v>
      </c>
      <c r="B61" s="99">
        <f t="shared" ca="1" si="10"/>
        <v>46604</v>
      </c>
      <c r="C61" s="100">
        <f t="shared" si="5"/>
        <v>190555.55555555545</v>
      </c>
      <c r="D61" s="100">
        <f t="shared" si="11"/>
        <v>2077.0555555555543</v>
      </c>
      <c r="E61" s="100">
        <f t="shared" si="12"/>
        <v>192632.61111111101</v>
      </c>
      <c r="F61" s="100">
        <f t="shared" si="13"/>
        <v>555.55555555555554</v>
      </c>
      <c r="G61" s="100">
        <f t="shared" si="14"/>
        <v>2224.9119669789316</v>
      </c>
      <c r="H61" s="100">
        <f t="shared" si="15"/>
        <v>43.827777777777754</v>
      </c>
      <c r="I61" s="100">
        <f t="shared" si="6"/>
        <v>20</v>
      </c>
      <c r="J61" s="100">
        <f t="shared" si="16"/>
        <v>2288.7397447567091</v>
      </c>
      <c r="K61" s="101">
        <f t="shared" si="17"/>
        <v>189999.99999999988</v>
      </c>
      <c r="O61" s="118">
        <f t="shared" si="19"/>
        <v>16.666666666666664</v>
      </c>
      <c r="P61" s="119">
        <f t="shared" ca="1" si="8"/>
        <v>31</v>
      </c>
      <c r="Q61" s="120">
        <v>365</v>
      </c>
      <c r="S61" s="133" t="s">
        <v>89</v>
      </c>
      <c r="T61" s="133"/>
      <c r="U61" s="133"/>
      <c r="V61" s="133"/>
      <c r="W61" s="133"/>
      <c r="X61" s="10" t="s">
        <v>88</v>
      </c>
      <c r="Y61" s="134">
        <v>70</v>
      </c>
      <c r="AA61" s="96">
        <f t="shared" si="1"/>
        <v>23</v>
      </c>
      <c r="AB61" s="97">
        <f t="shared" si="2"/>
        <v>16345.7652944771</v>
      </c>
      <c r="AC61" s="97">
        <f t="shared" si="3"/>
        <v>2288.1008558678204</v>
      </c>
      <c r="AE61" s="96">
        <f t="shared" si="4"/>
        <v>23</v>
      </c>
      <c r="AF61" s="97">
        <f>IFERROR(VLOOKUP(AE61,[1]Cálculos_PRICE!$A$32:$K$212,10,0),"")</f>
        <v>16345.7652944771</v>
      </c>
      <c r="AG61" s="97">
        <f>IFERROR(VLOOKUP(AE61,'Cálculos_CGI - SAC FIXA'!A59:K451,10,0),"")</f>
        <v>2288.1008558678204</v>
      </c>
      <c r="AH61" s="97">
        <f>IFERROR(VLOOKUP(AE61,[1]Cálculos_PRICE!$A$32:$K$212,6,0),"")</f>
        <v>1532.16225908665</v>
      </c>
      <c r="AI61" s="97">
        <f>IFERROR(VLOOKUP(AE61,'Cálculos_CGI - SAC FIXA'!A59:K451,6,0),"")</f>
        <v>555.55555555555554</v>
      </c>
      <c r="AJ61" s="97">
        <f>IFERROR(VLOOKUP(AE61,[1]Cálculos_PRICE!$A$32:$K$240,11,0),"")</f>
        <v>969937.71341035119</v>
      </c>
      <c r="AK61" s="97">
        <f>IFERROR(VLOOKUP(AE61,'Cálculos_CGI - SAC FIXA'!A59:K451,11,0),"")</f>
        <v>187222.22222222207</v>
      </c>
      <c r="AN61" s="157">
        <f t="shared" si="0"/>
        <v>58978.193333333475</v>
      </c>
      <c r="AO61" s="152" t="s">
        <v>142</v>
      </c>
      <c r="AP61" s="152" t="s">
        <v>119</v>
      </c>
      <c r="AQ61" s="153">
        <v>44777</v>
      </c>
      <c r="AR61" s="154">
        <v>245854.32</v>
      </c>
      <c r="AS61" s="155">
        <v>209.46</v>
      </c>
      <c r="AT61" s="155">
        <v>0</v>
      </c>
      <c r="AU61" s="154">
        <v>3171.52</v>
      </c>
      <c r="AV61" s="155">
        <v>76.55</v>
      </c>
      <c r="AW61" s="154">
        <v>3457.53</v>
      </c>
      <c r="AX61" s="156"/>
    </row>
    <row r="62" spans="1:50" ht="15.5" x14ac:dyDescent="0.35">
      <c r="A62" s="98">
        <f t="shared" si="18"/>
        <v>19</v>
      </c>
      <c r="B62" s="99">
        <f t="shared" ca="1" si="10"/>
        <v>46635</v>
      </c>
      <c r="C62" s="100">
        <f t="shared" si="5"/>
        <v>189999.99999999988</v>
      </c>
      <c r="D62" s="100">
        <f t="shared" si="11"/>
        <v>2070.9999999999986</v>
      </c>
      <c r="E62" s="100">
        <f t="shared" si="12"/>
        <v>192070.99999999988</v>
      </c>
      <c r="F62" s="100">
        <f t="shared" si="13"/>
        <v>555.55555555555554</v>
      </c>
      <c r="G62" s="100">
        <f t="shared" si="14"/>
        <v>2224.9119669789316</v>
      </c>
      <c r="H62" s="100">
        <f t="shared" si="15"/>
        <v>43.699999999999974</v>
      </c>
      <c r="I62" s="100">
        <f t="shared" si="6"/>
        <v>20</v>
      </c>
      <c r="J62" s="100">
        <f t="shared" si="16"/>
        <v>2288.6119669789314</v>
      </c>
      <c r="K62" s="101">
        <f t="shared" si="17"/>
        <v>189444.44444444432</v>
      </c>
      <c r="O62" s="118">
        <f t="shared" si="19"/>
        <v>16.666666666666664</v>
      </c>
      <c r="P62" s="119">
        <f t="shared" ca="1" si="8"/>
        <v>31</v>
      </c>
      <c r="Q62" s="120">
        <v>365</v>
      </c>
      <c r="S62" s="133" t="s">
        <v>90</v>
      </c>
      <c r="T62" s="133"/>
      <c r="U62" s="133"/>
      <c r="V62" s="133"/>
      <c r="W62" s="133"/>
      <c r="X62" s="135" t="s">
        <v>91</v>
      </c>
      <c r="Y62" s="134">
        <v>50</v>
      </c>
      <c r="AA62" s="96">
        <f t="shared" si="1"/>
        <v>24</v>
      </c>
      <c r="AB62" s="97">
        <f t="shared" si="2"/>
        <v>16345.424541590679</v>
      </c>
      <c r="AC62" s="97">
        <f t="shared" si="3"/>
        <v>2287.9730780900427</v>
      </c>
      <c r="AE62" s="96">
        <f t="shared" si="4"/>
        <v>24</v>
      </c>
      <c r="AF62" s="97">
        <f>IFERROR(VLOOKUP(AE62,[1]Cálculos_PRICE!$A$32:$K$212,10,0),"")</f>
        <v>16345.424541590679</v>
      </c>
      <c r="AG62" s="97">
        <f>IFERROR(VLOOKUP(AE62,'Cálculos_CGI - SAC FIXA'!A60:K452,10,0),"")</f>
        <v>2287.9730780900427</v>
      </c>
      <c r="AH62" s="97">
        <f>IFERROR(VLOOKUP(AE62,[1]Cálculos_PRICE!$A$32:$K$212,6,0),"")</f>
        <v>1555.14469297295</v>
      </c>
      <c r="AI62" s="97">
        <f>IFERROR(VLOOKUP(AE62,'Cálculos_CGI - SAC FIXA'!A60:K452,6,0),"")</f>
        <v>555.55555555555554</v>
      </c>
      <c r="AJ62" s="97">
        <f>IFERROR(VLOOKUP(AE62,[1]Cálculos_PRICE!$A$32:$K$240,11,0),"")</f>
        <v>968382.56871737819</v>
      </c>
      <c r="AK62" s="97">
        <f>IFERROR(VLOOKUP(AE62,'Cálculos_CGI - SAC FIXA'!A60:K452,11,0),"")</f>
        <v>186666.66666666651</v>
      </c>
      <c r="AN62" s="157">
        <f t="shared" si="0"/>
        <v>59321.588888889062</v>
      </c>
      <c r="AO62" s="147" t="s">
        <v>143</v>
      </c>
      <c r="AP62" s="147" t="s">
        <v>119</v>
      </c>
      <c r="AQ62" s="148">
        <v>44808</v>
      </c>
      <c r="AR62" s="149">
        <v>245644.86</v>
      </c>
      <c r="AS62" s="150">
        <v>212.16</v>
      </c>
      <c r="AT62" s="150">
        <v>0</v>
      </c>
      <c r="AU62" s="149">
        <v>3168.82</v>
      </c>
      <c r="AV62" s="150">
        <v>76.5</v>
      </c>
      <c r="AW62" s="149">
        <v>3457.48</v>
      </c>
      <c r="AX62" s="151"/>
    </row>
    <row r="63" spans="1:50" ht="15.5" x14ac:dyDescent="0.35">
      <c r="A63" s="98">
        <f t="shared" si="18"/>
        <v>20</v>
      </c>
      <c r="B63" s="99">
        <f t="shared" ca="1" si="10"/>
        <v>46665</v>
      </c>
      <c r="C63" s="100">
        <f t="shared" si="5"/>
        <v>189444.44444444432</v>
      </c>
      <c r="D63" s="100">
        <f t="shared" si="11"/>
        <v>2064.944444444443</v>
      </c>
      <c r="E63" s="100">
        <f t="shared" si="12"/>
        <v>191509.38888888876</v>
      </c>
      <c r="F63" s="100">
        <f t="shared" si="13"/>
        <v>555.55555555555554</v>
      </c>
      <c r="G63" s="100">
        <f t="shared" si="14"/>
        <v>2224.9119669789316</v>
      </c>
      <c r="H63" s="100">
        <f t="shared" si="15"/>
        <v>43.572222222222194</v>
      </c>
      <c r="I63" s="100">
        <f t="shared" si="6"/>
        <v>20</v>
      </c>
      <c r="J63" s="100">
        <f t="shared" si="16"/>
        <v>2288.4841892011536</v>
      </c>
      <c r="K63" s="101">
        <f t="shared" si="17"/>
        <v>188888.88888888876</v>
      </c>
      <c r="O63" s="118">
        <f t="shared" si="19"/>
        <v>16.666666666666664</v>
      </c>
      <c r="P63" s="119">
        <f t="shared" ca="1" si="8"/>
        <v>30</v>
      </c>
      <c r="Q63" s="120">
        <v>365</v>
      </c>
      <c r="S63" s="133" t="s">
        <v>92</v>
      </c>
      <c r="T63" s="133"/>
      <c r="U63" s="133"/>
      <c r="V63" s="133"/>
      <c r="W63" s="133"/>
      <c r="X63" s="135" t="s">
        <v>91</v>
      </c>
      <c r="Y63" s="134">
        <v>50</v>
      </c>
      <c r="AA63" s="96">
        <f t="shared" si="1"/>
        <v>25</v>
      </c>
      <c r="AB63" s="97">
        <f t="shared" si="2"/>
        <v>16345.078677410962</v>
      </c>
      <c r="AC63" s="97">
        <f t="shared" si="3"/>
        <v>2287.845300312265</v>
      </c>
      <c r="AE63" s="96">
        <f t="shared" si="4"/>
        <v>25</v>
      </c>
      <c r="AF63" s="97">
        <f>IFERROR(VLOOKUP(AE63,[1]Cálculos_PRICE!$A$32:$K$212,10,0),"")</f>
        <v>16345.078677410962</v>
      </c>
      <c r="AG63" s="97">
        <f>IFERROR(VLOOKUP(AE63,'Cálculos_CGI - SAC FIXA'!A61:K453,10,0),"")</f>
        <v>2287.845300312265</v>
      </c>
      <c r="AH63" s="97">
        <f>IFERROR(VLOOKUP(AE63,[1]Cálculos_PRICE!$A$32:$K$212,6,0),"")</f>
        <v>1578.4718633675438</v>
      </c>
      <c r="AI63" s="97">
        <f>IFERROR(VLOOKUP(AE63,'Cálculos_CGI - SAC FIXA'!A61:K453,6,0),"")</f>
        <v>555.55555555555554</v>
      </c>
      <c r="AJ63" s="97">
        <f>IFERROR(VLOOKUP(AE63,[1]Cálculos_PRICE!$A$32:$K$240,11,0),"")</f>
        <v>966804.0968540106</v>
      </c>
      <c r="AK63" s="97">
        <f>IFERROR(VLOOKUP(AE63,'Cálculos_CGI - SAC FIXA'!A61:K453,11,0),"")</f>
        <v>186111.11111111095</v>
      </c>
      <c r="AN63" s="157">
        <f t="shared" si="0"/>
        <v>59662.244444444601</v>
      </c>
      <c r="AO63" s="152" t="s">
        <v>144</v>
      </c>
      <c r="AP63" s="152" t="s">
        <v>119</v>
      </c>
      <c r="AQ63" s="153">
        <v>44838</v>
      </c>
      <c r="AR63" s="154">
        <v>245432.7</v>
      </c>
      <c r="AS63" s="155">
        <v>214.9</v>
      </c>
      <c r="AT63" s="155">
        <v>0</v>
      </c>
      <c r="AU63" s="154">
        <v>3166.08</v>
      </c>
      <c r="AV63" s="155">
        <v>76.45</v>
      </c>
      <c r="AW63" s="154">
        <v>3457.43</v>
      </c>
      <c r="AX63" s="156"/>
    </row>
    <row r="64" spans="1:50" ht="15.5" x14ac:dyDescent="0.35">
      <c r="A64" s="98">
        <f t="shared" si="18"/>
        <v>21</v>
      </c>
      <c r="B64" s="99">
        <f t="shared" ca="1" si="10"/>
        <v>46696</v>
      </c>
      <c r="C64" s="100">
        <f t="shared" si="5"/>
        <v>188888.88888888876</v>
      </c>
      <c r="D64" s="100">
        <f t="shared" si="11"/>
        <v>2058.8888888888873</v>
      </c>
      <c r="E64" s="100">
        <f t="shared" si="12"/>
        <v>190947.77777777764</v>
      </c>
      <c r="F64" s="100">
        <f t="shared" si="13"/>
        <v>555.55555555555554</v>
      </c>
      <c r="G64" s="100">
        <f t="shared" si="14"/>
        <v>2224.9119669789316</v>
      </c>
      <c r="H64" s="100">
        <f t="shared" si="15"/>
        <v>43.444444444444414</v>
      </c>
      <c r="I64" s="100">
        <f t="shared" si="6"/>
        <v>20</v>
      </c>
      <c r="J64" s="100">
        <f t="shared" si="16"/>
        <v>2288.3564114233759</v>
      </c>
      <c r="K64" s="101">
        <f t="shared" si="17"/>
        <v>188333.3333333332</v>
      </c>
      <c r="O64" s="118">
        <f t="shared" si="19"/>
        <v>16.666666666666664</v>
      </c>
      <c r="P64" s="119">
        <f t="shared" ca="1" si="8"/>
        <v>31</v>
      </c>
      <c r="Q64" s="120">
        <v>365</v>
      </c>
      <c r="S64" s="133" t="s">
        <v>93</v>
      </c>
      <c r="T64" s="133"/>
      <c r="U64" s="133"/>
      <c r="V64" s="133"/>
      <c r="W64" s="133"/>
      <c r="X64" s="135" t="s">
        <v>91</v>
      </c>
      <c r="Y64" s="134">
        <v>70</v>
      </c>
      <c r="AA64" s="96">
        <f t="shared" si="1"/>
        <v>26</v>
      </c>
      <c r="AB64" s="97">
        <f t="shared" si="2"/>
        <v>16344.727625268548</v>
      </c>
      <c r="AC64" s="97">
        <f t="shared" si="3"/>
        <v>2287.7175225344872</v>
      </c>
      <c r="AE64" s="96">
        <f t="shared" si="4"/>
        <v>26</v>
      </c>
      <c r="AF64" s="97">
        <f>IFERROR(VLOOKUP(AE64,[1]Cálculos_PRICE!$A$32:$K$212,10,0),"")</f>
        <v>16344.727625268548</v>
      </c>
      <c r="AG64" s="97">
        <f>IFERROR(VLOOKUP(AE64,'Cálculos_CGI - SAC FIXA'!A62:K454,10,0),"")</f>
        <v>2287.7175225344872</v>
      </c>
      <c r="AH64" s="97">
        <f>IFERROR(VLOOKUP(AE64,[1]Cálculos_PRICE!$A$32:$K$212,6,0),"")</f>
        <v>1602.1489413180589</v>
      </c>
      <c r="AI64" s="97">
        <f>IFERROR(VLOOKUP(AE64,'Cálculos_CGI - SAC FIXA'!A62:K454,6,0),"")</f>
        <v>555.55555555555554</v>
      </c>
      <c r="AJ64" s="97">
        <f>IFERROR(VLOOKUP(AE64,[1]Cálculos_PRICE!$A$32:$K$240,11,0),"")</f>
        <v>965201.94791269256</v>
      </c>
      <c r="AK64" s="97">
        <f>IFERROR(VLOOKUP(AE64,'Cálculos_CGI - SAC FIXA'!A62:K454,11,0),"")</f>
        <v>185555.55555555539</v>
      </c>
      <c r="AN64" s="157">
        <f t="shared" si="0"/>
        <v>60000.130000000179</v>
      </c>
      <c r="AO64" s="147" t="s">
        <v>145</v>
      </c>
      <c r="AP64" s="147" t="s">
        <v>119</v>
      </c>
      <c r="AQ64" s="148">
        <v>44869</v>
      </c>
      <c r="AR64" s="149">
        <v>245217.8</v>
      </c>
      <c r="AS64" s="150">
        <v>217.67</v>
      </c>
      <c r="AT64" s="150">
        <v>0</v>
      </c>
      <c r="AU64" s="149">
        <v>3163.31</v>
      </c>
      <c r="AV64" s="150">
        <v>76.400000000000006</v>
      </c>
      <c r="AW64" s="149">
        <v>3457.38</v>
      </c>
      <c r="AX64" s="151"/>
    </row>
    <row r="65" spans="1:50" ht="15.5" x14ac:dyDescent="0.35">
      <c r="A65" s="98">
        <f t="shared" si="18"/>
        <v>22</v>
      </c>
      <c r="B65" s="99">
        <f t="shared" ca="1" si="10"/>
        <v>46726</v>
      </c>
      <c r="C65" s="100">
        <f t="shared" si="5"/>
        <v>188333.3333333332</v>
      </c>
      <c r="D65" s="100">
        <f t="shared" si="11"/>
        <v>2052.8333333333317</v>
      </c>
      <c r="E65" s="100">
        <f t="shared" si="12"/>
        <v>190386.16666666654</v>
      </c>
      <c r="F65" s="100">
        <f t="shared" si="13"/>
        <v>555.55555555555554</v>
      </c>
      <c r="G65" s="100">
        <f t="shared" si="14"/>
        <v>2224.9119669789316</v>
      </c>
      <c r="H65" s="100">
        <f t="shared" si="15"/>
        <v>43.316666666666634</v>
      </c>
      <c r="I65" s="100">
        <f t="shared" si="6"/>
        <v>20</v>
      </c>
      <c r="J65" s="100">
        <f t="shared" si="16"/>
        <v>2288.2286336455982</v>
      </c>
      <c r="K65" s="101">
        <f t="shared" si="17"/>
        <v>187777.77777777764</v>
      </c>
      <c r="O65" s="118">
        <f t="shared" si="19"/>
        <v>16.666666666666664</v>
      </c>
      <c r="P65" s="119">
        <f t="shared" ca="1" si="8"/>
        <v>30</v>
      </c>
      <c r="Q65" s="120">
        <v>365</v>
      </c>
      <c r="S65" s="133" t="s">
        <v>94</v>
      </c>
      <c r="T65" s="133"/>
      <c r="U65" s="133"/>
      <c r="V65" s="133"/>
      <c r="W65" s="133"/>
      <c r="X65" s="10" t="s">
        <v>88</v>
      </c>
      <c r="Y65" s="10">
        <v>70</v>
      </c>
      <c r="Z65" s="136"/>
      <c r="AA65" s="96">
        <f t="shared" si="1"/>
        <v>27</v>
      </c>
      <c r="AB65" s="97">
        <f t="shared" si="2"/>
        <v>16344.371307343999</v>
      </c>
      <c r="AC65" s="97">
        <f t="shared" si="3"/>
        <v>2287.5897447567095</v>
      </c>
      <c r="AE65" s="96">
        <f t="shared" si="4"/>
        <v>27</v>
      </c>
      <c r="AF65" s="97">
        <f>IFERROR(VLOOKUP(AE65,[1]Cálculos_PRICE!$A$32:$K$212,10,0),"")</f>
        <v>16344.371307343999</v>
      </c>
      <c r="AG65" s="97">
        <f>IFERROR(VLOOKUP(AE65,'Cálculos_CGI - SAC FIXA'!A63:K455,10,0),"")</f>
        <v>2287.5897447567095</v>
      </c>
      <c r="AH65" s="97">
        <f>IFERROR(VLOOKUP(AE65,[1]Cálculos_PRICE!$A$32:$K$212,6,0),"")</f>
        <v>1626.1811754378286</v>
      </c>
      <c r="AI65" s="97">
        <f>IFERROR(VLOOKUP(AE65,'Cálculos_CGI - SAC FIXA'!A63:K455,6,0),"")</f>
        <v>555.55555555555554</v>
      </c>
      <c r="AJ65" s="97">
        <f>IFERROR(VLOOKUP(AE65,[1]Cálculos_PRICE!$A$32:$K$240,11,0),"")</f>
        <v>963575.76673725469</v>
      </c>
      <c r="AK65" s="97">
        <f>IFERROR(VLOOKUP(AE65,'Cálculos_CGI - SAC FIXA'!A63:K455,11,0),"")</f>
        <v>184999.99999999983</v>
      </c>
      <c r="AN65" s="157">
        <f t="shared" si="0"/>
        <v>60335.205555555731</v>
      </c>
      <c r="AO65" s="152" t="s">
        <v>146</v>
      </c>
      <c r="AP65" s="152" t="s">
        <v>119</v>
      </c>
      <c r="AQ65" s="153">
        <v>44899</v>
      </c>
      <c r="AR65" s="154">
        <v>245000.13</v>
      </c>
      <c r="AS65" s="155">
        <v>220.48</v>
      </c>
      <c r="AT65" s="155">
        <v>0</v>
      </c>
      <c r="AU65" s="154">
        <v>3160.5</v>
      </c>
      <c r="AV65" s="155">
        <v>76.349999999999994</v>
      </c>
      <c r="AW65" s="154">
        <v>3457.33</v>
      </c>
      <c r="AX65" s="156"/>
    </row>
    <row r="66" spans="1:50" ht="15.5" x14ac:dyDescent="0.35">
      <c r="A66" s="98">
        <f t="shared" si="18"/>
        <v>23</v>
      </c>
      <c r="B66" s="99">
        <f t="shared" ca="1" si="10"/>
        <v>46757</v>
      </c>
      <c r="C66" s="100">
        <f t="shared" si="5"/>
        <v>187777.77777777764</v>
      </c>
      <c r="D66" s="100">
        <f t="shared" si="11"/>
        <v>2046.7777777777762</v>
      </c>
      <c r="E66" s="100">
        <f t="shared" si="12"/>
        <v>189824.55555555542</v>
      </c>
      <c r="F66" s="100">
        <f t="shared" si="13"/>
        <v>555.55555555555554</v>
      </c>
      <c r="G66" s="100">
        <f t="shared" si="14"/>
        <v>2224.9119669789316</v>
      </c>
      <c r="H66" s="100">
        <f t="shared" si="15"/>
        <v>43.188888888888854</v>
      </c>
      <c r="I66" s="100">
        <f t="shared" si="6"/>
        <v>20</v>
      </c>
      <c r="J66" s="100">
        <f t="shared" si="16"/>
        <v>2288.1008558678204</v>
      </c>
      <c r="K66" s="101">
        <f t="shared" si="17"/>
        <v>187222.22222222207</v>
      </c>
      <c r="O66" s="118">
        <f t="shared" si="19"/>
        <v>16.666666666666664</v>
      </c>
      <c r="P66" s="119">
        <f t="shared" ca="1" si="8"/>
        <v>31</v>
      </c>
      <c r="Q66" s="120">
        <v>365</v>
      </c>
      <c r="S66" s="133" t="s">
        <v>95</v>
      </c>
      <c r="T66" s="133"/>
      <c r="U66" s="133"/>
      <c r="V66" s="133"/>
      <c r="W66" s="133"/>
      <c r="X66" s="10" t="s">
        <v>91</v>
      </c>
      <c r="Y66" s="10">
        <v>50</v>
      </c>
      <c r="Z66" s="136"/>
      <c r="AA66" s="96">
        <f t="shared" si="1"/>
        <v>28</v>
      </c>
      <c r="AB66" s="97">
        <f t="shared" si="2"/>
        <v>16344.009644650581</v>
      </c>
      <c r="AC66" s="97">
        <f t="shared" si="3"/>
        <v>2287.4619669789317</v>
      </c>
      <c r="AE66" s="96">
        <f t="shared" si="4"/>
        <v>28</v>
      </c>
      <c r="AF66" s="97">
        <f>IFERROR(VLOOKUP(AE66,[1]Cálculos_PRICE!$A$32:$K$212,10,0),"")</f>
        <v>16344.009644650581</v>
      </c>
      <c r="AG66" s="97">
        <f>IFERROR(VLOOKUP(AE66,'Cálculos_CGI - SAC FIXA'!A64:K456,10,0),"")</f>
        <v>2287.4619669789317</v>
      </c>
      <c r="AH66" s="97">
        <f>IFERROR(VLOOKUP(AE66,[1]Cálculos_PRICE!$A$32:$K$212,6,0),"")</f>
        <v>1650.5738930693969</v>
      </c>
      <c r="AI66" s="97">
        <f>IFERROR(VLOOKUP(AE66,'Cálculos_CGI - SAC FIXA'!A64:K456,6,0),"")</f>
        <v>555.55555555555554</v>
      </c>
      <c r="AJ66" s="97">
        <f>IFERROR(VLOOKUP(AE66,[1]Cálculos_PRICE!$A$32:$K$240,11,0),"")</f>
        <v>961925.19284418528</v>
      </c>
      <c r="AK66" s="97">
        <f>IFERROR(VLOOKUP(AE66,'Cálculos_CGI - SAC FIXA'!A64:K456,11,0),"")</f>
        <v>184444.44444444426</v>
      </c>
      <c r="AN66" s="157">
        <f t="shared" si="0"/>
        <v>60667.441111111286</v>
      </c>
      <c r="AO66" s="147" t="s">
        <v>147</v>
      </c>
      <c r="AP66" s="147" t="s">
        <v>119</v>
      </c>
      <c r="AQ66" s="148">
        <v>44930</v>
      </c>
      <c r="AR66" s="149">
        <v>244779.65</v>
      </c>
      <c r="AS66" s="150">
        <v>223.32</v>
      </c>
      <c r="AT66" s="150">
        <v>0</v>
      </c>
      <c r="AU66" s="149">
        <v>3157.66</v>
      </c>
      <c r="AV66" s="150">
        <v>76.3</v>
      </c>
      <c r="AW66" s="149">
        <v>3457.28</v>
      </c>
      <c r="AX66" s="151"/>
    </row>
    <row r="67" spans="1:50" ht="15.5" x14ac:dyDescent="0.35">
      <c r="A67" s="98">
        <f t="shared" si="18"/>
        <v>24</v>
      </c>
      <c r="B67" s="99">
        <f t="shared" ca="1" si="10"/>
        <v>46788</v>
      </c>
      <c r="C67" s="100">
        <f t="shared" si="5"/>
        <v>187222.22222222207</v>
      </c>
      <c r="D67" s="100">
        <f t="shared" si="11"/>
        <v>2040.7222222222206</v>
      </c>
      <c r="E67" s="100">
        <f t="shared" si="12"/>
        <v>189262.94444444429</v>
      </c>
      <c r="F67" s="100">
        <f t="shared" si="13"/>
        <v>555.55555555555554</v>
      </c>
      <c r="G67" s="100">
        <f t="shared" si="14"/>
        <v>2224.9119669789316</v>
      </c>
      <c r="H67" s="100">
        <f t="shared" si="15"/>
        <v>43.061111111111082</v>
      </c>
      <c r="I67" s="100">
        <f t="shared" si="6"/>
        <v>20</v>
      </c>
      <c r="J67" s="100">
        <f t="shared" si="16"/>
        <v>2287.9730780900427</v>
      </c>
      <c r="K67" s="101">
        <f t="shared" si="17"/>
        <v>186666.66666666651</v>
      </c>
      <c r="O67" s="118">
        <f t="shared" si="19"/>
        <v>16.666666666666664</v>
      </c>
      <c r="P67" s="119">
        <f t="shared" ca="1" si="8"/>
        <v>31</v>
      </c>
      <c r="Q67" s="120">
        <v>365</v>
      </c>
      <c r="S67" s="121" t="s">
        <v>84</v>
      </c>
      <c r="T67" s="121"/>
      <c r="U67" s="121"/>
      <c r="V67" s="121"/>
      <c r="W67" s="121"/>
      <c r="Z67" s="136"/>
      <c r="AA67" s="96">
        <f t="shared" si="1"/>
        <v>29</v>
      </c>
      <c r="AB67" s="97">
        <f t="shared" si="2"/>
        <v>16343.642557016763</v>
      </c>
      <c r="AC67" s="97">
        <f t="shared" si="3"/>
        <v>2287.3341892011535</v>
      </c>
      <c r="AE67" s="96">
        <f t="shared" si="4"/>
        <v>29</v>
      </c>
      <c r="AF67" s="97">
        <f>IFERROR(VLOOKUP(AE67,[1]Cálculos_PRICE!$A$32:$K$212,10,0),"")</f>
        <v>16343.642557016763</v>
      </c>
      <c r="AG67" s="97">
        <f>IFERROR(VLOOKUP(AE67,'Cálculos_CGI - SAC FIXA'!A65:K457,10,0),"")</f>
        <v>2287.3341892011535</v>
      </c>
      <c r="AH67" s="97">
        <f>IFERROR(VLOOKUP(AE67,[1]Cálculos_PRICE!$A$32:$K$212,6,0),"")</f>
        <v>1675.3325014654383</v>
      </c>
      <c r="AI67" s="97">
        <f>IFERROR(VLOOKUP(AE67,'Cálculos_CGI - SAC FIXA'!A65:K457,6,0),"")</f>
        <v>555.55555555555554</v>
      </c>
      <c r="AJ67" s="97">
        <f>IFERROR(VLOOKUP(AE67,[1]Cálculos_PRICE!$A$32:$K$240,11,0),"")</f>
        <v>960249.86034271982</v>
      </c>
      <c r="AK67" s="97">
        <f>IFERROR(VLOOKUP(AE67,'Cálculos_CGI - SAC FIXA'!A65:K457,11,0),"")</f>
        <v>183888.8888888887</v>
      </c>
      <c r="AN67" s="157">
        <f t="shared" si="0"/>
        <v>60996.796666666865</v>
      </c>
      <c r="AO67" s="152" t="s">
        <v>148</v>
      </c>
      <c r="AP67" s="152" t="s">
        <v>119</v>
      </c>
      <c r="AQ67" s="153">
        <v>44961</v>
      </c>
      <c r="AR67" s="154">
        <v>244556.33</v>
      </c>
      <c r="AS67" s="155">
        <v>226.2</v>
      </c>
      <c r="AT67" s="155">
        <v>0</v>
      </c>
      <c r="AU67" s="154">
        <v>3154.78</v>
      </c>
      <c r="AV67" s="155">
        <v>76.25</v>
      </c>
      <c r="AW67" s="154">
        <v>3457.23</v>
      </c>
      <c r="AX67" s="156"/>
    </row>
    <row r="68" spans="1:50" ht="15.5" x14ac:dyDescent="0.35">
      <c r="A68" s="98">
        <f t="shared" si="18"/>
        <v>25</v>
      </c>
      <c r="B68" s="99">
        <f t="shared" ca="1" si="10"/>
        <v>46817</v>
      </c>
      <c r="C68" s="100">
        <f t="shared" si="5"/>
        <v>186666.66666666651</v>
      </c>
      <c r="D68" s="100">
        <f t="shared" si="11"/>
        <v>2034.6666666666649</v>
      </c>
      <c r="E68" s="100">
        <f t="shared" si="12"/>
        <v>188701.33333333317</v>
      </c>
      <c r="F68" s="100">
        <f t="shared" si="13"/>
        <v>555.55555555555554</v>
      </c>
      <c r="G68" s="100">
        <f t="shared" si="14"/>
        <v>2224.9119669789316</v>
      </c>
      <c r="H68" s="100">
        <f t="shared" si="15"/>
        <v>42.933333333333302</v>
      </c>
      <c r="I68" s="100">
        <f t="shared" si="6"/>
        <v>20</v>
      </c>
      <c r="J68" s="100">
        <f t="shared" si="16"/>
        <v>2287.845300312265</v>
      </c>
      <c r="K68" s="101">
        <f t="shared" si="17"/>
        <v>186111.11111111095</v>
      </c>
      <c r="O68" s="118">
        <f t="shared" si="19"/>
        <v>16.666666666666664</v>
      </c>
      <c r="P68" s="119">
        <f t="shared" ca="1" si="8"/>
        <v>29</v>
      </c>
      <c r="Q68" s="120">
        <v>365</v>
      </c>
      <c r="S68" s="122" t="s">
        <v>96</v>
      </c>
      <c r="T68" s="122"/>
      <c r="U68" s="122"/>
      <c r="V68" s="122"/>
      <c r="W68" s="122"/>
      <c r="X68" s="121" t="s">
        <v>86</v>
      </c>
      <c r="Y68" s="121" t="s">
        <v>5</v>
      </c>
      <c r="Z68" s="136"/>
      <c r="AA68" s="96">
        <f t="shared" si="1"/>
        <v>30</v>
      </c>
      <c r="AB68" s="97">
        <f t="shared" si="2"/>
        <v>16343.269963068438</v>
      </c>
      <c r="AC68" s="97">
        <f t="shared" si="3"/>
        <v>2287.2064114233758</v>
      </c>
      <c r="AE68" s="96">
        <f t="shared" si="4"/>
        <v>30</v>
      </c>
      <c r="AF68" s="97">
        <f>IFERROR(VLOOKUP(AE68,[1]Cálculos_PRICE!$A$32:$K$212,10,0),"")</f>
        <v>16343.269963068438</v>
      </c>
      <c r="AG68" s="97">
        <f>IFERROR(VLOOKUP(AE68,'Cálculos_CGI - SAC FIXA'!A66:K458,10,0),"")</f>
        <v>2287.2064114233758</v>
      </c>
      <c r="AH68" s="97">
        <f>IFERROR(VLOOKUP(AE68,[1]Cálculos_PRICE!$A$32:$K$212,6,0),"")</f>
        <v>1700.4624889874194</v>
      </c>
      <c r="AI68" s="97">
        <f>IFERROR(VLOOKUP(AE68,'Cálculos_CGI - SAC FIXA'!A66:K458,6,0),"")</f>
        <v>555.55555555555554</v>
      </c>
      <c r="AJ68" s="97">
        <f>IFERROR(VLOOKUP(AE68,[1]Cálculos_PRICE!$A$32:$K$240,11,0),"")</f>
        <v>958549.39785373246</v>
      </c>
      <c r="AK68" s="97">
        <f>IFERROR(VLOOKUP(AE68,'Cálculos_CGI - SAC FIXA'!A66:K458,11,0),"")</f>
        <v>183333.33333333314</v>
      </c>
      <c r="AN68" s="157">
        <f t="shared" si="0"/>
        <v>61323.232222222432</v>
      </c>
      <c r="AO68" s="147" t="s">
        <v>149</v>
      </c>
      <c r="AP68" s="147" t="s">
        <v>119</v>
      </c>
      <c r="AQ68" s="148">
        <v>44989</v>
      </c>
      <c r="AR68" s="149">
        <v>244330.13</v>
      </c>
      <c r="AS68" s="150">
        <v>229.12</v>
      </c>
      <c r="AT68" s="150">
        <v>0</v>
      </c>
      <c r="AU68" s="149">
        <v>3151.86</v>
      </c>
      <c r="AV68" s="150">
        <v>76.2</v>
      </c>
      <c r="AW68" s="149">
        <v>3457.18</v>
      </c>
      <c r="AX68" s="151"/>
    </row>
    <row r="69" spans="1:50" ht="15.5" x14ac:dyDescent="0.35">
      <c r="A69" s="98">
        <f t="shared" si="18"/>
        <v>26</v>
      </c>
      <c r="B69" s="99">
        <f t="shared" ca="1" si="10"/>
        <v>46848</v>
      </c>
      <c r="C69" s="100">
        <f t="shared" si="5"/>
        <v>186111.11111111095</v>
      </c>
      <c r="D69" s="100">
        <f t="shared" si="11"/>
        <v>2028.6111111111093</v>
      </c>
      <c r="E69" s="100">
        <f t="shared" si="12"/>
        <v>188139.72222222204</v>
      </c>
      <c r="F69" s="100">
        <f t="shared" si="13"/>
        <v>555.55555555555554</v>
      </c>
      <c r="G69" s="100">
        <f t="shared" si="14"/>
        <v>2224.9119669789316</v>
      </c>
      <c r="H69" s="100">
        <f t="shared" si="15"/>
        <v>42.805555555555522</v>
      </c>
      <c r="I69" s="100">
        <f t="shared" si="6"/>
        <v>20</v>
      </c>
      <c r="J69" s="100">
        <f t="shared" si="16"/>
        <v>2287.7175225344872</v>
      </c>
      <c r="K69" s="101">
        <f t="shared" si="17"/>
        <v>185555.55555555539</v>
      </c>
      <c r="O69" s="118">
        <f t="shared" si="19"/>
        <v>16.666666666666664</v>
      </c>
      <c r="P69" s="119">
        <f t="shared" ca="1" si="8"/>
        <v>31</v>
      </c>
      <c r="Q69" s="120">
        <v>365</v>
      </c>
      <c r="S69" s="133" t="s">
        <v>87</v>
      </c>
      <c r="T69" s="133"/>
      <c r="U69" s="133"/>
      <c r="V69" s="133"/>
      <c r="W69" s="133"/>
      <c r="X69" s="10" t="s">
        <v>91</v>
      </c>
      <c r="Y69" s="10">
        <v>60</v>
      </c>
      <c r="AA69" s="96">
        <f t="shared" si="1"/>
        <v>31</v>
      </c>
      <c r="AB69" s="97">
        <f t="shared" si="2"/>
        <v>16342.891780210886</v>
      </c>
      <c r="AC69" s="97">
        <f t="shared" si="3"/>
        <v>2287.0786336455981</v>
      </c>
      <c r="AE69" s="96">
        <f t="shared" si="4"/>
        <v>31</v>
      </c>
      <c r="AF69" s="97">
        <f>IFERROR(VLOOKUP(AE69,[1]Cálculos_PRICE!$A$32:$K$212,10,0),"")</f>
        <v>16342.891780210886</v>
      </c>
      <c r="AG69" s="97">
        <f>IFERROR(VLOOKUP(AE69,'Cálculos_CGI - SAC FIXA'!A67:K459,10,0),"")</f>
        <v>2287.0786336455981</v>
      </c>
      <c r="AH69" s="97">
        <f>IFERROR(VLOOKUP(AE69,[1]Cálculos_PRICE!$A$32:$K$212,6,0),"")</f>
        <v>1725.96942632223</v>
      </c>
      <c r="AI69" s="97">
        <f>IFERROR(VLOOKUP(AE69,'Cálculos_CGI - SAC FIXA'!A67:K459,6,0),"")</f>
        <v>555.55555555555554</v>
      </c>
      <c r="AJ69" s="97">
        <f>IFERROR(VLOOKUP(AE69,[1]Cálculos_PRICE!$A$32:$K$240,11,0),"")</f>
        <v>956823.4284274102</v>
      </c>
      <c r="AK69" s="97">
        <f>IFERROR(VLOOKUP(AE69,'Cálculos_CGI - SAC FIXA'!A67:K459,11,0),"")</f>
        <v>182777.77777777758</v>
      </c>
      <c r="AN69" s="157">
        <f t="shared" si="0"/>
        <v>61646.707777777978</v>
      </c>
      <c r="AO69" s="152" t="s">
        <v>150</v>
      </c>
      <c r="AP69" s="152" t="s">
        <v>119</v>
      </c>
      <c r="AQ69" s="153">
        <v>45020</v>
      </c>
      <c r="AR69" s="154">
        <v>244101.01</v>
      </c>
      <c r="AS69" s="155">
        <v>232.08</v>
      </c>
      <c r="AT69" s="155">
        <v>0</v>
      </c>
      <c r="AU69" s="154">
        <v>3148.9</v>
      </c>
      <c r="AV69" s="155">
        <v>76.14</v>
      </c>
      <c r="AW69" s="154">
        <v>3457.12</v>
      </c>
      <c r="AX69" s="156"/>
    </row>
    <row r="70" spans="1:50" ht="15.5" x14ac:dyDescent="0.35">
      <c r="A70" s="98">
        <f t="shared" si="18"/>
        <v>27</v>
      </c>
      <c r="B70" s="99">
        <f t="shared" ca="1" si="10"/>
        <v>46878</v>
      </c>
      <c r="C70" s="100">
        <f t="shared" si="5"/>
        <v>185555.55555555539</v>
      </c>
      <c r="D70" s="100">
        <f t="shared" si="11"/>
        <v>2022.5555555555536</v>
      </c>
      <c r="E70" s="100">
        <f t="shared" si="12"/>
        <v>187578.11111111095</v>
      </c>
      <c r="F70" s="100">
        <f t="shared" si="13"/>
        <v>555.55555555555554</v>
      </c>
      <c r="G70" s="100">
        <f t="shared" si="14"/>
        <v>2224.9119669789316</v>
      </c>
      <c r="H70" s="100">
        <f t="shared" si="15"/>
        <v>42.677777777777742</v>
      </c>
      <c r="I70" s="100">
        <f t="shared" si="6"/>
        <v>20</v>
      </c>
      <c r="J70" s="100">
        <f t="shared" si="16"/>
        <v>2287.5897447567095</v>
      </c>
      <c r="K70" s="101">
        <f t="shared" si="17"/>
        <v>184999.99999999983</v>
      </c>
      <c r="O70" s="118">
        <f t="shared" si="19"/>
        <v>16.666666666666664</v>
      </c>
      <c r="P70" s="119">
        <f t="shared" ca="1" si="8"/>
        <v>30</v>
      </c>
      <c r="Q70" s="120">
        <v>365</v>
      </c>
      <c r="S70" s="133" t="s">
        <v>89</v>
      </c>
      <c r="T70" s="133"/>
      <c r="U70" s="133"/>
      <c r="V70" s="133"/>
      <c r="W70" s="133"/>
      <c r="X70" s="10" t="s">
        <v>91</v>
      </c>
      <c r="Y70" s="134">
        <v>60</v>
      </c>
      <c r="AA70" s="96">
        <f t="shared" si="1"/>
        <v>32</v>
      </c>
      <c r="AB70" s="97">
        <f t="shared" si="2"/>
        <v>16342.507924610472</v>
      </c>
      <c r="AC70" s="97">
        <f t="shared" si="3"/>
        <v>2286.9508558678203</v>
      </c>
      <c r="AE70" s="96">
        <f t="shared" si="4"/>
        <v>32</v>
      </c>
      <c r="AF70" s="97">
        <f>IFERROR(VLOOKUP(AE70,[1]Cálculos_PRICE!$A$32:$K$212,10,0),"")</f>
        <v>16342.507924610472</v>
      </c>
      <c r="AG70" s="97">
        <f>IFERROR(VLOOKUP(AE70,'Cálculos_CGI - SAC FIXA'!A68:K460,10,0),"")</f>
        <v>2286.9508558678203</v>
      </c>
      <c r="AH70" s="97">
        <f>IFERROR(VLOOKUP(AE70,[1]Cálculos_PRICE!$A$32:$K$212,6,0),"")</f>
        <v>1751.8589677170639</v>
      </c>
      <c r="AI70" s="97">
        <f>IFERROR(VLOOKUP(AE70,'Cálculos_CGI - SAC FIXA'!A68:K460,6,0),"")</f>
        <v>555.55555555555554</v>
      </c>
      <c r="AJ70" s="97">
        <f>IFERROR(VLOOKUP(AE70,[1]Cálculos_PRICE!$A$32:$K$240,11,0),"")</f>
        <v>955071.56945969316</v>
      </c>
      <c r="AK70" s="97">
        <f>IFERROR(VLOOKUP(AE70,'Cálculos_CGI - SAC FIXA'!A68:K460,11,0),"")</f>
        <v>182222.22222222202</v>
      </c>
      <c r="AN70" s="157">
        <f t="shared" si="0"/>
        <v>61967.193333333533</v>
      </c>
      <c r="AO70" s="147" t="s">
        <v>151</v>
      </c>
      <c r="AP70" s="147" t="s">
        <v>119</v>
      </c>
      <c r="AQ70" s="148">
        <v>45050</v>
      </c>
      <c r="AR70" s="149">
        <v>243868.93</v>
      </c>
      <c r="AS70" s="150">
        <v>235.07</v>
      </c>
      <c r="AT70" s="150">
        <v>0</v>
      </c>
      <c r="AU70" s="149">
        <v>3145.91</v>
      </c>
      <c r="AV70" s="150">
        <v>76.09</v>
      </c>
      <c r="AW70" s="149">
        <v>3457.07</v>
      </c>
      <c r="AX70" s="151"/>
    </row>
    <row r="71" spans="1:50" ht="15.5" x14ac:dyDescent="0.35">
      <c r="A71" s="98">
        <f t="shared" si="18"/>
        <v>28</v>
      </c>
      <c r="B71" s="99">
        <f t="shared" ca="1" si="10"/>
        <v>46909</v>
      </c>
      <c r="C71" s="100">
        <f t="shared" si="5"/>
        <v>184999.99999999983</v>
      </c>
      <c r="D71" s="100">
        <f t="shared" si="11"/>
        <v>2016.4999999999982</v>
      </c>
      <c r="E71" s="100">
        <f t="shared" si="12"/>
        <v>187016.49999999983</v>
      </c>
      <c r="F71" s="100">
        <f t="shared" si="13"/>
        <v>555.55555555555554</v>
      </c>
      <c r="G71" s="100">
        <f t="shared" si="14"/>
        <v>2224.9119669789316</v>
      </c>
      <c r="H71" s="100">
        <f t="shared" si="15"/>
        <v>42.549999999999962</v>
      </c>
      <c r="I71" s="100">
        <f t="shared" si="6"/>
        <v>20</v>
      </c>
      <c r="J71" s="100">
        <f t="shared" si="16"/>
        <v>2287.4619669789317</v>
      </c>
      <c r="K71" s="101">
        <f t="shared" si="17"/>
        <v>184444.44444444426</v>
      </c>
      <c r="O71" s="118">
        <f t="shared" si="19"/>
        <v>16.666666666666664</v>
      </c>
      <c r="P71" s="119">
        <f t="shared" ca="1" si="8"/>
        <v>31</v>
      </c>
      <c r="Q71" s="120">
        <v>365</v>
      </c>
      <c r="S71" s="133" t="s">
        <v>90</v>
      </c>
      <c r="T71" s="133"/>
      <c r="U71" s="133"/>
      <c r="V71" s="133"/>
      <c r="W71" s="133"/>
      <c r="X71" s="10" t="s">
        <v>91</v>
      </c>
      <c r="Y71" s="134">
        <v>60</v>
      </c>
      <c r="AA71" s="96">
        <f t="shared" si="1"/>
        <v>33</v>
      </c>
      <c r="AB71" s="97">
        <f t="shared" si="2"/>
        <v>16342.118311176053</v>
      </c>
      <c r="AC71" s="97">
        <f t="shared" si="3"/>
        <v>2286.8230780900426</v>
      </c>
      <c r="AE71" s="96">
        <f t="shared" si="4"/>
        <v>33</v>
      </c>
      <c r="AF71" s="97">
        <f>IFERROR(VLOOKUP(AE71,[1]Cálculos_PRICE!$A$32:$K$212,10,0),"")</f>
        <v>16342.118311176053</v>
      </c>
      <c r="AG71" s="97">
        <f>IFERROR(VLOOKUP(AE71,'Cálculos_CGI - SAC FIXA'!A69:K461,10,0),"")</f>
        <v>2286.8230780900426</v>
      </c>
      <c r="AH71" s="97">
        <f>IFERROR(VLOOKUP(AE71,[1]Cálculos_PRICE!$A$32:$K$212,6,0),"")</f>
        <v>1778.1368522328194</v>
      </c>
      <c r="AI71" s="97">
        <f>IFERROR(VLOOKUP(AE71,'Cálculos_CGI - SAC FIXA'!A69:K461,6,0),"")</f>
        <v>555.55555555555554</v>
      </c>
      <c r="AJ71" s="97">
        <f>IFERROR(VLOOKUP(AE71,[1]Cálculos_PRICE!$A$32:$K$240,11,0),"")</f>
        <v>953293.4326074603</v>
      </c>
      <c r="AK71" s="97">
        <f>IFERROR(VLOOKUP(AE71,'Cálculos_CGI - SAC FIXA'!A69:K461,11,0),"")</f>
        <v>181666.66666666645</v>
      </c>
      <c r="AN71" s="157">
        <f t="shared" si="0"/>
        <v>62284.648888889118</v>
      </c>
      <c r="AO71" s="152" t="s">
        <v>152</v>
      </c>
      <c r="AP71" s="152" t="s">
        <v>119</v>
      </c>
      <c r="AQ71" s="153">
        <v>45081</v>
      </c>
      <c r="AR71" s="154">
        <v>243633.86</v>
      </c>
      <c r="AS71" s="155">
        <v>238.1</v>
      </c>
      <c r="AT71" s="155">
        <v>0</v>
      </c>
      <c r="AU71" s="154">
        <v>3142.88</v>
      </c>
      <c r="AV71" s="155">
        <v>76.040000000000006</v>
      </c>
      <c r="AW71" s="154">
        <v>3457.02</v>
      </c>
      <c r="AX71" s="156"/>
    </row>
    <row r="72" spans="1:50" ht="15.5" x14ac:dyDescent="0.35">
      <c r="A72" s="98">
        <f t="shared" si="18"/>
        <v>29</v>
      </c>
      <c r="B72" s="99">
        <f t="shared" ca="1" si="10"/>
        <v>46939</v>
      </c>
      <c r="C72" s="100">
        <f t="shared" si="5"/>
        <v>184444.44444444426</v>
      </c>
      <c r="D72" s="100">
        <f t="shared" si="11"/>
        <v>2010.4444444444425</v>
      </c>
      <c r="E72" s="100">
        <f t="shared" si="12"/>
        <v>186454.8888888887</v>
      </c>
      <c r="F72" s="100">
        <f t="shared" si="13"/>
        <v>555.55555555555554</v>
      </c>
      <c r="G72" s="100">
        <f t="shared" si="14"/>
        <v>2224.9119669789316</v>
      </c>
      <c r="H72" s="100">
        <f t="shared" si="15"/>
        <v>42.422222222222182</v>
      </c>
      <c r="I72" s="100">
        <f t="shared" si="6"/>
        <v>20</v>
      </c>
      <c r="J72" s="100">
        <f t="shared" si="16"/>
        <v>2287.3341892011535</v>
      </c>
      <c r="K72" s="101">
        <f t="shared" si="17"/>
        <v>183888.8888888887</v>
      </c>
      <c r="O72" s="118">
        <f t="shared" si="19"/>
        <v>16.666666666666664</v>
      </c>
      <c r="P72" s="119">
        <f t="shared" ca="1" si="8"/>
        <v>30</v>
      </c>
      <c r="Q72" s="120">
        <v>365</v>
      </c>
      <c r="S72" s="133" t="s">
        <v>92</v>
      </c>
      <c r="T72" s="133"/>
      <c r="U72" s="133"/>
      <c r="V72" s="133"/>
      <c r="W72" s="133"/>
      <c r="X72" s="10" t="s">
        <v>91</v>
      </c>
      <c r="Y72" s="134">
        <v>60</v>
      </c>
      <c r="AA72" s="96">
        <f t="shared" si="1"/>
        <v>34</v>
      </c>
      <c r="AB72" s="97">
        <f t="shared" si="2"/>
        <v>16341.722853540115</v>
      </c>
      <c r="AC72" s="97">
        <f t="shared" si="3"/>
        <v>2286.6953003122649</v>
      </c>
      <c r="AE72" s="96">
        <f t="shared" si="4"/>
        <v>34</v>
      </c>
      <c r="AF72" s="97">
        <f>IFERROR(VLOOKUP(AE72,[1]Cálculos_PRICE!$A$32:$K$212,10,0),"")</f>
        <v>16341.722853540115</v>
      </c>
      <c r="AG72" s="97">
        <f>IFERROR(VLOOKUP(AE72,'Cálculos_CGI - SAC FIXA'!A70:K462,10,0),"")</f>
        <v>2286.6953003122649</v>
      </c>
      <c r="AH72" s="97">
        <f>IFERROR(VLOOKUP(AE72,[1]Cálculos_PRICE!$A$32:$K$212,6,0),"")</f>
        <v>1804.8089050163126</v>
      </c>
      <c r="AI72" s="97">
        <f>IFERROR(VLOOKUP(AE72,'Cálculos_CGI - SAC FIXA'!A70:K462,6,0),"")</f>
        <v>555.55555555555554</v>
      </c>
      <c r="AJ72" s="97">
        <f>IFERROR(VLOOKUP(AE72,[1]Cálculos_PRICE!$A$32:$K$240,11,0),"")</f>
        <v>951488.62370244402</v>
      </c>
      <c r="AK72" s="97">
        <f>IFERROR(VLOOKUP(AE72,'Cálculos_CGI - SAC FIXA'!A70:K462,11,0),"")</f>
        <v>181111.11111111089</v>
      </c>
      <c r="AN72" s="157">
        <f t="shared" si="0"/>
        <v>62599.034444444667</v>
      </c>
      <c r="AO72" s="147" t="s">
        <v>153</v>
      </c>
      <c r="AP72" s="147" t="s">
        <v>119</v>
      </c>
      <c r="AQ72" s="148">
        <v>45111</v>
      </c>
      <c r="AR72" s="149">
        <v>243395.76</v>
      </c>
      <c r="AS72" s="150">
        <v>241.17</v>
      </c>
      <c r="AT72" s="150">
        <v>0</v>
      </c>
      <c r="AU72" s="149">
        <v>3139.81</v>
      </c>
      <c r="AV72" s="150">
        <v>75.98</v>
      </c>
      <c r="AW72" s="149">
        <v>3456.96</v>
      </c>
      <c r="AX72" s="151"/>
    </row>
    <row r="73" spans="1:50" ht="15.5" x14ac:dyDescent="0.35">
      <c r="A73" s="98">
        <f t="shared" si="18"/>
        <v>30</v>
      </c>
      <c r="B73" s="99">
        <f t="shared" ca="1" si="10"/>
        <v>46970</v>
      </c>
      <c r="C73" s="100">
        <f t="shared" si="5"/>
        <v>183888.8888888887</v>
      </c>
      <c r="D73" s="100">
        <f t="shared" si="11"/>
        <v>2004.3888888888869</v>
      </c>
      <c r="E73" s="100">
        <f t="shared" si="12"/>
        <v>185893.27777777758</v>
      </c>
      <c r="F73" s="100">
        <f t="shared" si="13"/>
        <v>555.55555555555554</v>
      </c>
      <c r="G73" s="100">
        <f t="shared" si="14"/>
        <v>2224.9119669789316</v>
      </c>
      <c r="H73" s="100">
        <f t="shared" si="15"/>
        <v>42.294444444444402</v>
      </c>
      <c r="I73" s="100">
        <f t="shared" si="6"/>
        <v>20</v>
      </c>
      <c r="J73" s="100">
        <f t="shared" si="16"/>
        <v>2287.2064114233758</v>
      </c>
      <c r="K73" s="101">
        <f t="shared" si="17"/>
        <v>183333.33333333314</v>
      </c>
      <c r="O73" s="118">
        <f t="shared" si="19"/>
        <v>16.666666666666664</v>
      </c>
      <c r="P73" s="119">
        <f t="shared" ca="1" si="8"/>
        <v>31</v>
      </c>
      <c r="Q73" s="120">
        <v>365</v>
      </c>
      <c r="S73" s="133" t="s">
        <v>93</v>
      </c>
      <c r="T73" s="133"/>
      <c r="U73" s="133"/>
      <c r="V73" s="133"/>
      <c r="W73" s="133"/>
      <c r="X73" s="10" t="s">
        <v>91</v>
      </c>
      <c r="Y73" s="134">
        <v>60</v>
      </c>
      <c r="AA73" s="96">
        <f t="shared" si="1"/>
        <v>35</v>
      </c>
      <c r="AB73" s="97">
        <f t="shared" si="2"/>
        <v>16341.32146403964</v>
      </c>
      <c r="AC73" s="97">
        <f t="shared" si="3"/>
        <v>2286.5675225344871</v>
      </c>
      <c r="AE73" s="96">
        <f t="shared" si="4"/>
        <v>35</v>
      </c>
      <c r="AF73" s="97">
        <f>IFERROR(VLOOKUP(AE73,[1]Cálculos_PRICE!$A$32:$K$212,10,0),"")</f>
        <v>16341.32146403964</v>
      </c>
      <c r="AG73" s="97">
        <f>IFERROR(VLOOKUP(AE73,'Cálculos_CGI - SAC FIXA'!A71:K463,10,0),"")</f>
        <v>2286.5675225344871</v>
      </c>
      <c r="AH73" s="97">
        <f>IFERROR(VLOOKUP(AE73,[1]Cálculos_PRICE!$A$32:$K$212,6,0),"")</f>
        <v>1831.8810385915567</v>
      </c>
      <c r="AI73" s="97">
        <f>IFERROR(VLOOKUP(AE73,'Cálculos_CGI - SAC FIXA'!A71:K463,6,0),"")</f>
        <v>555.55555555555554</v>
      </c>
      <c r="AJ73" s="97">
        <f>IFERROR(VLOOKUP(AE73,[1]Cálculos_PRICE!$A$32:$K$240,11,0),"")</f>
        <v>949656.7426638524</v>
      </c>
      <c r="AK73" s="97">
        <f>IFERROR(VLOOKUP(AE73,'Cálculos_CGI - SAC FIXA'!A71:K463,11,0),"")</f>
        <v>180555.55555555533</v>
      </c>
      <c r="AN73" s="157">
        <f t="shared" si="0"/>
        <v>62910.300000000221</v>
      </c>
      <c r="AO73" s="152" t="s">
        <v>154</v>
      </c>
      <c r="AP73" s="152" t="s">
        <v>119</v>
      </c>
      <c r="AQ73" s="153">
        <v>45142</v>
      </c>
      <c r="AR73" s="154">
        <v>243154.59</v>
      </c>
      <c r="AS73" s="155">
        <v>244.29</v>
      </c>
      <c r="AT73" s="155">
        <v>0</v>
      </c>
      <c r="AU73" s="154">
        <v>3136.69</v>
      </c>
      <c r="AV73" s="155">
        <v>75.930000000000007</v>
      </c>
      <c r="AW73" s="154">
        <v>3456.91</v>
      </c>
      <c r="AX73" s="156"/>
    </row>
    <row r="74" spans="1:50" ht="15.5" x14ac:dyDescent="0.35">
      <c r="A74" s="98">
        <f t="shared" si="18"/>
        <v>31</v>
      </c>
      <c r="B74" s="99">
        <f t="shared" ca="1" si="10"/>
        <v>47001</v>
      </c>
      <c r="C74" s="100">
        <f t="shared" si="5"/>
        <v>183333.33333333314</v>
      </c>
      <c r="D74" s="100">
        <f t="shared" si="11"/>
        <v>1998.3333333333312</v>
      </c>
      <c r="E74" s="100">
        <f t="shared" si="12"/>
        <v>185331.66666666648</v>
      </c>
      <c r="F74" s="100">
        <f t="shared" si="13"/>
        <v>555.55555555555554</v>
      </c>
      <c r="G74" s="100">
        <f t="shared" si="14"/>
        <v>2224.9119669789316</v>
      </c>
      <c r="H74" s="100">
        <f t="shared" si="15"/>
        <v>42.166666666666622</v>
      </c>
      <c r="I74" s="100">
        <f t="shared" si="6"/>
        <v>20</v>
      </c>
      <c r="J74" s="100">
        <f t="shared" si="16"/>
        <v>2287.0786336455981</v>
      </c>
      <c r="K74" s="101">
        <f t="shared" si="17"/>
        <v>182777.77777777758</v>
      </c>
      <c r="O74" s="118">
        <f t="shared" si="19"/>
        <v>16.666666666666664</v>
      </c>
      <c r="P74" s="119">
        <f t="shared" ca="1" si="8"/>
        <v>31</v>
      </c>
      <c r="Q74" s="120">
        <v>365</v>
      </c>
      <c r="S74" s="133" t="s">
        <v>94</v>
      </c>
      <c r="T74" s="133"/>
      <c r="U74" s="133"/>
      <c r="V74" s="133"/>
      <c r="W74" s="133"/>
      <c r="X74" s="10" t="s">
        <v>91</v>
      </c>
      <c r="Y74" s="134">
        <v>60</v>
      </c>
      <c r="AA74" s="96">
        <f t="shared" si="1"/>
        <v>36</v>
      </c>
      <c r="AB74" s="97">
        <f t="shared" si="2"/>
        <v>16340.914053696657</v>
      </c>
      <c r="AC74" s="97">
        <f t="shared" si="3"/>
        <v>2286.4397447567094</v>
      </c>
      <c r="AE74" s="96">
        <f t="shared" si="4"/>
        <v>36</v>
      </c>
      <c r="AF74" s="97">
        <f>IFERROR(VLOOKUP(AE74,[1]Cálculos_PRICE!$A$32:$K$212,10,0),"")</f>
        <v>16340.914053696657</v>
      </c>
      <c r="AG74" s="97">
        <f>IFERROR(VLOOKUP(AE74,'Cálculos_CGI - SAC FIXA'!A72:K464,10,0),"")</f>
        <v>2286.4397447567094</v>
      </c>
      <c r="AH74" s="97">
        <f>IFERROR(VLOOKUP(AE74,[1]Cálculos_PRICE!$A$32:$K$212,6,0),"")</f>
        <v>1859.3592541704311</v>
      </c>
      <c r="AI74" s="97">
        <f>IFERROR(VLOOKUP(AE74,'Cálculos_CGI - SAC FIXA'!A72:K464,6,0),"")</f>
        <v>555.55555555555554</v>
      </c>
      <c r="AJ74" s="97">
        <f>IFERROR(VLOOKUP(AE74,[1]Cálculos_PRICE!$A$32:$K$240,11,0),"")</f>
        <v>947797.38340968196</v>
      </c>
      <c r="AK74" s="97">
        <f>IFERROR(VLOOKUP(AE74,'Cálculos_CGI - SAC FIXA'!A72:K464,11,0),"")</f>
        <v>179999.99999999977</v>
      </c>
      <c r="AN74" s="157">
        <f t="shared" si="0"/>
        <v>63218.415555555781</v>
      </c>
      <c r="AO74" s="147" t="s">
        <v>155</v>
      </c>
      <c r="AP74" s="147" t="s">
        <v>119</v>
      </c>
      <c r="AQ74" s="148">
        <v>45173</v>
      </c>
      <c r="AR74" s="149">
        <v>242910.3</v>
      </c>
      <c r="AS74" s="150">
        <v>247.44</v>
      </c>
      <c r="AT74" s="150">
        <v>0</v>
      </c>
      <c r="AU74" s="149">
        <v>3133.54</v>
      </c>
      <c r="AV74" s="150">
        <v>75.87</v>
      </c>
      <c r="AW74" s="149">
        <v>3456.85</v>
      </c>
      <c r="AX74" s="151"/>
    </row>
    <row r="75" spans="1:50" ht="15.5" x14ac:dyDescent="0.35">
      <c r="A75" s="98">
        <f t="shared" si="18"/>
        <v>32</v>
      </c>
      <c r="B75" s="99">
        <f t="shared" ca="1" si="10"/>
        <v>47031</v>
      </c>
      <c r="C75" s="100">
        <f t="shared" si="5"/>
        <v>182777.77777777758</v>
      </c>
      <c r="D75" s="100">
        <f t="shared" si="11"/>
        <v>1992.2777777777756</v>
      </c>
      <c r="E75" s="100">
        <f t="shared" si="12"/>
        <v>184770.05555555536</v>
      </c>
      <c r="F75" s="100">
        <f t="shared" si="13"/>
        <v>555.55555555555554</v>
      </c>
      <c r="G75" s="100">
        <f t="shared" si="14"/>
        <v>2224.9119669789316</v>
      </c>
      <c r="H75" s="100">
        <f t="shared" si="15"/>
        <v>42.038888888888842</v>
      </c>
      <c r="I75" s="100">
        <f t="shared" si="6"/>
        <v>20</v>
      </c>
      <c r="J75" s="100">
        <f t="shared" si="16"/>
        <v>2286.9508558678203</v>
      </c>
      <c r="K75" s="101">
        <f t="shared" si="17"/>
        <v>182222.22222222202</v>
      </c>
      <c r="O75" s="118">
        <f t="shared" si="19"/>
        <v>16.666666666666664</v>
      </c>
      <c r="P75" s="119">
        <f t="shared" ca="1" si="8"/>
        <v>30</v>
      </c>
      <c r="Q75" s="120">
        <v>365</v>
      </c>
      <c r="S75" s="133" t="s">
        <v>95</v>
      </c>
      <c r="T75" s="133"/>
      <c r="U75" s="133"/>
      <c r="V75" s="133"/>
      <c r="W75" s="133"/>
      <c r="X75" s="10" t="s">
        <v>91</v>
      </c>
      <c r="Y75" s="134">
        <v>60</v>
      </c>
      <c r="AA75" s="96">
        <f t="shared" si="1"/>
        <v>37</v>
      </c>
      <c r="AB75" s="97">
        <f t="shared" si="2"/>
        <v>16340.50053219853</v>
      </c>
      <c r="AC75" s="97">
        <f t="shared" si="3"/>
        <v>2286.3119669789317</v>
      </c>
      <c r="AE75" s="96">
        <f t="shared" si="4"/>
        <v>37</v>
      </c>
      <c r="AF75" s="97">
        <f>IFERROR(VLOOKUP(AE75,[1]Cálculos_PRICE!$A$32:$K$212,10,0),"")</f>
        <v>16340.50053219853</v>
      </c>
      <c r="AG75" s="97">
        <f>IFERROR(VLOOKUP(AE75,'Cálculos_CGI - SAC FIXA'!A73:K465,10,0),"")</f>
        <v>2286.3119669789317</v>
      </c>
      <c r="AH75" s="97">
        <f>IFERROR(VLOOKUP(AE75,[1]Cálculos_PRICE!$A$32:$K$212,6,0),"")</f>
        <v>1887.249642982988</v>
      </c>
      <c r="AI75" s="97">
        <f>IFERROR(VLOOKUP(AE75,'Cálculos_CGI - SAC FIXA'!A73:K465,6,0),"")</f>
        <v>555.55555555555554</v>
      </c>
      <c r="AJ75" s="97">
        <f>IFERROR(VLOOKUP(AE75,[1]Cálculos_PRICE!$A$32:$K$240,11,0),"")</f>
        <v>945910.133766699</v>
      </c>
      <c r="AK75" s="97">
        <f>IFERROR(VLOOKUP(AE75,'Cálculos_CGI - SAC FIXA'!A73:K465,11,0),"")</f>
        <v>179444.44444444421</v>
      </c>
      <c r="AN75" s="157">
        <f t="shared" si="0"/>
        <v>63523.341111111367</v>
      </c>
      <c r="AO75" s="152" t="s">
        <v>156</v>
      </c>
      <c r="AP75" s="152" t="s">
        <v>119</v>
      </c>
      <c r="AQ75" s="153">
        <v>45203</v>
      </c>
      <c r="AR75" s="154">
        <v>242662.86</v>
      </c>
      <c r="AS75" s="155">
        <v>250.63</v>
      </c>
      <c r="AT75" s="155">
        <v>0</v>
      </c>
      <c r="AU75" s="154">
        <v>3130.35</v>
      </c>
      <c r="AV75" s="155">
        <v>75.81</v>
      </c>
      <c r="AW75" s="154">
        <v>3456.79</v>
      </c>
      <c r="AX75" s="156"/>
    </row>
    <row r="76" spans="1:50" ht="15.5" x14ac:dyDescent="0.35">
      <c r="A76" s="98">
        <f t="shared" si="18"/>
        <v>33</v>
      </c>
      <c r="B76" s="99">
        <f t="shared" ca="1" si="10"/>
        <v>47062</v>
      </c>
      <c r="C76" s="100">
        <f t="shared" si="5"/>
        <v>182222.22222222202</v>
      </c>
      <c r="D76" s="100">
        <f t="shared" si="11"/>
        <v>1986.2222222222199</v>
      </c>
      <c r="E76" s="100">
        <f t="shared" si="12"/>
        <v>184208.44444444423</v>
      </c>
      <c r="F76" s="100">
        <f t="shared" si="13"/>
        <v>555.55555555555554</v>
      </c>
      <c r="G76" s="100">
        <f t="shared" si="14"/>
        <v>2224.9119669789316</v>
      </c>
      <c r="H76" s="100">
        <f t="shared" si="15"/>
        <v>41.911111111111062</v>
      </c>
      <c r="I76" s="100">
        <f t="shared" si="6"/>
        <v>20</v>
      </c>
      <c r="J76" s="100">
        <f t="shared" si="16"/>
        <v>2286.8230780900426</v>
      </c>
      <c r="K76" s="101">
        <f t="shared" si="17"/>
        <v>181666.66666666645</v>
      </c>
      <c r="O76" s="118">
        <f t="shared" si="19"/>
        <v>16.666666666666664</v>
      </c>
      <c r="P76" s="119">
        <f t="shared" ca="1" si="8"/>
        <v>31</v>
      </c>
      <c r="Q76" s="120">
        <v>365</v>
      </c>
      <c r="AA76" s="96">
        <f t="shared" si="1"/>
        <v>38</v>
      </c>
      <c r="AB76" s="97">
        <f t="shared" si="2"/>
        <v>16340.08080787793</v>
      </c>
      <c r="AC76" s="97">
        <f t="shared" si="3"/>
        <v>2286.1841892011539</v>
      </c>
      <c r="AE76" s="96">
        <f t="shared" si="4"/>
        <v>38</v>
      </c>
      <c r="AF76" s="97">
        <f>IFERROR(VLOOKUP(AE76,[1]Cálculos_PRICE!$A$32:$K$212,10,0),"")</f>
        <v>16340.08080787793</v>
      </c>
      <c r="AG76" s="97">
        <f>IFERROR(VLOOKUP(AE76,'Cálculos_CGI - SAC FIXA'!A74:K466,10,0),"")</f>
        <v>2286.1841892011539</v>
      </c>
      <c r="AH76" s="97">
        <f>IFERROR(VLOOKUP(AE76,[1]Cálculos_PRICE!$A$32:$K$212,6,0),"")</f>
        <v>1915.5583876277324</v>
      </c>
      <c r="AI76" s="97">
        <f>IFERROR(VLOOKUP(AE76,'Cálculos_CGI - SAC FIXA'!A74:K466,6,0),"")</f>
        <v>555.55555555555554</v>
      </c>
      <c r="AJ76" s="97">
        <f>IFERROR(VLOOKUP(AE76,[1]Cálculos_PRICE!$A$32:$K$240,11,0),"")</f>
        <v>943994.57537907129</v>
      </c>
      <c r="AK76" s="97">
        <f>IFERROR(VLOOKUP(AE76,'Cálculos_CGI - SAC FIXA'!A74:K466,11,0),"")</f>
        <v>178888.88888888864</v>
      </c>
      <c r="AN76" s="157">
        <f t="shared" si="0"/>
        <v>63825.036666666914</v>
      </c>
      <c r="AO76" s="147" t="s">
        <v>157</v>
      </c>
      <c r="AP76" s="147" t="s">
        <v>119</v>
      </c>
      <c r="AQ76" s="148">
        <v>45234</v>
      </c>
      <c r="AR76" s="149">
        <v>242412.23</v>
      </c>
      <c r="AS76" s="150">
        <v>253.86</v>
      </c>
      <c r="AT76" s="150">
        <v>0</v>
      </c>
      <c r="AU76" s="149">
        <v>3127.12</v>
      </c>
      <c r="AV76" s="150">
        <v>75.75</v>
      </c>
      <c r="AW76" s="149">
        <v>3456.73</v>
      </c>
      <c r="AX76" s="151"/>
    </row>
    <row r="77" spans="1:50" ht="15.5" x14ac:dyDescent="0.35">
      <c r="A77" s="98">
        <f t="shared" si="18"/>
        <v>34</v>
      </c>
      <c r="B77" s="99">
        <f t="shared" ca="1" si="10"/>
        <v>47092</v>
      </c>
      <c r="C77" s="100">
        <f t="shared" si="5"/>
        <v>181666.66666666645</v>
      </c>
      <c r="D77" s="100">
        <f t="shared" si="11"/>
        <v>1980.1666666666642</v>
      </c>
      <c r="E77" s="100">
        <f t="shared" si="12"/>
        <v>183646.83333333311</v>
      </c>
      <c r="F77" s="100">
        <f t="shared" si="13"/>
        <v>555.55555555555554</v>
      </c>
      <c r="G77" s="100">
        <f t="shared" si="14"/>
        <v>2224.9119669789316</v>
      </c>
      <c r="H77" s="100">
        <f t="shared" si="15"/>
        <v>41.783333333333289</v>
      </c>
      <c r="I77" s="100">
        <f t="shared" si="6"/>
        <v>20</v>
      </c>
      <c r="J77" s="100">
        <f t="shared" si="16"/>
        <v>2286.6953003122649</v>
      </c>
      <c r="K77" s="101">
        <f t="shared" si="17"/>
        <v>181111.11111111089</v>
      </c>
      <c r="O77" s="118">
        <f t="shared" si="19"/>
        <v>16.666666666666664</v>
      </c>
      <c r="P77" s="119">
        <f t="shared" ca="1" si="8"/>
        <v>30</v>
      </c>
      <c r="Q77" s="120">
        <v>365</v>
      </c>
      <c r="AA77" s="96">
        <f t="shared" si="1"/>
        <v>39</v>
      </c>
      <c r="AB77" s="97">
        <f t="shared" si="2"/>
        <v>16339.654787692521</v>
      </c>
      <c r="AC77" s="97">
        <f t="shared" si="3"/>
        <v>2286.0564114233757</v>
      </c>
      <c r="AE77" s="96">
        <f t="shared" si="4"/>
        <v>39</v>
      </c>
      <c r="AF77" s="97">
        <f>IFERROR(VLOOKUP(AE77,[1]Cálculos_PRICE!$A$32:$K$212,10,0),"")</f>
        <v>16339.654787692521</v>
      </c>
      <c r="AG77" s="97">
        <f>IFERROR(VLOOKUP(AE77,'Cálculos_CGI - SAC FIXA'!A75:K467,10,0),"")</f>
        <v>2286.0564114233757</v>
      </c>
      <c r="AH77" s="97">
        <f>IFERROR(VLOOKUP(AE77,[1]Cálculos_PRICE!$A$32:$K$212,6,0),"")</f>
        <v>1944.2917634421483</v>
      </c>
      <c r="AI77" s="97">
        <f>IFERROR(VLOOKUP(AE77,'Cálculos_CGI - SAC FIXA'!A75:K467,6,0),"")</f>
        <v>555.55555555555554</v>
      </c>
      <c r="AJ77" s="97">
        <f>IFERROR(VLOOKUP(AE77,[1]Cálculos_PRICE!$A$32:$K$240,11,0),"")</f>
        <v>942050.28361562919</v>
      </c>
      <c r="AK77" s="97">
        <f>IFERROR(VLOOKUP(AE77,'Cálculos_CGI - SAC FIXA'!A75:K467,11,0),"")</f>
        <v>178333.33333333308</v>
      </c>
      <c r="AN77" s="157">
        <f t="shared" si="0"/>
        <v>64123.452222222491</v>
      </c>
      <c r="AO77" s="152" t="s">
        <v>158</v>
      </c>
      <c r="AP77" s="152" t="s">
        <v>119</v>
      </c>
      <c r="AQ77" s="153">
        <v>45264</v>
      </c>
      <c r="AR77" s="154">
        <v>242158.37</v>
      </c>
      <c r="AS77" s="155">
        <v>257.14</v>
      </c>
      <c r="AT77" s="155">
        <v>0</v>
      </c>
      <c r="AU77" s="154">
        <v>3123.84</v>
      </c>
      <c r="AV77" s="155">
        <v>75.7</v>
      </c>
      <c r="AW77" s="154">
        <v>3456.68</v>
      </c>
      <c r="AX77" s="156"/>
    </row>
    <row r="78" spans="1:50" ht="15.5" x14ac:dyDescent="0.35">
      <c r="A78" s="98">
        <f t="shared" si="18"/>
        <v>35</v>
      </c>
      <c r="B78" s="99">
        <f t="shared" ca="1" si="10"/>
        <v>47123</v>
      </c>
      <c r="C78" s="100">
        <f t="shared" si="5"/>
        <v>181111.11111111089</v>
      </c>
      <c r="D78" s="100">
        <f t="shared" si="11"/>
        <v>1974.1111111111088</v>
      </c>
      <c r="E78" s="100">
        <f t="shared" si="12"/>
        <v>183085.22222222199</v>
      </c>
      <c r="F78" s="100">
        <f t="shared" si="13"/>
        <v>555.55555555555554</v>
      </c>
      <c r="G78" s="100">
        <f t="shared" si="14"/>
        <v>2224.9119669789316</v>
      </c>
      <c r="H78" s="100">
        <f t="shared" si="15"/>
        <v>41.655555555555509</v>
      </c>
      <c r="I78" s="100">
        <f t="shared" si="6"/>
        <v>20</v>
      </c>
      <c r="J78" s="100">
        <f t="shared" si="16"/>
        <v>2286.5675225344871</v>
      </c>
      <c r="K78" s="101">
        <f t="shared" si="17"/>
        <v>180555.55555555533</v>
      </c>
      <c r="O78" s="118">
        <f t="shared" si="19"/>
        <v>16.666666666666664</v>
      </c>
      <c r="P78" s="119">
        <f t="shared" ca="1" si="8"/>
        <v>31</v>
      </c>
      <c r="Q78" s="120">
        <v>365</v>
      </c>
      <c r="AA78" s="96">
        <f t="shared" si="1"/>
        <v>40</v>
      </c>
      <c r="AB78" s="97">
        <f t="shared" si="2"/>
        <v>16339.222377204333</v>
      </c>
      <c r="AC78" s="97">
        <f t="shared" si="3"/>
        <v>2285.928633645598</v>
      </c>
      <c r="AE78" s="96">
        <f t="shared" si="4"/>
        <v>40</v>
      </c>
      <c r="AF78" s="97">
        <f>IFERROR(VLOOKUP(AE78,[1]Cálculos_PRICE!$A$32:$K$212,10,0),"")</f>
        <v>16339.222377204333</v>
      </c>
      <c r="AG78" s="97">
        <f>IFERROR(VLOOKUP(AE78,'Cálculos_CGI - SAC FIXA'!A76:K468,10,0),"")</f>
        <v>2285.928633645598</v>
      </c>
      <c r="AH78" s="97">
        <f>IFERROR(VLOOKUP(AE78,[1]Cálculos_PRICE!$A$32:$K$212,6,0),"")</f>
        <v>1973.4561398937785</v>
      </c>
      <c r="AI78" s="97">
        <f>IFERROR(VLOOKUP(AE78,'Cálculos_CGI - SAC FIXA'!A76:K468,6,0),"")</f>
        <v>555.55555555555554</v>
      </c>
      <c r="AJ78" s="97">
        <f>IFERROR(VLOOKUP(AE78,[1]Cálculos_PRICE!$A$32:$K$240,11,0),"")</f>
        <v>940076.82747573545</v>
      </c>
      <c r="AK78" s="97">
        <f>IFERROR(VLOOKUP(AE78,'Cálculos_CGI - SAC FIXA'!A76:K468,11,0),"")</f>
        <v>177777.77777777752</v>
      </c>
      <c r="AN78" s="157">
        <f t="shared" si="0"/>
        <v>64418.557777778042</v>
      </c>
      <c r="AO78" s="147" t="s">
        <v>159</v>
      </c>
      <c r="AP78" s="147" t="s">
        <v>119</v>
      </c>
      <c r="AQ78" s="148">
        <v>45295</v>
      </c>
      <c r="AR78" s="149">
        <v>241901.23</v>
      </c>
      <c r="AS78" s="150">
        <v>260.45</v>
      </c>
      <c r="AT78" s="150">
        <v>0</v>
      </c>
      <c r="AU78" s="149">
        <v>3120.53</v>
      </c>
      <c r="AV78" s="150">
        <v>75.64</v>
      </c>
      <c r="AW78" s="149">
        <v>3456.62</v>
      </c>
      <c r="AX78" s="151"/>
    </row>
    <row r="79" spans="1:50" ht="15.5" x14ac:dyDescent="0.35">
      <c r="A79" s="98">
        <f t="shared" si="18"/>
        <v>36</v>
      </c>
      <c r="B79" s="99">
        <f t="shared" ca="1" si="10"/>
        <v>47154</v>
      </c>
      <c r="C79" s="100">
        <f t="shared" si="5"/>
        <v>180555.55555555533</v>
      </c>
      <c r="D79" s="100">
        <f t="shared" si="11"/>
        <v>1968.0555555555532</v>
      </c>
      <c r="E79" s="100">
        <f t="shared" si="12"/>
        <v>182523.61111111089</v>
      </c>
      <c r="F79" s="100">
        <f t="shared" si="13"/>
        <v>555.55555555555554</v>
      </c>
      <c r="G79" s="100">
        <f t="shared" si="14"/>
        <v>2224.9119669789316</v>
      </c>
      <c r="H79" s="100">
        <f t="shared" si="15"/>
        <v>41.527777777777729</v>
      </c>
      <c r="I79" s="100">
        <f t="shared" si="6"/>
        <v>20</v>
      </c>
      <c r="J79" s="100">
        <f t="shared" si="16"/>
        <v>2286.4397447567094</v>
      </c>
      <c r="K79" s="101">
        <f t="shared" si="17"/>
        <v>179999.99999999977</v>
      </c>
      <c r="O79" s="118">
        <f t="shared" si="19"/>
        <v>16.666666666666664</v>
      </c>
      <c r="P79" s="119">
        <f t="shared" ca="1" si="8"/>
        <v>31</v>
      </c>
      <c r="Q79" s="120">
        <v>365</v>
      </c>
      <c r="AA79" s="96">
        <f t="shared" si="1"/>
        <v>41</v>
      </c>
      <c r="AB79" s="97">
        <f t="shared" si="2"/>
        <v>16338.783480558821</v>
      </c>
      <c r="AC79" s="97">
        <f t="shared" si="3"/>
        <v>2285.8008558678202</v>
      </c>
      <c r="AE79" s="96">
        <f t="shared" si="4"/>
        <v>41</v>
      </c>
      <c r="AF79" s="97">
        <f>IFERROR(VLOOKUP(AE79,[1]Cálculos_PRICE!$A$32:$K$212,10,0),"")</f>
        <v>16338.783480558821</v>
      </c>
      <c r="AG79" s="97">
        <f>IFERROR(VLOOKUP(AE79,'Cálculos_CGI - SAC FIXA'!A77:K469,10,0),"")</f>
        <v>2285.8008558678202</v>
      </c>
      <c r="AH79" s="97">
        <f>IFERROR(VLOOKUP(AE79,[1]Cálculos_PRICE!$A$32:$K$212,6,0),"")</f>
        <v>2003.0579819921859</v>
      </c>
      <c r="AI79" s="97">
        <f>IFERROR(VLOOKUP(AE79,'Cálculos_CGI - SAC FIXA'!A77:K469,6,0),"")</f>
        <v>555.55555555555554</v>
      </c>
      <c r="AJ79" s="97">
        <f>IFERROR(VLOOKUP(AE79,[1]Cálculos_PRICE!$A$32:$K$240,11,0),"")</f>
        <v>938073.76949374331</v>
      </c>
      <c r="AK79" s="97">
        <f>IFERROR(VLOOKUP(AE79,'Cálculos_CGI - SAC FIXA'!A77:K469,11,0),"")</f>
        <v>177222.22222222196</v>
      </c>
      <c r="AN79" s="157">
        <f t="shared" si="0"/>
        <v>64710.303333333606</v>
      </c>
      <c r="AO79" s="152" t="s">
        <v>160</v>
      </c>
      <c r="AP79" s="152" t="s">
        <v>119</v>
      </c>
      <c r="AQ79" s="153">
        <v>45326</v>
      </c>
      <c r="AR79" s="154">
        <v>241640.78</v>
      </c>
      <c r="AS79" s="155">
        <v>263.81</v>
      </c>
      <c r="AT79" s="155">
        <v>0</v>
      </c>
      <c r="AU79" s="154">
        <v>3117.17</v>
      </c>
      <c r="AV79" s="155">
        <v>75.58</v>
      </c>
      <c r="AW79" s="154">
        <v>3456.56</v>
      </c>
      <c r="AX79" s="156"/>
    </row>
    <row r="80" spans="1:50" ht="15.5" x14ac:dyDescent="0.35">
      <c r="A80" s="98">
        <f t="shared" si="18"/>
        <v>37</v>
      </c>
      <c r="B80" s="99">
        <f t="shared" ca="1" si="10"/>
        <v>47182</v>
      </c>
      <c r="C80" s="100">
        <f t="shared" si="5"/>
        <v>179999.99999999977</v>
      </c>
      <c r="D80" s="100">
        <f t="shared" si="11"/>
        <v>1961.9999999999975</v>
      </c>
      <c r="E80" s="100">
        <f t="shared" si="12"/>
        <v>181961.99999999977</v>
      </c>
      <c r="F80" s="100">
        <f t="shared" si="13"/>
        <v>555.55555555555554</v>
      </c>
      <c r="G80" s="100">
        <f t="shared" si="14"/>
        <v>2224.9119669789316</v>
      </c>
      <c r="H80" s="100">
        <f t="shared" si="15"/>
        <v>41.399999999999949</v>
      </c>
      <c r="I80" s="100">
        <f t="shared" si="6"/>
        <v>20</v>
      </c>
      <c r="J80" s="100">
        <f t="shared" si="16"/>
        <v>2286.3119669789317</v>
      </c>
      <c r="K80" s="101">
        <f t="shared" si="17"/>
        <v>179444.44444444421</v>
      </c>
      <c r="O80" s="118">
        <f t="shared" si="19"/>
        <v>16.666666666666664</v>
      </c>
      <c r="P80" s="119">
        <f t="shared" ca="1" si="8"/>
        <v>28</v>
      </c>
      <c r="Q80" s="120">
        <v>365</v>
      </c>
      <c r="AA80" s="96">
        <f t="shared" si="1"/>
        <v>42</v>
      </c>
      <c r="AB80" s="97">
        <f t="shared" si="2"/>
        <v>16338.338000463626</v>
      </c>
      <c r="AC80" s="97">
        <f t="shared" si="3"/>
        <v>2285.6730780900425</v>
      </c>
      <c r="AE80" s="96">
        <f t="shared" si="4"/>
        <v>42</v>
      </c>
      <c r="AF80" s="97">
        <f>IFERROR(VLOOKUP(AE80,[1]Cálculos_PRICE!$A$32:$K$212,10,0),"")</f>
        <v>16338.338000463626</v>
      </c>
      <c r="AG80" s="97">
        <f>IFERROR(VLOOKUP(AE80,'Cálculos_CGI - SAC FIXA'!A78:K470,10,0),"")</f>
        <v>2285.6730780900425</v>
      </c>
      <c r="AH80" s="97">
        <f>IFERROR(VLOOKUP(AE80,[1]Cálculos_PRICE!$A$32:$K$212,6,0),"")</f>
        <v>2033.1038517220677</v>
      </c>
      <c r="AI80" s="97">
        <f>IFERROR(VLOOKUP(AE80,'Cálculos_CGI - SAC FIXA'!A78:K470,6,0),"")</f>
        <v>555.55555555555554</v>
      </c>
      <c r="AJ80" s="97">
        <f>IFERROR(VLOOKUP(AE80,[1]Cálculos_PRICE!$A$32:$K$240,11,0),"")</f>
        <v>936040.66564202122</v>
      </c>
      <c r="AK80" s="97">
        <f>IFERROR(VLOOKUP(AE80,'Cálculos_CGI - SAC FIXA'!A78:K470,11,0),"")</f>
        <v>176666.6666666664</v>
      </c>
      <c r="AN80" s="157">
        <f t="shared" si="0"/>
        <v>64998.638888889167</v>
      </c>
      <c r="AO80" s="147" t="s">
        <v>161</v>
      </c>
      <c r="AP80" s="147" t="s">
        <v>119</v>
      </c>
      <c r="AQ80" s="148">
        <v>45355</v>
      </c>
      <c r="AR80" s="149">
        <v>241376.97</v>
      </c>
      <c r="AS80" s="150">
        <v>267.22000000000003</v>
      </c>
      <c r="AT80" s="150">
        <v>0</v>
      </c>
      <c r="AU80" s="149">
        <v>3113.76</v>
      </c>
      <c r="AV80" s="150">
        <v>75.52</v>
      </c>
      <c r="AW80" s="149">
        <v>3456.5</v>
      </c>
      <c r="AX80" s="151"/>
    </row>
    <row r="81" spans="1:50" ht="15.5" x14ac:dyDescent="0.35">
      <c r="A81" s="98">
        <f t="shared" si="18"/>
        <v>38</v>
      </c>
      <c r="B81" s="99">
        <f t="shared" ca="1" si="10"/>
        <v>47213</v>
      </c>
      <c r="C81" s="100">
        <f t="shared" si="5"/>
        <v>179444.44444444421</v>
      </c>
      <c r="D81" s="100">
        <f t="shared" si="11"/>
        <v>1955.9444444444418</v>
      </c>
      <c r="E81" s="100">
        <f t="shared" si="12"/>
        <v>181400.38888888864</v>
      </c>
      <c r="F81" s="100">
        <f t="shared" si="13"/>
        <v>555.55555555555554</v>
      </c>
      <c r="G81" s="100">
        <f t="shared" si="14"/>
        <v>2224.9119669789316</v>
      </c>
      <c r="H81" s="100">
        <f t="shared" si="15"/>
        <v>41.272222222222169</v>
      </c>
      <c r="I81" s="100">
        <f t="shared" si="6"/>
        <v>20</v>
      </c>
      <c r="J81" s="100">
        <f t="shared" si="16"/>
        <v>2286.1841892011539</v>
      </c>
      <c r="K81" s="101">
        <f t="shared" si="17"/>
        <v>178888.88888888864</v>
      </c>
      <c r="O81" s="118">
        <f t="shared" si="19"/>
        <v>16.666666666666664</v>
      </c>
      <c r="P81" s="119">
        <f t="shared" ca="1" si="8"/>
        <v>31</v>
      </c>
      <c r="Q81" s="120">
        <v>365</v>
      </c>
      <c r="AA81" s="96">
        <f t="shared" si="1"/>
        <v>43</v>
      </c>
      <c r="AB81" s="97">
        <f t="shared" si="2"/>
        <v>16337.885838167002</v>
      </c>
      <c r="AC81" s="97">
        <f t="shared" si="3"/>
        <v>2285.5453003122648</v>
      </c>
      <c r="AE81" s="96">
        <f t="shared" si="4"/>
        <v>43</v>
      </c>
      <c r="AF81" s="97">
        <f>IFERROR(VLOOKUP(AE81,[1]Cálculos_PRICE!$A$32:$K$212,10,0),"")</f>
        <v>16337.885838167002</v>
      </c>
      <c r="AG81" s="97">
        <f>IFERROR(VLOOKUP(AE81,'Cálculos_CGI - SAC FIXA'!A79:K471,10,0),"")</f>
        <v>2285.5453003122648</v>
      </c>
      <c r="AH81" s="97">
        <f>IFERROR(VLOOKUP(AE81,[1]Cálculos_PRICE!$A$32:$K$212,6,0),"")</f>
        <v>2063.600409497898</v>
      </c>
      <c r="AI81" s="97">
        <f>IFERROR(VLOOKUP(AE81,'Cálculos_CGI - SAC FIXA'!A79:K471,6,0),"")</f>
        <v>555.55555555555554</v>
      </c>
      <c r="AJ81" s="97">
        <f>IFERROR(VLOOKUP(AE81,[1]Cálculos_PRICE!$A$32:$K$240,11,0),"")</f>
        <v>933977.06523252337</v>
      </c>
      <c r="AK81" s="97">
        <f>IFERROR(VLOOKUP(AE81,'Cálculos_CGI - SAC FIXA'!A79:K471,11,0),"")</f>
        <v>176111.11111111083</v>
      </c>
      <c r="AN81" s="157">
        <f t="shared" si="0"/>
        <v>65283.534444444726</v>
      </c>
      <c r="AO81" s="152" t="s">
        <v>162</v>
      </c>
      <c r="AP81" s="152" t="s">
        <v>119</v>
      </c>
      <c r="AQ81" s="153">
        <v>45386</v>
      </c>
      <c r="AR81" s="154">
        <v>241109.75</v>
      </c>
      <c r="AS81" s="155">
        <v>270.66000000000003</v>
      </c>
      <c r="AT81" s="155">
        <v>0</v>
      </c>
      <c r="AU81" s="154">
        <v>3110.32</v>
      </c>
      <c r="AV81" s="155">
        <v>75.459999999999994</v>
      </c>
      <c r="AW81" s="154">
        <v>3456.44</v>
      </c>
      <c r="AX81" s="156"/>
    </row>
    <row r="82" spans="1:50" ht="15.5" x14ac:dyDescent="0.35">
      <c r="A82" s="98">
        <f t="shared" si="18"/>
        <v>39</v>
      </c>
      <c r="B82" s="99">
        <f t="shared" ca="1" si="10"/>
        <v>47243</v>
      </c>
      <c r="C82" s="100">
        <f t="shared" si="5"/>
        <v>178888.88888888864</v>
      </c>
      <c r="D82" s="100">
        <f t="shared" si="11"/>
        <v>1949.8888888888862</v>
      </c>
      <c r="E82" s="100">
        <f t="shared" si="12"/>
        <v>180838.77777777752</v>
      </c>
      <c r="F82" s="100">
        <f t="shared" si="13"/>
        <v>555.55555555555554</v>
      </c>
      <c r="G82" s="100">
        <f t="shared" si="14"/>
        <v>2224.9119669789316</v>
      </c>
      <c r="H82" s="100">
        <f t="shared" si="15"/>
        <v>41.144444444444389</v>
      </c>
      <c r="I82" s="100">
        <f t="shared" si="6"/>
        <v>20</v>
      </c>
      <c r="J82" s="100">
        <f t="shared" si="16"/>
        <v>2286.0564114233757</v>
      </c>
      <c r="K82" s="101">
        <f t="shared" si="17"/>
        <v>178333.33333333308</v>
      </c>
      <c r="O82" s="118">
        <f t="shared" si="19"/>
        <v>16.666666666666664</v>
      </c>
      <c r="P82" s="119">
        <f t="shared" ca="1" si="8"/>
        <v>30</v>
      </c>
      <c r="Q82" s="120">
        <v>365</v>
      </c>
      <c r="AA82" s="96">
        <f t="shared" si="1"/>
        <v>44</v>
      </c>
      <c r="AB82" s="97">
        <f t="shared" si="2"/>
        <v>16337.42689343593</v>
      </c>
      <c r="AC82" s="97">
        <f t="shared" si="3"/>
        <v>2285.417522534487</v>
      </c>
      <c r="AE82" s="96">
        <f t="shared" si="4"/>
        <v>44</v>
      </c>
      <c r="AF82" s="97">
        <f>IFERROR(VLOOKUP(AE82,[1]Cálculos_PRICE!$A$32:$K$212,10,0),"")</f>
        <v>16337.42689343593</v>
      </c>
      <c r="AG82" s="97">
        <f>IFERROR(VLOOKUP(AE82,'Cálculos_CGI - SAC FIXA'!A80:K472,10,0),"")</f>
        <v>2285.417522534487</v>
      </c>
      <c r="AH82" s="97">
        <f>IFERROR(VLOOKUP(AE82,[1]Cálculos_PRICE!$A$32:$K$212,6,0),"")</f>
        <v>2094.5544156403666</v>
      </c>
      <c r="AI82" s="97">
        <f>IFERROR(VLOOKUP(AE82,'Cálculos_CGI - SAC FIXA'!A80:K472,6,0),"")</f>
        <v>555.55555555555554</v>
      </c>
      <c r="AJ82" s="97">
        <f>IFERROR(VLOOKUP(AE82,[1]Cálculos_PRICE!$A$32:$K$240,11,0),"")</f>
        <v>931882.51081688295</v>
      </c>
      <c r="AK82" s="97">
        <f>IFERROR(VLOOKUP(AE82,'Cálculos_CGI - SAC FIXA'!A80:K472,11,0),"")</f>
        <v>175555.55555555527</v>
      </c>
      <c r="AN82" s="157">
        <f t="shared" si="0"/>
        <v>65564.930000000284</v>
      </c>
      <c r="AO82" s="147" t="s">
        <v>163</v>
      </c>
      <c r="AP82" s="147" t="s">
        <v>119</v>
      </c>
      <c r="AQ82" s="148">
        <v>45416</v>
      </c>
      <c r="AR82" s="149">
        <v>240839.09</v>
      </c>
      <c r="AS82" s="150">
        <v>274.16000000000003</v>
      </c>
      <c r="AT82" s="150">
        <v>0</v>
      </c>
      <c r="AU82" s="149">
        <v>3106.82</v>
      </c>
      <c r="AV82" s="150">
        <v>75.39</v>
      </c>
      <c r="AW82" s="149">
        <v>3456.37</v>
      </c>
      <c r="AX82" s="151"/>
    </row>
    <row r="83" spans="1:50" ht="15.5" x14ac:dyDescent="0.35">
      <c r="A83" s="98">
        <f t="shared" si="18"/>
        <v>40</v>
      </c>
      <c r="B83" s="99">
        <f t="shared" ca="1" si="10"/>
        <v>47274</v>
      </c>
      <c r="C83" s="100">
        <f t="shared" si="5"/>
        <v>178333.33333333308</v>
      </c>
      <c r="D83" s="100">
        <f t="shared" si="11"/>
        <v>1943.8333333333305</v>
      </c>
      <c r="E83" s="100">
        <f t="shared" si="12"/>
        <v>180277.16666666642</v>
      </c>
      <c r="F83" s="100">
        <f t="shared" si="13"/>
        <v>555.55555555555554</v>
      </c>
      <c r="G83" s="100">
        <f t="shared" si="14"/>
        <v>2224.9119669789316</v>
      </c>
      <c r="H83" s="100">
        <f t="shared" si="15"/>
        <v>41.016666666666609</v>
      </c>
      <c r="I83" s="100">
        <f t="shared" si="6"/>
        <v>20</v>
      </c>
      <c r="J83" s="100">
        <f t="shared" si="16"/>
        <v>2285.928633645598</v>
      </c>
      <c r="K83" s="101">
        <f t="shared" si="17"/>
        <v>177777.77777777752</v>
      </c>
      <c r="O83" s="118">
        <f t="shared" si="19"/>
        <v>16.666666666666664</v>
      </c>
      <c r="P83" s="119">
        <f t="shared" ca="1" si="8"/>
        <v>31</v>
      </c>
      <c r="Q83" s="120">
        <v>365</v>
      </c>
      <c r="AA83" s="96">
        <f t="shared" si="1"/>
        <v>45</v>
      </c>
      <c r="AB83" s="97">
        <f t="shared" si="2"/>
        <v>16336.961064533891</v>
      </c>
      <c r="AC83" s="97">
        <f t="shared" si="3"/>
        <v>2285.2897447567093</v>
      </c>
      <c r="AE83" s="96">
        <f t="shared" si="4"/>
        <v>45</v>
      </c>
      <c r="AF83" s="97">
        <f>IFERROR(VLOOKUP(AE83,[1]Cálculos_PRICE!$A$32:$K$212,10,0),"")</f>
        <v>16336.961064533891</v>
      </c>
      <c r="AG83" s="97">
        <f>IFERROR(VLOOKUP(AE83,'Cálculos_CGI - SAC FIXA'!A81:K473,10,0),"")</f>
        <v>2285.2897447567093</v>
      </c>
      <c r="AH83" s="97">
        <f>IFERROR(VLOOKUP(AE83,[1]Cálculos_PRICE!$A$32:$K$212,6,0),"")</f>
        <v>2125.9727318749738</v>
      </c>
      <c r="AI83" s="97">
        <f>IFERROR(VLOOKUP(AE83,'Cálculos_CGI - SAC FIXA'!A81:K473,6,0),"")</f>
        <v>555.55555555555554</v>
      </c>
      <c r="AJ83" s="97">
        <f>IFERROR(VLOOKUP(AE83,[1]Cálculos_PRICE!$A$32:$K$240,11,0),"")</f>
        <v>929756.53808500792</v>
      </c>
      <c r="AK83" s="97">
        <f>IFERROR(VLOOKUP(AE83,'Cálculos_CGI - SAC FIXA'!A81:K473,11,0),"")</f>
        <v>174999.99999999971</v>
      </c>
      <c r="AN83" s="157">
        <f t="shared" si="0"/>
        <v>65842.795555555844</v>
      </c>
      <c r="AO83" s="152" t="s">
        <v>164</v>
      </c>
      <c r="AP83" s="152" t="s">
        <v>119</v>
      </c>
      <c r="AQ83" s="153">
        <v>45447</v>
      </c>
      <c r="AR83" s="154">
        <v>240564.93</v>
      </c>
      <c r="AS83" s="155">
        <v>277.69</v>
      </c>
      <c r="AT83" s="155">
        <v>0</v>
      </c>
      <c r="AU83" s="154">
        <v>3103.29</v>
      </c>
      <c r="AV83" s="155">
        <v>75.33</v>
      </c>
      <c r="AW83" s="154">
        <v>3456.31</v>
      </c>
      <c r="AX83" s="156"/>
    </row>
    <row r="84" spans="1:50" ht="15.5" x14ac:dyDescent="0.35">
      <c r="A84" s="98">
        <f t="shared" si="18"/>
        <v>41</v>
      </c>
      <c r="B84" s="99">
        <f t="shared" ca="1" si="10"/>
        <v>47304</v>
      </c>
      <c r="C84" s="100">
        <f t="shared" si="5"/>
        <v>177777.77777777752</v>
      </c>
      <c r="D84" s="100">
        <f t="shared" si="11"/>
        <v>1937.7777777777749</v>
      </c>
      <c r="E84" s="100">
        <f t="shared" si="12"/>
        <v>179715.5555555553</v>
      </c>
      <c r="F84" s="100">
        <f t="shared" si="13"/>
        <v>555.55555555555554</v>
      </c>
      <c r="G84" s="100">
        <f t="shared" si="14"/>
        <v>2224.9119669789316</v>
      </c>
      <c r="H84" s="100">
        <f t="shared" si="15"/>
        <v>40.888888888888829</v>
      </c>
      <c r="I84" s="100">
        <f t="shared" si="6"/>
        <v>20</v>
      </c>
      <c r="J84" s="100">
        <f t="shared" si="16"/>
        <v>2285.8008558678202</v>
      </c>
      <c r="K84" s="101">
        <f t="shared" si="17"/>
        <v>177222.22222222196</v>
      </c>
      <c r="O84" s="118">
        <f t="shared" si="19"/>
        <v>16.666666666666664</v>
      </c>
      <c r="P84" s="119">
        <f t="shared" ca="1" si="8"/>
        <v>30</v>
      </c>
      <c r="Q84" s="120">
        <v>365</v>
      </c>
      <c r="AA84" s="96">
        <f t="shared" si="1"/>
        <v>46</v>
      </c>
      <c r="AB84" s="97">
        <f t="shared" si="2"/>
        <v>16336.488248198322</v>
      </c>
      <c r="AC84" s="97">
        <f t="shared" si="3"/>
        <v>2285.1619669789316</v>
      </c>
      <c r="AE84" s="96">
        <f t="shared" si="4"/>
        <v>46</v>
      </c>
      <c r="AF84" s="97">
        <f>IFERROR(VLOOKUP(AE84,[1]Cálculos_PRICE!$A$32:$K$212,10,0),"")</f>
        <v>16336.488248198322</v>
      </c>
      <c r="AG84" s="97">
        <f>IFERROR(VLOOKUP(AE84,'Cálculos_CGI - SAC FIXA'!A82:K474,10,0),"")</f>
        <v>2285.1619669789316</v>
      </c>
      <c r="AH84" s="97">
        <f>IFERROR(VLOOKUP(AE84,[1]Cálculos_PRICE!$A$32:$K$212,6,0),"")</f>
        <v>2157.8623228530978</v>
      </c>
      <c r="AI84" s="97">
        <f>IFERROR(VLOOKUP(AE84,'Cálculos_CGI - SAC FIXA'!A82:K474,6,0),"")</f>
        <v>555.55555555555554</v>
      </c>
      <c r="AJ84" s="97">
        <f>IFERROR(VLOOKUP(AE84,[1]Cálculos_PRICE!$A$32:$K$240,11,0),"")</f>
        <v>927598.67576215486</v>
      </c>
      <c r="AK84" s="97">
        <f>IFERROR(VLOOKUP(AE84,'Cálculos_CGI - SAC FIXA'!A82:K474,11,0),"")</f>
        <v>174444.44444444415</v>
      </c>
      <c r="AN84" s="157">
        <f t="shared" si="0"/>
        <v>66117.081111111416</v>
      </c>
      <c r="AO84" s="147" t="s">
        <v>165</v>
      </c>
      <c r="AP84" s="147" t="s">
        <v>119</v>
      </c>
      <c r="AQ84" s="148">
        <v>45477</v>
      </c>
      <c r="AR84" s="149">
        <v>240287.24</v>
      </c>
      <c r="AS84" s="150">
        <v>281.27</v>
      </c>
      <c r="AT84" s="150">
        <v>0</v>
      </c>
      <c r="AU84" s="149">
        <v>3099.71</v>
      </c>
      <c r="AV84" s="150">
        <v>75.27</v>
      </c>
      <c r="AW84" s="149">
        <v>3456.25</v>
      </c>
      <c r="AX84" s="151"/>
    </row>
    <row r="85" spans="1:50" ht="15.5" x14ac:dyDescent="0.35">
      <c r="A85" s="98">
        <f t="shared" si="18"/>
        <v>42</v>
      </c>
      <c r="B85" s="99">
        <f t="shared" ca="1" si="10"/>
        <v>47335</v>
      </c>
      <c r="C85" s="100">
        <f t="shared" si="5"/>
        <v>177222.22222222196</v>
      </c>
      <c r="D85" s="100">
        <f t="shared" si="11"/>
        <v>1931.7222222222192</v>
      </c>
      <c r="E85" s="100">
        <f t="shared" si="12"/>
        <v>179153.94444444418</v>
      </c>
      <c r="F85" s="100">
        <f t="shared" si="13"/>
        <v>555.55555555555554</v>
      </c>
      <c r="G85" s="100">
        <f t="shared" si="14"/>
        <v>2224.9119669789316</v>
      </c>
      <c r="H85" s="100">
        <f t="shared" si="15"/>
        <v>40.761111111111049</v>
      </c>
      <c r="I85" s="100">
        <f t="shared" si="6"/>
        <v>20</v>
      </c>
      <c r="J85" s="100">
        <f t="shared" si="16"/>
        <v>2285.6730780900425</v>
      </c>
      <c r="K85" s="101">
        <f t="shared" si="17"/>
        <v>176666.6666666664</v>
      </c>
      <c r="O85" s="118">
        <f t="shared" si="19"/>
        <v>16.666666666666664</v>
      </c>
      <c r="P85" s="119">
        <f t="shared" ca="1" si="8"/>
        <v>31</v>
      </c>
      <c r="Q85" s="120">
        <v>365</v>
      </c>
      <c r="AA85" s="96">
        <f t="shared" si="1"/>
        <v>47</v>
      </c>
      <c r="AB85" s="97">
        <f t="shared" si="2"/>
        <v>16336.00833961772</v>
      </c>
      <c r="AC85" s="97">
        <f t="shared" si="3"/>
        <v>2285.0341892011538</v>
      </c>
      <c r="AE85" s="96">
        <f t="shared" si="4"/>
        <v>47</v>
      </c>
      <c r="AF85" s="97">
        <f>IFERROR(VLOOKUP(AE85,[1]Cálculos_PRICE!$A$32:$K$212,10,0),"")</f>
        <v>16336.00833961772</v>
      </c>
      <c r="AG85" s="97">
        <f>IFERROR(VLOOKUP(AE85,'Cálculos_CGI - SAC FIXA'!A83:K475,10,0),"")</f>
        <v>2285.0341892011538</v>
      </c>
      <c r="AH85" s="97">
        <f>IFERROR(VLOOKUP(AE85,[1]Cálculos_PRICE!$A$32:$K$212,6,0),"")</f>
        <v>2190.2302576958937</v>
      </c>
      <c r="AI85" s="97">
        <f>IFERROR(VLOOKUP(AE85,'Cálculos_CGI - SAC FIXA'!A83:K475,6,0),"")</f>
        <v>555.55555555555554</v>
      </c>
      <c r="AJ85" s="97">
        <f>IFERROR(VLOOKUP(AE85,[1]Cálculos_PRICE!$A$32:$K$240,11,0),"")</f>
        <v>925408.44550445897</v>
      </c>
      <c r="AK85" s="97">
        <f>IFERROR(VLOOKUP(AE85,'Cálculos_CGI - SAC FIXA'!A83:K475,11,0),"")</f>
        <v>173888.88888888858</v>
      </c>
      <c r="AN85" s="157">
        <f t="shared" si="0"/>
        <v>66387.736666666984</v>
      </c>
      <c r="AO85" s="152" t="s">
        <v>166</v>
      </c>
      <c r="AP85" s="152" t="s">
        <v>119</v>
      </c>
      <c r="AQ85" s="153">
        <v>45508</v>
      </c>
      <c r="AR85" s="154">
        <v>240005.97</v>
      </c>
      <c r="AS85" s="155">
        <v>284.89999999999998</v>
      </c>
      <c r="AT85" s="155">
        <v>0</v>
      </c>
      <c r="AU85" s="154">
        <v>3096.08</v>
      </c>
      <c r="AV85" s="155">
        <v>75.2</v>
      </c>
      <c r="AW85" s="154">
        <v>3456.18</v>
      </c>
      <c r="AX85" s="156"/>
    </row>
    <row r="86" spans="1:50" ht="15.5" x14ac:dyDescent="0.35">
      <c r="A86" s="98">
        <f t="shared" si="18"/>
        <v>43</v>
      </c>
      <c r="B86" s="99">
        <f t="shared" ca="1" si="10"/>
        <v>47366</v>
      </c>
      <c r="C86" s="100">
        <f t="shared" si="5"/>
        <v>176666.6666666664</v>
      </c>
      <c r="D86" s="100">
        <f t="shared" si="11"/>
        <v>1925.6666666666638</v>
      </c>
      <c r="E86" s="100">
        <f t="shared" si="12"/>
        <v>178592.33333333305</v>
      </c>
      <c r="F86" s="100">
        <f t="shared" si="13"/>
        <v>555.55555555555554</v>
      </c>
      <c r="G86" s="100">
        <f t="shared" si="14"/>
        <v>2224.9119669789316</v>
      </c>
      <c r="H86" s="100">
        <f t="shared" si="15"/>
        <v>40.633333333333269</v>
      </c>
      <c r="I86" s="100">
        <f t="shared" si="6"/>
        <v>20</v>
      </c>
      <c r="J86" s="100">
        <f t="shared" si="16"/>
        <v>2285.5453003122648</v>
      </c>
      <c r="K86" s="101">
        <f t="shared" si="17"/>
        <v>176111.11111111083</v>
      </c>
      <c r="O86" s="118">
        <f t="shared" si="19"/>
        <v>16.666666666666664</v>
      </c>
      <c r="P86" s="119">
        <f t="shared" ca="1" si="8"/>
        <v>31</v>
      </c>
      <c r="Q86" s="120">
        <v>365</v>
      </c>
      <c r="AA86" s="96">
        <f t="shared" si="1"/>
        <v>48</v>
      </c>
      <c r="AB86" s="97">
        <f t="shared" si="2"/>
        <v>16335.521232408408</v>
      </c>
      <c r="AC86" s="97">
        <f t="shared" si="3"/>
        <v>2284.9064114233761</v>
      </c>
      <c r="AE86" s="96">
        <f t="shared" si="4"/>
        <v>48</v>
      </c>
      <c r="AF86" s="97">
        <f>IFERROR(VLOOKUP(AE86,[1]Cálculos_PRICE!$A$32:$K$212,10,0),"")</f>
        <v>16335.521232408408</v>
      </c>
      <c r="AG86" s="97">
        <f>IFERROR(VLOOKUP(AE86,'Cálculos_CGI - SAC FIXA'!A84:K476,10,0),"")</f>
        <v>2284.9064114233761</v>
      </c>
      <c r="AH86" s="97">
        <f>IFERROR(VLOOKUP(AE86,[1]Cálculos_PRICE!$A$32:$K$212,6,0),"")</f>
        <v>2223.0837115613322</v>
      </c>
      <c r="AI86" s="97">
        <f>IFERROR(VLOOKUP(AE86,'Cálculos_CGI - SAC FIXA'!A84:K476,6,0),"")</f>
        <v>555.55555555555554</v>
      </c>
      <c r="AJ86" s="97">
        <f>IFERROR(VLOOKUP(AE86,[1]Cálculos_PRICE!$A$32:$K$240,11,0),"")</f>
        <v>923185.36179289769</v>
      </c>
      <c r="AK86" s="97">
        <f>IFERROR(VLOOKUP(AE86,'Cálculos_CGI - SAC FIXA'!A84:K476,11,0),"")</f>
        <v>173333.33333333302</v>
      </c>
      <c r="AN86" s="157">
        <f t="shared" si="0"/>
        <v>66654.71222222253</v>
      </c>
      <c r="AO86" s="147" t="s">
        <v>167</v>
      </c>
      <c r="AP86" s="147" t="s">
        <v>119</v>
      </c>
      <c r="AQ86" s="148">
        <v>45539</v>
      </c>
      <c r="AR86" s="149">
        <v>239721.07</v>
      </c>
      <c r="AS86" s="150">
        <v>288.58</v>
      </c>
      <c r="AT86" s="150">
        <v>0</v>
      </c>
      <c r="AU86" s="149">
        <v>3092.4</v>
      </c>
      <c r="AV86" s="150">
        <v>75.14</v>
      </c>
      <c r="AW86" s="149">
        <v>3456.12</v>
      </c>
      <c r="AX86" s="151"/>
    </row>
    <row r="87" spans="1:50" ht="15.5" x14ac:dyDescent="0.35">
      <c r="A87" s="98">
        <f t="shared" si="18"/>
        <v>44</v>
      </c>
      <c r="B87" s="99">
        <f t="shared" ca="1" si="10"/>
        <v>47396</v>
      </c>
      <c r="C87" s="100">
        <f t="shared" si="5"/>
        <v>176111.11111111083</v>
      </c>
      <c r="D87" s="100">
        <f t="shared" si="11"/>
        <v>1919.6111111111081</v>
      </c>
      <c r="E87" s="100">
        <f t="shared" si="12"/>
        <v>178030.72222222193</v>
      </c>
      <c r="F87" s="100">
        <f t="shared" si="13"/>
        <v>555.55555555555554</v>
      </c>
      <c r="G87" s="100">
        <f t="shared" si="14"/>
        <v>2224.9119669789316</v>
      </c>
      <c r="H87" s="100">
        <f t="shared" si="15"/>
        <v>40.505555555555496</v>
      </c>
      <c r="I87" s="100">
        <f t="shared" si="6"/>
        <v>20</v>
      </c>
      <c r="J87" s="100">
        <f t="shared" si="16"/>
        <v>2285.417522534487</v>
      </c>
      <c r="K87" s="101">
        <f t="shared" si="17"/>
        <v>175555.55555555527</v>
      </c>
      <c r="O87" s="118">
        <f t="shared" si="19"/>
        <v>16.666666666666664</v>
      </c>
      <c r="P87" s="119">
        <f t="shared" ca="1" si="8"/>
        <v>30</v>
      </c>
      <c r="Q87" s="120">
        <v>365</v>
      </c>
      <c r="AA87" s="96">
        <f t="shared" si="1"/>
        <v>49</v>
      </c>
      <c r="AB87" s="97">
        <f t="shared" si="2"/>
        <v>16335.026818590957</v>
      </c>
      <c r="AC87" s="97">
        <f t="shared" si="3"/>
        <v>2284.7786336455983</v>
      </c>
      <c r="AE87" s="96">
        <f t="shared" si="4"/>
        <v>49</v>
      </c>
      <c r="AF87" s="97">
        <f>IFERROR(VLOOKUP(AE87,[1]Cálculos_PRICE!$A$32:$K$212,10,0),"")</f>
        <v>16335.026818590957</v>
      </c>
      <c r="AG87" s="97">
        <f>IFERROR(VLOOKUP(AE87,'Cálculos_CGI - SAC FIXA'!A85:K477,10,0),"")</f>
        <v>2284.7786336455983</v>
      </c>
      <c r="AH87" s="97">
        <f>IFERROR(VLOOKUP(AE87,[1]Cálculos_PRICE!$A$32:$K$212,6,0),"")</f>
        <v>2256.4299672347515</v>
      </c>
      <c r="AI87" s="97">
        <f>IFERROR(VLOOKUP(AE87,'Cálculos_CGI - SAC FIXA'!A85:K477,6,0),"")</f>
        <v>555.55555555555554</v>
      </c>
      <c r="AJ87" s="97">
        <f>IFERROR(VLOOKUP(AE87,[1]Cálculos_PRICE!$A$32:$K$240,11,0),"")</f>
        <v>920928.93182566296</v>
      </c>
      <c r="AK87" s="97">
        <f>IFERROR(VLOOKUP(AE87,'Cálculos_CGI - SAC FIXA'!A85:K477,11,0),"")</f>
        <v>172777.77777777746</v>
      </c>
      <c r="AN87" s="157">
        <f t="shared" si="0"/>
        <v>66917.967777778103</v>
      </c>
      <c r="AO87" s="152" t="s">
        <v>168</v>
      </c>
      <c r="AP87" s="152" t="s">
        <v>119</v>
      </c>
      <c r="AQ87" s="153">
        <v>45569</v>
      </c>
      <c r="AR87" s="154">
        <v>239432.49</v>
      </c>
      <c r="AS87" s="155">
        <v>292.3</v>
      </c>
      <c r="AT87" s="155">
        <v>0</v>
      </c>
      <c r="AU87" s="154">
        <v>3088.68</v>
      </c>
      <c r="AV87" s="155">
        <v>75.069999999999993</v>
      </c>
      <c r="AW87" s="154">
        <v>3456.05</v>
      </c>
      <c r="AX87" s="156"/>
    </row>
    <row r="88" spans="1:50" ht="15.5" x14ac:dyDescent="0.35">
      <c r="A88" s="98">
        <f t="shared" si="18"/>
        <v>45</v>
      </c>
      <c r="B88" s="99">
        <f t="shared" ca="1" si="10"/>
        <v>47427</v>
      </c>
      <c r="C88" s="100">
        <f t="shared" si="5"/>
        <v>175555.55555555527</v>
      </c>
      <c r="D88" s="100">
        <f t="shared" si="11"/>
        <v>1913.5555555555525</v>
      </c>
      <c r="E88" s="100">
        <f t="shared" si="12"/>
        <v>177469.11111111083</v>
      </c>
      <c r="F88" s="100">
        <f t="shared" si="13"/>
        <v>555.55555555555554</v>
      </c>
      <c r="G88" s="100">
        <f t="shared" si="14"/>
        <v>2224.9119669789316</v>
      </c>
      <c r="H88" s="100">
        <f t="shared" si="15"/>
        <v>40.377777777777716</v>
      </c>
      <c r="I88" s="100">
        <f t="shared" si="6"/>
        <v>20</v>
      </c>
      <c r="J88" s="100">
        <f t="shared" si="16"/>
        <v>2285.2897447567093</v>
      </c>
      <c r="K88" s="101">
        <f t="shared" si="17"/>
        <v>174999.99999999971</v>
      </c>
      <c r="O88" s="118">
        <f t="shared" si="19"/>
        <v>16.666666666666664</v>
      </c>
      <c r="P88" s="119">
        <f t="shared" ca="1" si="8"/>
        <v>31</v>
      </c>
      <c r="Q88" s="120">
        <v>365</v>
      </c>
      <c r="S88" s="137" t="s">
        <v>51</v>
      </c>
      <c r="T88" s="137" t="s">
        <v>53</v>
      </c>
      <c r="U88" s="137" t="s">
        <v>43</v>
      </c>
      <c r="AA88" s="96">
        <f t="shared" si="1"/>
        <v>50</v>
      </c>
      <c r="AB88" s="97">
        <f t="shared" si="2"/>
        <v>16334.524988566243</v>
      </c>
      <c r="AC88" s="97">
        <f t="shared" si="3"/>
        <v>2284.6508558678202</v>
      </c>
      <c r="AE88" s="96">
        <f t="shared" si="4"/>
        <v>50</v>
      </c>
      <c r="AF88" s="97">
        <f>IFERROR(VLOOKUP(AE88,[1]Cálculos_PRICE!$A$32:$K$212,10,0),"")</f>
        <v>16334.524988566243</v>
      </c>
      <c r="AG88" s="97">
        <f>IFERROR(VLOOKUP(AE88,'Cálculos_CGI - SAC FIXA'!A86:K478,10,0),"")</f>
        <v>2284.6508558678202</v>
      </c>
      <c r="AH88" s="97">
        <f>IFERROR(VLOOKUP(AE88,[1]Cálculos_PRICE!$A$32:$K$212,6,0),"")</f>
        <v>2290.2764167432724</v>
      </c>
      <c r="AI88" s="97">
        <f>IFERROR(VLOOKUP(AE88,'Cálculos_CGI - SAC FIXA'!A86:K478,6,0),"")</f>
        <v>555.55555555555554</v>
      </c>
      <c r="AJ88" s="97">
        <f>IFERROR(VLOOKUP(AE88,[1]Cálculos_PRICE!$A$32:$K$240,11,0),"")</f>
        <v>918638.65540891967</v>
      </c>
      <c r="AK88" s="97">
        <f>IFERROR(VLOOKUP(AE88,'Cálculos_CGI - SAC FIXA'!A86:K478,11,0),"")</f>
        <v>172222.2222222219</v>
      </c>
      <c r="AN88" s="157">
        <f t="shared" si="0"/>
        <v>67177.453333333659</v>
      </c>
      <c r="AO88" s="147" t="s">
        <v>169</v>
      </c>
      <c r="AP88" s="147" t="s">
        <v>119</v>
      </c>
      <c r="AQ88" s="148">
        <v>45600</v>
      </c>
      <c r="AR88" s="149">
        <v>239140.19</v>
      </c>
      <c r="AS88" s="150">
        <v>296.07</v>
      </c>
      <c r="AT88" s="150">
        <v>0</v>
      </c>
      <c r="AU88" s="149">
        <v>3084.91</v>
      </c>
      <c r="AV88" s="150">
        <v>75</v>
      </c>
      <c r="AW88" s="149">
        <v>3455.98</v>
      </c>
      <c r="AX88" s="151"/>
    </row>
    <row r="89" spans="1:50" ht="15.5" x14ac:dyDescent="0.35">
      <c r="A89" s="98">
        <f t="shared" si="18"/>
        <v>46</v>
      </c>
      <c r="B89" s="99">
        <f t="shared" ca="1" si="10"/>
        <v>47457</v>
      </c>
      <c r="C89" s="100">
        <f t="shared" si="5"/>
        <v>174999.99999999971</v>
      </c>
      <c r="D89" s="100">
        <f t="shared" si="11"/>
        <v>1907.4999999999968</v>
      </c>
      <c r="E89" s="100">
        <f t="shared" si="12"/>
        <v>176907.49999999971</v>
      </c>
      <c r="F89" s="100">
        <f t="shared" si="13"/>
        <v>555.55555555555554</v>
      </c>
      <c r="G89" s="100">
        <f t="shared" si="14"/>
        <v>2224.9119669789316</v>
      </c>
      <c r="H89" s="100">
        <f t="shared" si="15"/>
        <v>40.249999999999936</v>
      </c>
      <c r="I89" s="100">
        <f t="shared" si="6"/>
        <v>20</v>
      </c>
      <c r="J89" s="100">
        <f t="shared" si="16"/>
        <v>2285.1619669789316</v>
      </c>
      <c r="K89" s="101">
        <f t="shared" si="17"/>
        <v>174444.44444444415</v>
      </c>
      <c r="O89" s="118">
        <f t="shared" si="19"/>
        <v>16.666666666666664</v>
      </c>
      <c r="P89" s="119">
        <f t="shared" ca="1" si="8"/>
        <v>30</v>
      </c>
      <c r="Q89" s="120">
        <v>365</v>
      </c>
      <c r="S89" s="123">
        <v>18</v>
      </c>
      <c r="T89" s="137">
        <v>1.284E-4</v>
      </c>
      <c r="U89" s="137" t="s">
        <v>75</v>
      </c>
      <c r="AA89" s="96">
        <f t="shared" si="1"/>
        <v>51</v>
      </c>
      <c r="AB89" s="97">
        <f t="shared" si="2"/>
        <v>16334.015631091161</v>
      </c>
      <c r="AC89" s="97">
        <f t="shared" si="3"/>
        <v>2284.5230780900424</v>
      </c>
      <c r="AE89" s="96">
        <f t="shared" si="4"/>
        <v>51</v>
      </c>
      <c r="AF89" s="97">
        <f>IFERROR(VLOOKUP(AE89,[1]Cálculos_PRICE!$A$32:$K$212,10,0),"")</f>
        <v>16334.015631091161</v>
      </c>
      <c r="AG89" s="97">
        <f>IFERROR(VLOOKUP(AE89,'Cálculos_CGI - SAC FIXA'!A87:K479,10,0),"")</f>
        <v>2284.5230780900424</v>
      </c>
      <c r="AH89" s="97">
        <f>IFERROR(VLOOKUP(AE89,[1]Cálculos_PRICE!$A$32:$K$212,6,0),"")</f>
        <v>2324.6305629944218</v>
      </c>
      <c r="AI89" s="97">
        <f>IFERROR(VLOOKUP(AE89,'Cálculos_CGI - SAC FIXA'!A87:K479,6,0),"")</f>
        <v>555.55555555555554</v>
      </c>
      <c r="AJ89" s="97">
        <f>IFERROR(VLOOKUP(AE89,[1]Cálculos_PRICE!$A$32:$K$240,11,0),"")</f>
        <v>916314.02484592528</v>
      </c>
      <c r="AK89" s="97">
        <f>IFERROR(VLOOKUP(AE89,'Cálculos_CGI - SAC FIXA'!A87:K479,11,0),"")</f>
        <v>171666.66666666634</v>
      </c>
      <c r="AN89" s="157">
        <f t="shared" si="0"/>
        <v>67433.118888889236</v>
      </c>
      <c r="AO89" s="152" t="s">
        <v>170</v>
      </c>
      <c r="AP89" s="152" t="s">
        <v>119</v>
      </c>
      <c r="AQ89" s="153">
        <v>45630</v>
      </c>
      <c r="AR89" s="154">
        <v>238844.12</v>
      </c>
      <c r="AS89" s="155">
        <v>299.89</v>
      </c>
      <c r="AT89" s="155">
        <v>0</v>
      </c>
      <c r="AU89" s="154">
        <v>3081.09</v>
      </c>
      <c r="AV89" s="155">
        <v>74.930000000000007</v>
      </c>
      <c r="AW89" s="154">
        <v>3455.91</v>
      </c>
      <c r="AX89" s="156"/>
    </row>
    <row r="90" spans="1:50" ht="15.5" x14ac:dyDescent="0.35">
      <c r="A90" s="98">
        <f t="shared" si="18"/>
        <v>47</v>
      </c>
      <c r="B90" s="99">
        <f t="shared" ca="1" si="10"/>
        <v>47488</v>
      </c>
      <c r="C90" s="100">
        <f t="shared" si="5"/>
        <v>174444.44444444415</v>
      </c>
      <c r="D90" s="100">
        <f t="shared" si="11"/>
        <v>1901.4444444444412</v>
      </c>
      <c r="E90" s="100">
        <f t="shared" si="12"/>
        <v>176345.88888888858</v>
      </c>
      <c r="F90" s="100">
        <f t="shared" si="13"/>
        <v>555.55555555555554</v>
      </c>
      <c r="G90" s="100">
        <f t="shared" si="14"/>
        <v>2224.9119669789316</v>
      </c>
      <c r="H90" s="100">
        <f t="shared" si="15"/>
        <v>40.122222222222156</v>
      </c>
      <c r="I90" s="100">
        <f t="shared" si="6"/>
        <v>20</v>
      </c>
      <c r="J90" s="100">
        <f t="shared" si="16"/>
        <v>2285.0341892011538</v>
      </c>
      <c r="K90" s="101">
        <f t="shared" si="17"/>
        <v>173888.88888888858</v>
      </c>
      <c r="O90" s="118">
        <f t="shared" si="19"/>
        <v>16.666666666666664</v>
      </c>
      <c r="P90" s="119">
        <f t="shared" ca="1" si="8"/>
        <v>31</v>
      </c>
      <c r="Q90" s="120">
        <v>365</v>
      </c>
      <c r="S90" s="123">
        <v>19</v>
      </c>
      <c r="T90" s="137">
        <v>1.284E-4</v>
      </c>
      <c r="U90" s="137" t="s">
        <v>75</v>
      </c>
      <c r="AA90" s="96">
        <f t="shared" si="1"/>
        <v>52</v>
      </c>
      <c r="AB90" s="97">
        <f t="shared" si="2"/>
        <v>16333.49863325395</v>
      </c>
      <c r="AC90" s="97">
        <f t="shared" si="3"/>
        <v>2284.3953003122647</v>
      </c>
      <c r="AE90" s="96">
        <f t="shared" si="4"/>
        <v>52</v>
      </c>
      <c r="AF90" s="97">
        <f>IFERROR(VLOOKUP(AE90,[1]Cálculos_PRICE!$A$32:$K$212,10,0),"")</f>
        <v>16333.49863325395</v>
      </c>
      <c r="AG90" s="97">
        <f>IFERROR(VLOOKUP(AE90,'Cálculos_CGI - SAC FIXA'!A88:K480,10,0),"")</f>
        <v>2284.3953003122647</v>
      </c>
      <c r="AH90" s="97">
        <f>IFERROR(VLOOKUP(AE90,[1]Cálculos_PRICE!$A$32:$K$212,6,0),"")</f>
        <v>2359.5000214393385</v>
      </c>
      <c r="AI90" s="97">
        <f>IFERROR(VLOOKUP(AE90,'Cálculos_CGI - SAC FIXA'!A88:K480,6,0),"")</f>
        <v>555.55555555555554</v>
      </c>
      <c r="AJ90" s="97">
        <f>IFERROR(VLOOKUP(AE90,[1]Cálculos_PRICE!$A$32:$K$240,11,0),"")</f>
        <v>913954.52482448588</v>
      </c>
      <c r="AK90" s="97">
        <f>IFERROR(VLOOKUP(AE90,'Cálculos_CGI - SAC FIXA'!A88:K480,11,0),"")</f>
        <v>171111.11111111077</v>
      </c>
      <c r="AN90" s="157">
        <f t="shared" si="0"/>
        <v>67684.914444444788</v>
      </c>
      <c r="AO90" s="147" t="s">
        <v>171</v>
      </c>
      <c r="AP90" s="147" t="s">
        <v>119</v>
      </c>
      <c r="AQ90" s="148">
        <v>45661</v>
      </c>
      <c r="AR90" s="149">
        <v>238544.23</v>
      </c>
      <c r="AS90" s="150">
        <v>303.76</v>
      </c>
      <c r="AT90" s="150">
        <v>0</v>
      </c>
      <c r="AU90" s="149">
        <v>3077.22</v>
      </c>
      <c r="AV90" s="150">
        <v>74.87</v>
      </c>
      <c r="AW90" s="149">
        <v>3455.85</v>
      </c>
      <c r="AX90" s="151"/>
    </row>
    <row r="91" spans="1:50" ht="15.5" x14ac:dyDescent="0.35">
      <c r="A91" s="98">
        <f t="shared" si="18"/>
        <v>48</v>
      </c>
      <c r="B91" s="99">
        <f t="shared" ca="1" si="10"/>
        <v>47519</v>
      </c>
      <c r="C91" s="100">
        <f t="shared" si="5"/>
        <v>173888.88888888858</v>
      </c>
      <c r="D91" s="100">
        <f t="shared" si="11"/>
        <v>1895.3888888888855</v>
      </c>
      <c r="E91" s="100">
        <f t="shared" si="12"/>
        <v>175784.27777777746</v>
      </c>
      <c r="F91" s="100">
        <f t="shared" si="13"/>
        <v>555.55555555555554</v>
      </c>
      <c r="G91" s="100">
        <f t="shared" si="14"/>
        <v>2224.9119669789316</v>
      </c>
      <c r="H91" s="100">
        <f t="shared" si="15"/>
        <v>39.994444444444376</v>
      </c>
      <c r="I91" s="100">
        <f t="shared" si="6"/>
        <v>20</v>
      </c>
      <c r="J91" s="100">
        <f t="shared" si="16"/>
        <v>2284.9064114233761</v>
      </c>
      <c r="K91" s="101">
        <f t="shared" si="17"/>
        <v>173333.33333333302</v>
      </c>
      <c r="O91" s="118">
        <f t="shared" si="19"/>
        <v>16.666666666666664</v>
      </c>
      <c r="P91" s="119">
        <f t="shared" ca="1" si="8"/>
        <v>31</v>
      </c>
      <c r="Q91" s="120">
        <v>365</v>
      </c>
      <c r="S91" s="123">
        <v>20</v>
      </c>
      <c r="T91" s="137">
        <v>1.284E-4</v>
      </c>
      <c r="U91" s="137" t="s">
        <v>75</v>
      </c>
      <c r="AA91" s="96">
        <f t="shared" si="1"/>
        <v>53</v>
      </c>
      <c r="AB91" s="97">
        <f t="shared" si="2"/>
        <v>16332.973880449183</v>
      </c>
      <c r="AC91" s="97">
        <f t="shared" si="3"/>
        <v>2284.2675225344869</v>
      </c>
      <c r="AE91" s="96">
        <f t="shared" si="4"/>
        <v>53</v>
      </c>
      <c r="AF91" s="97">
        <f>IFERROR(VLOOKUP(AE91,[1]Cálculos_PRICE!$A$32:$K$212,10,0),"")</f>
        <v>16332.973880449183</v>
      </c>
      <c r="AG91" s="97">
        <f>IFERROR(VLOOKUP(AE91,'Cálculos_CGI - SAC FIXA'!A89:K481,10,0),"")</f>
        <v>2284.2675225344869</v>
      </c>
      <c r="AH91" s="97">
        <f>IFERROR(VLOOKUP(AE91,[1]Cálculos_PRICE!$A$32:$K$212,6,0),"")</f>
        <v>2394.8925217609285</v>
      </c>
      <c r="AI91" s="97">
        <f>IFERROR(VLOOKUP(AE91,'Cálculos_CGI - SAC FIXA'!A89:K481,6,0),"")</f>
        <v>555.55555555555554</v>
      </c>
      <c r="AJ91" s="97">
        <f>IFERROR(VLOOKUP(AE91,[1]Cálculos_PRICE!$A$32:$K$240,11,0),"")</f>
        <v>911559.63230272499</v>
      </c>
      <c r="AK91" s="97">
        <f>IFERROR(VLOOKUP(AE91,'Cálculos_CGI - SAC FIXA'!A89:K481,11,0),"")</f>
        <v>170555.55555555521</v>
      </c>
      <c r="AN91" s="157">
        <f t="shared" si="0"/>
        <v>67932.790000000357</v>
      </c>
      <c r="AO91" s="152" t="s">
        <v>172</v>
      </c>
      <c r="AP91" s="152" t="s">
        <v>119</v>
      </c>
      <c r="AQ91" s="153">
        <v>45692</v>
      </c>
      <c r="AR91" s="154">
        <v>238240.47</v>
      </c>
      <c r="AS91" s="155">
        <v>307.68</v>
      </c>
      <c r="AT91" s="155">
        <v>0</v>
      </c>
      <c r="AU91" s="154">
        <v>3073.3</v>
      </c>
      <c r="AV91" s="155">
        <v>74.8</v>
      </c>
      <c r="AW91" s="154">
        <v>3455.78</v>
      </c>
      <c r="AX91" s="156"/>
    </row>
    <row r="92" spans="1:50" ht="15.5" x14ac:dyDescent="0.35">
      <c r="A92" s="98">
        <f t="shared" si="18"/>
        <v>49</v>
      </c>
      <c r="B92" s="99">
        <f t="shared" ca="1" si="10"/>
        <v>47547</v>
      </c>
      <c r="C92" s="100">
        <f t="shared" si="5"/>
        <v>173333.33333333302</v>
      </c>
      <c r="D92" s="100">
        <f t="shared" si="11"/>
        <v>1889.3333333333298</v>
      </c>
      <c r="E92" s="100">
        <f t="shared" si="12"/>
        <v>175222.66666666637</v>
      </c>
      <c r="F92" s="100">
        <f t="shared" si="13"/>
        <v>555.55555555555554</v>
      </c>
      <c r="G92" s="100">
        <f t="shared" si="14"/>
        <v>2224.9119669789316</v>
      </c>
      <c r="H92" s="100">
        <f t="shared" si="15"/>
        <v>39.866666666666596</v>
      </c>
      <c r="I92" s="100">
        <f t="shared" si="6"/>
        <v>20</v>
      </c>
      <c r="J92" s="100">
        <f t="shared" si="16"/>
        <v>2284.7786336455983</v>
      </c>
      <c r="K92" s="101">
        <f t="shared" si="17"/>
        <v>172777.77777777746</v>
      </c>
      <c r="O92" s="118">
        <f t="shared" si="19"/>
        <v>16.666666666666664</v>
      </c>
      <c r="P92" s="119">
        <f t="shared" ca="1" si="8"/>
        <v>28</v>
      </c>
      <c r="Q92" s="120">
        <v>365</v>
      </c>
      <c r="S92" s="123">
        <v>21</v>
      </c>
      <c r="T92" s="137">
        <v>1.284E-4</v>
      </c>
      <c r="U92" s="137" t="s">
        <v>75</v>
      </c>
      <c r="AA92" s="96">
        <f t="shared" si="1"/>
        <v>54</v>
      </c>
      <c r="AB92" s="97">
        <f t="shared" si="2"/>
        <v>16332.441256352342</v>
      </c>
      <c r="AC92" s="97">
        <f t="shared" si="3"/>
        <v>2284.1397447567092</v>
      </c>
      <c r="AE92" s="96">
        <f t="shared" si="4"/>
        <v>54</v>
      </c>
      <c r="AF92" s="97">
        <f>IFERROR(VLOOKUP(AE92,[1]Cálculos_PRICE!$A$32:$K$212,10,0),"")</f>
        <v>16332.441256352342</v>
      </c>
      <c r="AG92" s="97">
        <f>IFERROR(VLOOKUP(AE92,'Cálculos_CGI - SAC FIXA'!A90:K482,10,0),"")</f>
        <v>2284.1397447567092</v>
      </c>
      <c r="AH92" s="97">
        <f>IFERROR(VLOOKUP(AE92,[1]Cálculos_PRICE!$A$32:$K$212,6,0),"")</f>
        <v>2430.8159095873416</v>
      </c>
      <c r="AI92" s="97">
        <f>IFERROR(VLOOKUP(AE92,'Cálculos_CGI - SAC FIXA'!A90:K482,6,0),"")</f>
        <v>555.55555555555554</v>
      </c>
      <c r="AJ92" s="97">
        <f>IFERROR(VLOOKUP(AE92,[1]Cálculos_PRICE!$A$32:$K$240,11,0),"")</f>
        <v>909128.81639313768</v>
      </c>
      <c r="AK92" s="97">
        <f>IFERROR(VLOOKUP(AE92,'Cálculos_CGI - SAC FIXA'!A90:K482,11,0),"")</f>
        <v>169999.99999999965</v>
      </c>
      <c r="AN92" s="157">
        <f t="shared" si="0"/>
        <v>68176.695555555925</v>
      </c>
      <c r="AO92" s="147" t="s">
        <v>173</v>
      </c>
      <c r="AP92" s="147" t="s">
        <v>119</v>
      </c>
      <c r="AQ92" s="148">
        <v>45720</v>
      </c>
      <c r="AR92" s="149">
        <v>237932.79</v>
      </c>
      <c r="AS92" s="150">
        <v>311.64999999999998</v>
      </c>
      <c r="AT92" s="150">
        <v>0</v>
      </c>
      <c r="AU92" s="149">
        <v>3069.33</v>
      </c>
      <c r="AV92" s="150">
        <v>74.72</v>
      </c>
      <c r="AW92" s="149">
        <v>3455.7</v>
      </c>
      <c r="AX92" s="151"/>
    </row>
    <row r="93" spans="1:50" ht="15.5" x14ac:dyDescent="0.35">
      <c r="A93" s="98">
        <f t="shared" si="18"/>
        <v>50</v>
      </c>
      <c r="B93" s="99">
        <f t="shared" ca="1" si="10"/>
        <v>47578</v>
      </c>
      <c r="C93" s="100">
        <f t="shared" si="5"/>
        <v>172777.77777777746</v>
      </c>
      <c r="D93" s="100">
        <f t="shared" si="11"/>
        <v>1883.2777777777744</v>
      </c>
      <c r="E93" s="100">
        <f t="shared" si="12"/>
        <v>174661.05555555524</v>
      </c>
      <c r="F93" s="100">
        <f t="shared" si="13"/>
        <v>555.55555555555554</v>
      </c>
      <c r="G93" s="100">
        <f t="shared" si="14"/>
        <v>2224.9119669789316</v>
      </c>
      <c r="H93" s="100">
        <f t="shared" si="15"/>
        <v>39.738888888888816</v>
      </c>
      <c r="I93" s="100">
        <f t="shared" si="6"/>
        <v>20</v>
      </c>
      <c r="J93" s="100">
        <f t="shared" si="16"/>
        <v>2284.6508558678202</v>
      </c>
      <c r="K93" s="101">
        <f t="shared" si="17"/>
        <v>172222.2222222219</v>
      </c>
      <c r="O93" s="118">
        <f t="shared" si="19"/>
        <v>16.666666666666664</v>
      </c>
      <c r="P93" s="119">
        <f t="shared" ca="1" si="8"/>
        <v>31</v>
      </c>
      <c r="Q93" s="120">
        <v>365</v>
      </c>
      <c r="S93" s="123">
        <v>22</v>
      </c>
      <c r="T93" s="137">
        <v>1.284E-4</v>
      </c>
      <c r="U93" s="137" t="s">
        <v>75</v>
      </c>
      <c r="AA93" s="96">
        <f t="shared" si="1"/>
        <v>55</v>
      </c>
      <c r="AB93" s="97">
        <f t="shared" si="2"/>
        <v>16331.90064289405</v>
      </c>
      <c r="AC93" s="97">
        <f t="shared" si="3"/>
        <v>2284.0119669789315</v>
      </c>
      <c r="AE93" s="96">
        <f t="shared" si="4"/>
        <v>55</v>
      </c>
      <c r="AF93" s="97">
        <f>IFERROR(VLOOKUP(AE93,[1]Cálculos_PRICE!$A$32:$K$212,10,0),"")</f>
        <v>16331.90064289405</v>
      </c>
      <c r="AG93" s="97">
        <f>IFERROR(VLOOKUP(AE93,'Cálculos_CGI - SAC FIXA'!A91:K483,10,0),"")</f>
        <v>2284.0119669789315</v>
      </c>
      <c r="AH93" s="97">
        <f>IFERROR(VLOOKUP(AE93,[1]Cálculos_PRICE!$A$32:$K$212,6,0),"")</f>
        <v>2467.2781482311511</v>
      </c>
      <c r="AI93" s="97">
        <f>IFERROR(VLOOKUP(AE93,'Cálculos_CGI - SAC FIXA'!A91:K483,6,0),"")</f>
        <v>555.55555555555554</v>
      </c>
      <c r="AJ93" s="97">
        <f>IFERROR(VLOOKUP(AE93,[1]Cálculos_PRICE!$A$32:$K$240,11,0),"")</f>
        <v>906661.53824490658</v>
      </c>
      <c r="AK93" s="97">
        <f>IFERROR(VLOOKUP(AE93,'Cálculos_CGI - SAC FIXA'!A91:K483,11,0),"")</f>
        <v>169444.44444444409</v>
      </c>
      <c r="AN93" s="157">
        <f t="shared" si="0"/>
        <v>68416.581111111474</v>
      </c>
      <c r="AO93" s="152" t="s">
        <v>174</v>
      </c>
      <c r="AP93" s="152" t="s">
        <v>119</v>
      </c>
      <c r="AQ93" s="153">
        <v>45751</v>
      </c>
      <c r="AR93" s="154">
        <v>237621.14</v>
      </c>
      <c r="AS93" s="155">
        <v>315.67</v>
      </c>
      <c r="AT93" s="155">
        <v>0</v>
      </c>
      <c r="AU93" s="154">
        <v>3065.31</v>
      </c>
      <c r="AV93" s="155">
        <v>74.650000000000006</v>
      </c>
      <c r="AW93" s="154">
        <v>3455.63</v>
      </c>
      <c r="AX93" s="156"/>
    </row>
    <row r="94" spans="1:50" ht="15.5" x14ac:dyDescent="0.35">
      <c r="A94" s="98">
        <f t="shared" si="18"/>
        <v>51</v>
      </c>
      <c r="B94" s="99">
        <f t="shared" ca="1" si="10"/>
        <v>47608</v>
      </c>
      <c r="C94" s="100">
        <f t="shared" si="5"/>
        <v>172222.2222222219</v>
      </c>
      <c r="D94" s="100">
        <f t="shared" si="11"/>
        <v>1877.2222222222188</v>
      </c>
      <c r="E94" s="100">
        <f t="shared" si="12"/>
        <v>174099.44444444412</v>
      </c>
      <c r="F94" s="100">
        <f t="shared" si="13"/>
        <v>555.55555555555554</v>
      </c>
      <c r="G94" s="100">
        <f t="shared" si="14"/>
        <v>2224.9119669789316</v>
      </c>
      <c r="H94" s="100">
        <f t="shared" si="15"/>
        <v>39.611111111111036</v>
      </c>
      <c r="I94" s="100">
        <f t="shared" si="6"/>
        <v>20</v>
      </c>
      <c r="J94" s="100">
        <f t="shared" si="16"/>
        <v>2284.5230780900424</v>
      </c>
      <c r="K94" s="101">
        <f t="shared" si="17"/>
        <v>171666.66666666634</v>
      </c>
      <c r="O94" s="118">
        <f t="shared" si="19"/>
        <v>16.666666666666664</v>
      </c>
      <c r="P94" s="119">
        <f t="shared" ca="1" si="8"/>
        <v>30</v>
      </c>
      <c r="Q94" s="120">
        <v>365</v>
      </c>
      <c r="S94" s="123">
        <v>23</v>
      </c>
      <c r="T94" s="137">
        <v>1.284E-4</v>
      </c>
      <c r="U94" s="137" t="s">
        <v>75</v>
      </c>
      <c r="AA94" s="96">
        <f t="shared" si="1"/>
        <v>56</v>
      </c>
      <c r="AB94" s="97">
        <f t="shared" si="2"/>
        <v>16331.351920233883</v>
      </c>
      <c r="AC94" s="97">
        <f t="shared" si="3"/>
        <v>2283.8841892011537</v>
      </c>
      <c r="AE94" s="96">
        <f t="shared" si="4"/>
        <v>56</v>
      </c>
      <c r="AF94" s="97">
        <f>IFERROR(VLOOKUP(AE94,[1]Cálculos_PRICE!$A$32:$K$212,10,0),"")</f>
        <v>16331.351920233883</v>
      </c>
      <c r="AG94" s="97">
        <f>IFERROR(VLOOKUP(AE94,'Cálculos_CGI - SAC FIXA'!A92:K484,10,0),"")</f>
        <v>2283.8841892011537</v>
      </c>
      <c r="AH94" s="97">
        <f>IFERROR(VLOOKUP(AE94,[1]Cálculos_PRICE!$A$32:$K$212,6,0),"")</f>
        <v>2504.2873204546177</v>
      </c>
      <c r="AI94" s="97">
        <f>IFERROR(VLOOKUP(AE94,'Cálculos_CGI - SAC FIXA'!A92:K484,6,0),"")</f>
        <v>555.55555555555554</v>
      </c>
      <c r="AJ94" s="97">
        <f>IFERROR(VLOOKUP(AE94,[1]Cálculos_PRICE!$A$32:$K$240,11,0),"")</f>
        <v>904157.25092445198</v>
      </c>
      <c r="AK94" s="97">
        <f>IFERROR(VLOOKUP(AE94,'Cálculos_CGI - SAC FIXA'!A92:K484,11,0),"")</f>
        <v>168888.88888888853</v>
      </c>
      <c r="AN94" s="157">
        <f t="shared" si="0"/>
        <v>68652.396666667046</v>
      </c>
      <c r="AO94" s="147" t="s">
        <v>175</v>
      </c>
      <c r="AP94" s="147" t="s">
        <v>119</v>
      </c>
      <c r="AQ94" s="148">
        <v>45781</v>
      </c>
      <c r="AR94" s="149">
        <v>237305.47</v>
      </c>
      <c r="AS94" s="150">
        <v>319.74</v>
      </c>
      <c r="AT94" s="150">
        <v>0</v>
      </c>
      <c r="AU94" s="149">
        <v>3061.24</v>
      </c>
      <c r="AV94" s="150">
        <v>74.58</v>
      </c>
      <c r="AW94" s="149">
        <v>3455.56</v>
      </c>
      <c r="AX94" s="151"/>
    </row>
    <row r="95" spans="1:50" ht="15.5" x14ac:dyDescent="0.35">
      <c r="A95" s="98">
        <f t="shared" si="18"/>
        <v>52</v>
      </c>
      <c r="B95" s="99">
        <f t="shared" ca="1" si="10"/>
        <v>47639</v>
      </c>
      <c r="C95" s="100">
        <f t="shared" si="5"/>
        <v>171666.66666666634</v>
      </c>
      <c r="D95" s="100">
        <f t="shared" si="11"/>
        <v>1871.1666666666631</v>
      </c>
      <c r="E95" s="100">
        <f t="shared" si="12"/>
        <v>173537.83333333299</v>
      </c>
      <c r="F95" s="100">
        <f t="shared" si="13"/>
        <v>555.55555555555554</v>
      </c>
      <c r="G95" s="100">
        <f t="shared" si="14"/>
        <v>2224.9119669789316</v>
      </c>
      <c r="H95" s="100">
        <f t="shared" si="15"/>
        <v>39.483333333333256</v>
      </c>
      <c r="I95" s="100">
        <f t="shared" si="6"/>
        <v>20</v>
      </c>
      <c r="J95" s="100">
        <f t="shared" si="16"/>
        <v>2284.3953003122647</v>
      </c>
      <c r="K95" s="101">
        <f t="shared" si="17"/>
        <v>171111.11111111077</v>
      </c>
      <c r="O95" s="118">
        <f t="shared" si="19"/>
        <v>16.666666666666664</v>
      </c>
      <c r="P95" s="119">
        <f t="shared" ca="1" si="8"/>
        <v>31</v>
      </c>
      <c r="Q95" s="120">
        <v>365</v>
      </c>
      <c r="S95" s="123">
        <v>24</v>
      </c>
      <c r="T95" s="137">
        <v>1.284E-4</v>
      </c>
      <c r="U95" s="137" t="s">
        <v>75</v>
      </c>
      <c r="AA95" s="96">
        <f t="shared" si="1"/>
        <v>57</v>
      </c>
      <c r="AB95" s="97">
        <f t="shared" si="2"/>
        <v>16330.794966733814</v>
      </c>
      <c r="AC95" s="97">
        <f t="shared" si="3"/>
        <v>2283.756411423376</v>
      </c>
      <c r="AE95" s="96">
        <f t="shared" si="4"/>
        <v>57</v>
      </c>
      <c r="AF95" s="97">
        <f>IFERROR(VLOOKUP(AE95,[1]Cálculos_PRICE!$A$32:$K$212,10,0),"")</f>
        <v>16330.794966733814</v>
      </c>
      <c r="AG95" s="97">
        <f>IFERROR(VLOOKUP(AE95,'Cálculos_CGI - SAC FIXA'!A93:K485,10,0),"")</f>
        <v>2283.756411423376</v>
      </c>
      <c r="AH95" s="97">
        <f>IFERROR(VLOOKUP(AE95,[1]Cálculos_PRICE!$A$32:$K$212,6,0),"")</f>
        <v>2541.8516302614371</v>
      </c>
      <c r="AI95" s="97">
        <f>IFERROR(VLOOKUP(AE95,'Cálculos_CGI - SAC FIXA'!A93:K485,6,0),"")</f>
        <v>555.55555555555554</v>
      </c>
      <c r="AJ95" s="97">
        <f>IFERROR(VLOOKUP(AE95,[1]Cálculos_PRICE!$A$32:$K$240,11,0),"")</f>
        <v>901615.39929419057</v>
      </c>
      <c r="AK95" s="97">
        <f>IFERROR(VLOOKUP(AE95,'Cálculos_CGI - SAC FIXA'!A93:K485,11,0),"")</f>
        <v>168333.33333333296</v>
      </c>
      <c r="AN95" s="157">
        <f t="shared" si="0"/>
        <v>68884.092222222593</v>
      </c>
      <c r="AO95" s="152" t="s">
        <v>176</v>
      </c>
      <c r="AP95" s="152" t="s">
        <v>119</v>
      </c>
      <c r="AQ95" s="153">
        <v>45812</v>
      </c>
      <c r="AR95" s="154">
        <v>236985.73</v>
      </c>
      <c r="AS95" s="155">
        <v>323.86</v>
      </c>
      <c r="AT95" s="155">
        <v>0</v>
      </c>
      <c r="AU95" s="154">
        <v>3057.12</v>
      </c>
      <c r="AV95" s="155">
        <v>74.510000000000005</v>
      </c>
      <c r="AW95" s="154">
        <v>3455.49</v>
      </c>
      <c r="AX95" s="156"/>
    </row>
    <row r="96" spans="1:50" ht="15.5" x14ac:dyDescent="0.35">
      <c r="A96" s="98">
        <f t="shared" si="18"/>
        <v>53</v>
      </c>
      <c r="B96" s="99">
        <f t="shared" ca="1" si="10"/>
        <v>47669</v>
      </c>
      <c r="C96" s="100">
        <f t="shared" si="5"/>
        <v>171111.11111111077</v>
      </c>
      <c r="D96" s="100">
        <f t="shared" si="11"/>
        <v>1865.1111111111074</v>
      </c>
      <c r="E96" s="100">
        <f t="shared" si="12"/>
        <v>172976.22222222187</v>
      </c>
      <c r="F96" s="100">
        <f t="shared" si="13"/>
        <v>555.55555555555554</v>
      </c>
      <c r="G96" s="100">
        <f t="shared" si="14"/>
        <v>2224.9119669789316</v>
      </c>
      <c r="H96" s="100">
        <f t="shared" si="15"/>
        <v>39.355555555555476</v>
      </c>
      <c r="I96" s="100">
        <f t="shared" si="6"/>
        <v>20</v>
      </c>
      <c r="J96" s="100">
        <f t="shared" si="16"/>
        <v>2284.2675225344869</v>
      </c>
      <c r="K96" s="101">
        <f t="shared" si="17"/>
        <v>170555.55555555521</v>
      </c>
      <c r="O96" s="118">
        <f t="shared" si="19"/>
        <v>16.666666666666664</v>
      </c>
      <c r="P96" s="119">
        <f t="shared" ca="1" si="8"/>
        <v>30</v>
      </c>
      <c r="Q96" s="120">
        <v>365</v>
      </c>
      <c r="S96" s="123">
        <v>25</v>
      </c>
      <c r="T96" s="137">
        <v>1.284E-4</v>
      </c>
      <c r="U96" s="137" t="s">
        <v>75</v>
      </c>
      <c r="AA96" s="96">
        <f t="shared" si="1"/>
        <v>58</v>
      </c>
      <c r="AB96" s="97">
        <f t="shared" si="2"/>
        <v>16330.229658931245</v>
      </c>
      <c r="AC96" s="97">
        <f t="shared" si="3"/>
        <v>2283.6286336455983</v>
      </c>
      <c r="AE96" s="96">
        <f t="shared" si="4"/>
        <v>58</v>
      </c>
      <c r="AF96" s="97">
        <f>IFERROR(VLOOKUP(AE96,[1]Cálculos_PRICE!$A$32:$K$212,10,0),"")</f>
        <v>16330.229658931245</v>
      </c>
      <c r="AG96" s="97">
        <f>IFERROR(VLOOKUP(AE96,'Cálculos_CGI - SAC FIXA'!A94:K486,10,0),"")</f>
        <v>2283.6286336455983</v>
      </c>
      <c r="AH96" s="97">
        <f>IFERROR(VLOOKUP(AE96,[1]Cálculos_PRICE!$A$32:$K$212,6,0),"")</f>
        <v>2579.9794047153591</v>
      </c>
      <c r="AI96" s="97">
        <f>IFERROR(VLOOKUP(AE96,'Cálculos_CGI - SAC FIXA'!A94:K486,6,0),"")</f>
        <v>555.55555555555554</v>
      </c>
      <c r="AJ96" s="97">
        <f>IFERROR(VLOOKUP(AE96,[1]Cálculos_PRICE!$A$32:$K$240,11,0),"")</f>
        <v>899035.41988947522</v>
      </c>
      <c r="AK96" s="97">
        <f>IFERROR(VLOOKUP(AE96,'Cálculos_CGI - SAC FIXA'!A94:K486,11,0),"")</f>
        <v>167777.7777777774</v>
      </c>
      <c r="AN96" s="157">
        <f t="shared" si="0"/>
        <v>69111.607777778147</v>
      </c>
      <c r="AO96" s="147" t="s">
        <v>177</v>
      </c>
      <c r="AP96" s="147" t="s">
        <v>119</v>
      </c>
      <c r="AQ96" s="148">
        <v>45842</v>
      </c>
      <c r="AR96" s="149">
        <v>236661.87</v>
      </c>
      <c r="AS96" s="150">
        <v>328.04</v>
      </c>
      <c r="AT96" s="150">
        <v>0</v>
      </c>
      <c r="AU96" s="149">
        <v>3052.94</v>
      </c>
      <c r="AV96" s="150">
        <v>74.430000000000007</v>
      </c>
      <c r="AW96" s="149">
        <v>3455.41</v>
      </c>
      <c r="AX96" s="151"/>
    </row>
    <row r="97" spans="1:50" ht="15.5" x14ac:dyDescent="0.35">
      <c r="A97" s="98">
        <f t="shared" si="18"/>
        <v>54</v>
      </c>
      <c r="B97" s="99">
        <f t="shared" ca="1" si="10"/>
        <v>47700</v>
      </c>
      <c r="C97" s="100">
        <f t="shared" si="5"/>
        <v>170555.55555555521</v>
      </c>
      <c r="D97" s="100">
        <f t="shared" si="11"/>
        <v>1859.0555555555518</v>
      </c>
      <c r="E97" s="100">
        <f t="shared" si="12"/>
        <v>172414.61111111077</v>
      </c>
      <c r="F97" s="100">
        <f t="shared" si="13"/>
        <v>555.55555555555554</v>
      </c>
      <c r="G97" s="100">
        <f t="shared" si="14"/>
        <v>2224.9119669789316</v>
      </c>
      <c r="H97" s="100">
        <f t="shared" si="15"/>
        <v>39.227777777777703</v>
      </c>
      <c r="I97" s="100">
        <f t="shared" si="6"/>
        <v>20</v>
      </c>
      <c r="J97" s="100">
        <f t="shared" si="16"/>
        <v>2284.1397447567092</v>
      </c>
      <c r="K97" s="101">
        <f t="shared" si="17"/>
        <v>169999.99999999965</v>
      </c>
      <c r="O97" s="118">
        <f t="shared" si="19"/>
        <v>16.666666666666664</v>
      </c>
      <c r="P97" s="119">
        <f t="shared" ca="1" si="8"/>
        <v>31</v>
      </c>
      <c r="Q97" s="120">
        <v>365</v>
      </c>
      <c r="S97" s="123">
        <v>26</v>
      </c>
      <c r="T97" s="137">
        <v>1.284E-4</v>
      </c>
      <c r="U97" s="137" t="s">
        <v>76</v>
      </c>
      <c r="AA97" s="96">
        <f t="shared" si="1"/>
        <v>59</v>
      </c>
      <c r="AB97" s="97">
        <f t="shared" si="2"/>
        <v>16329.655871511635</v>
      </c>
      <c r="AC97" s="97">
        <f t="shared" si="3"/>
        <v>2283.5008558678205</v>
      </c>
      <c r="AE97" s="96">
        <f t="shared" si="4"/>
        <v>59</v>
      </c>
      <c r="AF97" s="97">
        <f>IFERROR(VLOOKUP(AE97,[1]Cálculos_PRICE!$A$32:$K$212,10,0),"")</f>
        <v>16329.655871511635</v>
      </c>
      <c r="AG97" s="97">
        <f>IFERROR(VLOOKUP(AE97,'Cálculos_CGI - SAC FIXA'!A95:K487,10,0),"")</f>
        <v>2283.5008558678205</v>
      </c>
      <c r="AH97" s="97">
        <f>IFERROR(VLOOKUP(AE97,[1]Cálculos_PRICE!$A$32:$K$212,6,0),"")</f>
        <v>2618.6790957860885</v>
      </c>
      <c r="AI97" s="97">
        <f>IFERROR(VLOOKUP(AE97,'Cálculos_CGI - SAC FIXA'!A95:K487,6,0),"")</f>
        <v>555.55555555555554</v>
      </c>
      <c r="AJ97" s="97">
        <f>IFERROR(VLOOKUP(AE97,[1]Cálculos_PRICE!$A$32:$K$240,11,0),"")</f>
        <v>896416.74079368915</v>
      </c>
      <c r="AK97" s="97">
        <f>IFERROR(VLOOKUP(AE97,'Cálculos_CGI - SAC FIXA'!A95:K487,11,0),"")</f>
        <v>167222.22222222184</v>
      </c>
      <c r="AN97" s="157">
        <f t="shared" si="0"/>
        <v>69334.893333333719</v>
      </c>
      <c r="AO97" s="152" t="s">
        <v>178</v>
      </c>
      <c r="AP97" s="152" t="s">
        <v>119</v>
      </c>
      <c r="AQ97" s="153">
        <v>45873</v>
      </c>
      <c r="AR97" s="154">
        <v>236333.83</v>
      </c>
      <c r="AS97" s="155">
        <v>332.27</v>
      </c>
      <c r="AT97" s="155">
        <v>0</v>
      </c>
      <c r="AU97" s="154">
        <v>3048.71</v>
      </c>
      <c r="AV97" s="155">
        <v>74.36</v>
      </c>
      <c r="AW97" s="154">
        <v>3455.34</v>
      </c>
      <c r="AX97" s="156"/>
    </row>
    <row r="98" spans="1:50" ht="15.5" x14ac:dyDescent="0.35">
      <c r="A98" s="98">
        <f t="shared" si="18"/>
        <v>55</v>
      </c>
      <c r="B98" s="99">
        <f t="shared" ca="1" si="10"/>
        <v>47731</v>
      </c>
      <c r="C98" s="100">
        <f t="shared" si="5"/>
        <v>169999.99999999965</v>
      </c>
      <c r="D98" s="100">
        <f t="shared" si="11"/>
        <v>1852.9999999999961</v>
      </c>
      <c r="E98" s="100">
        <f t="shared" si="12"/>
        <v>171852.99999999965</v>
      </c>
      <c r="F98" s="100">
        <f t="shared" si="13"/>
        <v>555.55555555555554</v>
      </c>
      <c r="G98" s="100">
        <f t="shared" si="14"/>
        <v>2224.9119669789316</v>
      </c>
      <c r="H98" s="100">
        <f t="shared" si="15"/>
        <v>39.099999999999923</v>
      </c>
      <c r="I98" s="100">
        <f t="shared" si="6"/>
        <v>20</v>
      </c>
      <c r="J98" s="100">
        <f t="shared" si="16"/>
        <v>2284.0119669789315</v>
      </c>
      <c r="K98" s="101">
        <f t="shared" si="17"/>
        <v>169444.44444444409</v>
      </c>
      <c r="O98" s="118">
        <f t="shared" si="19"/>
        <v>16.666666666666664</v>
      </c>
      <c r="P98" s="119">
        <f t="shared" ca="1" si="8"/>
        <v>31</v>
      </c>
      <c r="Q98" s="120">
        <v>365</v>
      </c>
      <c r="S98" s="123">
        <v>27</v>
      </c>
      <c r="T98" s="137">
        <v>1.284E-4</v>
      </c>
      <c r="U98" s="137" t="s">
        <v>76</v>
      </c>
      <c r="AA98" s="96">
        <f t="shared" si="1"/>
        <v>60</v>
      </c>
      <c r="AB98" s="97">
        <f t="shared" si="2"/>
        <v>16329.073477280734</v>
      </c>
      <c r="AC98" s="97">
        <f t="shared" si="3"/>
        <v>2283.3730780900428</v>
      </c>
      <c r="AE98" s="96">
        <f t="shared" si="4"/>
        <v>60</v>
      </c>
      <c r="AF98" s="97">
        <f>IFERROR(VLOOKUP(AE98,[1]Cálculos_PRICE!$A$32:$K$212,10,0),"")</f>
        <v>16329.073477280734</v>
      </c>
      <c r="AG98" s="97">
        <f>IFERROR(VLOOKUP(AE98,'Cálculos_CGI - SAC FIXA'!A96:K488,10,0),"")</f>
        <v>2283.3730780900428</v>
      </c>
      <c r="AH98" s="97">
        <f>IFERROR(VLOOKUP(AE98,[1]Cálculos_PRICE!$A$32:$K$212,6,0),"")</f>
        <v>2657.9592822228806</v>
      </c>
      <c r="AI98" s="97">
        <f>IFERROR(VLOOKUP(AE98,'Cálculos_CGI - SAC FIXA'!A96:K488,6,0),"")</f>
        <v>555.55555555555554</v>
      </c>
      <c r="AJ98" s="97">
        <f>IFERROR(VLOOKUP(AE98,[1]Cálculos_PRICE!$A$32:$K$240,11,0),"")</f>
        <v>893758.78151146625</v>
      </c>
      <c r="AK98" s="97">
        <f>IFERROR(VLOOKUP(AE98,'Cálculos_CGI - SAC FIXA'!A96:K488,11,0),"")</f>
        <v>166666.66666666628</v>
      </c>
      <c r="AN98" s="157">
        <f t="shared" si="0"/>
        <v>69553.888888889283</v>
      </c>
      <c r="AO98" s="147" t="s">
        <v>179</v>
      </c>
      <c r="AP98" s="147" t="s">
        <v>119</v>
      </c>
      <c r="AQ98" s="148">
        <v>45904</v>
      </c>
      <c r="AR98" s="149">
        <v>236001.56</v>
      </c>
      <c r="AS98" s="150">
        <v>336.56</v>
      </c>
      <c r="AT98" s="150">
        <v>0</v>
      </c>
      <c r="AU98" s="149">
        <v>3044.42</v>
      </c>
      <c r="AV98" s="150">
        <v>74.28</v>
      </c>
      <c r="AW98" s="149">
        <v>3455.26</v>
      </c>
      <c r="AX98" s="151"/>
    </row>
    <row r="99" spans="1:50" ht="15.5" x14ac:dyDescent="0.35">
      <c r="A99" s="98">
        <f t="shared" si="18"/>
        <v>56</v>
      </c>
      <c r="B99" s="99">
        <f t="shared" ca="1" si="10"/>
        <v>47761</v>
      </c>
      <c r="C99" s="100">
        <f t="shared" si="5"/>
        <v>169444.44444444409</v>
      </c>
      <c r="D99" s="100">
        <f t="shared" si="11"/>
        <v>1846.9444444444405</v>
      </c>
      <c r="E99" s="100">
        <f t="shared" si="12"/>
        <v>171291.38888888853</v>
      </c>
      <c r="F99" s="100">
        <f t="shared" si="13"/>
        <v>555.55555555555554</v>
      </c>
      <c r="G99" s="100">
        <f t="shared" si="14"/>
        <v>2224.9119669789316</v>
      </c>
      <c r="H99" s="100">
        <f t="shared" si="15"/>
        <v>38.972222222222143</v>
      </c>
      <c r="I99" s="100">
        <f t="shared" si="6"/>
        <v>20</v>
      </c>
      <c r="J99" s="100">
        <f t="shared" si="16"/>
        <v>2283.8841892011537</v>
      </c>
      <c r="K99" s="101">
        <f t="shared" si="17"/>
        <v>168888.88888888853</v>
      </c>
      <c r="O99" s="118">
        <f t="shared" si="19"/>
        <v>16.666666666666664</v>
      </c>
      <c r="P99" s="119">
        <f t="shared" ca="1" si="8"/>
        <v>30</v>
      </c>
      <c r="Q99" s="120">
        <v>365</v>
      </c>
      <c r="S99" s="123">
        <v>28</v>
      </c>
      <c r="T99" s="137">
        <v>1.284E-4</v>
      </c>
      <c r="U99" s="137" t="s">
        <v>76</v>
      </c>
      <c r="AA99" s="96">
        <f t="shared" si="1"/>
        <v>61</v>
      </c>
      <c r="AB99" s="97">
        <f t="shared" si="2"/>
        <v>16328.482347136367</v>
      </c>
      <c r="AC99" s="97">
        <f t="shared" si="3"/>
        <v>2283.2453003122646</v>
      </c>
      <c r="AE99" s="96">
        <f t="shared" si="4"/>
        <v>61</v>
      </c>
      <c r="AF99" s="97">
        <f>IFERROR(VLOOKUP(AE99,[1]Cálculos_PRICE!$A$32:$K$212,10,0),"")</f>
        <v>16328.482347136367</v>
      </c>
      <c r="AG99" s="97">
        <f>IFERROR(VLOOKUP(AE99,'Cálculos_CGI - SAC FIXA'!A97:K489,10,0),"")</f>
        <v>2283.2453003122646</v>
      </c>
      <c r="AH99" s="97">
        <f>IFERROR(VLOOKUP(AE99,[1]Cálculos_PRICE!$A$32:$K$212,6,0),"")</f>
        <v>2697.8286714562237</v>
      </c>
      <c r="AI99" s="97">
        <f>IFERROR(VLOOKUP(AE99,'Cálculos_CGI - SAC FIXA'!A97:K489,6,0),"")</f>
        <v>555.55555555555554</v>
      </c>
      <c r="AJ99" s="97">
        <f>IFERROR(VLOOKUP(AE99,[1]Cálculos_PRICE!$A$32:$K$240,11,0),"")</f>
        <v>891060.95284001005</v>
      </c>
      <c r="AK99" s="97">
        <f>IFERROR(VLOOKUP(AE99,'Cálculos_CGI - SAC FIXA'!A97:K489,11,0),"")</f>
        <v>166111.11111111072</v>
      </c>
      <c r="AN99" s="157">
        <f t="shared" si="0"/>
        <v>69768.544444444851</v>
      </c>
      <c r="AO99" s="152" t="s">
        <v>180</v>
      </c>
      <c r="AP99" s="152" t="s">
        <v>119</v>
      </c>
      <c r="AQ99" s="153">
        <v>45934</v>
      </c>
      <c r="AR99" s="154">
        <v>235665</v>
      </c>
      <c r="AS99" s="155">
        <v>340.9</v>
      </c>
      <c r="AT99" s="155">
        <v>0</v>
      </c>
      <c r="AU99" s="154">
        <v>3040.08</v>
      </c>
      <c r="AV99" s="155">
        <v>74.2</v>
      </c>
      <c r="AW99" s="154">
        <v>3455.18</v>
      </c>
      <c r="AX99" s="156"/>
    </row>
    <row r="100" spans="1:50" ht="15.5" x14ac:dyDescent="0.35">
      <c r="A100" s="98">
        <f t="shared" si="18"/>
        <v>57</v>
      </c>
      <c r="B100" s="99">
        <f t="shared" ca="1" si="10"/>
        <v>47792</v>
      </c>
      <c r="C100" s="100">
        <f t="shared" si="5"/>
        <v>168888.88888888853</v>
      </c>
      <c r="D100" s="100">
        <f t="shared" si="11"/>
        <v>1840.888888888885</v>
      </c>
      <c r="E100" s="100">
        <f t="shared" si="12"/>
        <v>170729.7777777774</v>
      </c>
      <c r="F100" s="100">
        <f t="shared" si="13"/>
        <v>555.55555555555554</v>
      </c>
      <c r="G100" s="100">
        <f t="shared" si="14"/>
        <v>2224.9119669789316</v>
      </c>
      <c r="H100" s="100">
        <f t="shared" si="15"/>
        <v>38.844444444444363</v>
      </c>
      <c r="I100" s="100">
        <f t="shared" si="6"/>
        <v>20</v>
      </c>
      <c r="J100" s="100">
        <f t="shared" si="16"/>
        <v>2283.756411423376</v>
      </c>
      <c r="K100" s="101">
        <f t="shared" si="17"/>
        <v>168333.33333333296</v>
      </c>
      <c r="O100" s="118">
        <f t="shared" si="19"/>
        <v>16.666666666666664</v>
      </c>
      <c r="P100" s="119">
        <f t="shared" ca="1" si="8"/>
        <v>31</v>
      </c>
      <c r="Q100" s="120">
        <v>365</v>
      </c>
      <c r="S100" s="123">
        <v>29</v>
      </c>
      <c r="T100" s="137">
        <v>1.284E-4</v>
      </c>
      <c r="U100" s="137" t="s">
        <v>76</v>
      </c>
      <c r="AA100" s="96">
        <f t="shared" si="1"/>
        <v>62</v>
      </c>
      <c r="AB100" s="97">
        <f t="shared" si="2"/>
        <v>16327.882350039836</v>
      </c>
      <c r="AC100" s="97">
        <f t="shared" si="3"/>
        <v>2283.1175225344869</v>
      </c>
      <c r="AE100" s="96">
        <f t="shared" si="4"/>
        <v>62</v>
      </c>
      <c r="AF100" s="97">
        <f>IFERROR(VLOOKUP(AE100,[1]Cálculos_PRICE!$A$32:$K$212,10,0),"")</f>
        <v>16327.882350039836</v>
      </c>
      <c r="AG100" s="97">
        <f>IFERROR(VLOOKUP(AE100,'Cálculos_CGI - SAC FIXA'!A98:K490,10,0),"")</f>
        <v>2283.1175225344869</v>
      </c>
      <c r="AH100" s="97">
        <f>IFERROR(VLOOKUP(AE100,[1]Cálculos_PRICE!$A$32:$K$212,6,0),"")</f>
        <v>2738.2961015280671</v>
      </c>
      <c r="AI100" s="97">
        <f>IFERROR(VLOOKUP(AE100,'Cálculos_CGI - SAC FIXA'!A98:K490,6,0),"")</f>
        <v>555.55555555555554</v>
      </c>
      <c r="AJ100" s="97">
        <f>IFERROR(VLOOKUP(AE100,[1]Cálculos_PRICE!$A$32:$K$240,11,0),"")</f>
        <v>888322.65673848195</v>
      </c>
      <c r="AK100" s="97">
        <f>IFERROR(VLOOKUP(AE100,'Cálculos_CGI - SAC FIXA'!A98:K490,11,0),"")</f>
        <v>165555.55555555515</v>
      </c>
      <c r="AN100" s="157">
        <f t="shared" si="0"/>
        <v>69978.800000000396</v>
      </c>
      <c r="AO100" s="147" t="s">
        <v>181</v>
      </c>
      <c r="AP100" s="147" t="s">
        <v>119</v>
      </c>
      <c r="AQ100" s="148">
        <v>45965</v>
      </c>
      <c r="AR100" s="149">
        <v>235324.1</v>
      </c>
      <c r="AS100" s="150">
        <v>345.3</v>
      </c>
      <c r="AT100" s="150">
        <v>0</v>
      </c>
      <c r="AU100" s="149">
        <v>3035.68</v>
      </c>
      <c r="AV100" s="150">
        <v>74.12</v>
      </c>
      <c r="AW100" s="149">
        <v>3455.1</v>
      </c>
      <c r="AX100" s="151"/>
    </row>
    <row r="101" spans="1:50" ht="15.5" x14ac:dyDescent="0.35">
      <c r="A101" s="98">
        <f t="shared" si="18"/>
        <v>58</v>
      </c>
      <c r="B101" s="99">
        <f t="shared" ca="1" si="10"/>
        <v>47822</v>
      </c>
      <c r="C101" s="100">
        <f t="shared" si="5"/>
        <v>168333.33333333296</v>
      </c>
      <c r="D101" s="100">
        <f t="shared" si="11"/>
        <v>1834.8333333333294</v>
      </c>
      <c r="E101" s="100">
        <f t="shared" si="12"/>
        <v>170168.16666666631</v>
      </c>
      <c r="F101" s="100">
        <f t="shared" si="13"/>
        <v>555.55555555555554</v>
      </c>
      <c r="G101" s="100">
        <f t="shared" si="14"/>
        <v>2224.9119669789316</v>
      </c>
      <c r="H101" s="100">
        <f t="shared" si="15"/>
        <v>38.716666666666583</v>
      </c>
      <c r="I101" s="100">
        <f t="shared" si="6"/>
        <v>20</v>
      </c>
      <c r="J101" s="100">
        <f t="shared" si="16"/>
        <v>2283.6286336455983</v>
      </c>
      <c r="K101" s="101">
        <f t="shared" si="17"/>
        <v>167777.7777777774</v>
      </c>
      <c r="O101" s="118">
        <f t="shared" si="19"/>
        <v>16.666666666666664</v>
      </c>
      <c r="P101" s="119">
        <f t="shared" ca="1" si="8"/>
        <v>30</v>
      </c>
      <c r="Q101" s="120">
        <v>365</v>
      </c>
      <c r="S101" s="123">
        <v>30</v>
      </c>
      <c r="T101" s="137">
        <v>1.284E-4</v>
      </c>
      <c r="U101" s="137" t="s">
        <v>76</v>
      </c>
      <c r="AA101" s="96">
        <f t="shared" si="1"/>
        <v>63</v>
      </c>
      <c r="AB101" s="97">
        <f t="shared" si="2"/>
        <v>16327.273352986855</v>
      </c>
      <c r="AC101" s="97">
        <f t="shared" si="3"/>
        <v>2282.9897447567091</v>
      </c>
      <c r="AE101" s="96">
        <f t="shared" si="4"/>
        <v>63</v>
      </c>
      <c r="AF101" s="97">
        <f>IFERROR(VLOOKUP(AE101,[1]Cálculos_PRICE!$A$32:$K$212,10,0),"")</f>
        <v>16327.273352986855</v>
      </c>
      <c r="AG101" s="97">
        <f>IFERROR(VLOOKUP(AE101,'Cálculos_CGI - SAC FIXA'!A99:K491,10,0),"")</f>
        <v>2282.9897447567091</v>
      </c>
      <c r="AH101" s="97">
        <f>IFERROR(VLOOKUP(AE101,[1]Cálculos_PRICE!$A$32:$K$212,6,0),"")</f>
        <v>2779.3705430509872</v>
      </c>
      <c r="AI101" s="97">
        <f>IFERROR(VLOOKUP(AE101,'Cálculos_CGI - SAC FIXA'!A99:K491,6,0),"")</f>
        <v>555.55555555555554</v>
      </c>
      <c r="AJ101" s="97">
        <f>IFERROR(VLOOKUP(AE101,[1]Cálculos_PRICE!$A$32:$K$240,11,0),"")</f>
        <v>885543.2861954309</v>
      </c>
      <c r="AK101" s="97">
        <f>IFERROR(VLOOKUP(AE101,'Cálculos_CGI - SAC FIXA'!A99:K491,11,0),"")</f>
        <v>164999.99999999959</v>
      </c>
      <c r="AN101" s="157">
        <f t="shared" si="0"/>
        <v>70184.605555555958</v>
      </c>
      <c r="AO101" s="152" t="s">
        <v>182</v>
      </c>
      <c r="AP101" s="152" t="s">
        <v>119</v>
      </c>
      <c r="AQ101" s="153">
        <v>45995</v>
      </c>
      <c r="AR101" s="154">
        <v>234978.8</v>
      </c>
      <c r="AS101" s="155">
        <v>349.75</v>
      </c>
      <c r="AT101" s="155">
        <v>0</v>
      </c>
      <c r="AU101" s="154">
        <v>3031.23</v>
      </c>
      <c r="AV101" s="155">
        <v>74.05</v>
      </c>
      <c r="AW101" s="154">
        <v>3455.03</v>
      </c>
      <c r="AX101" s="156"/>
    </row>
    <row r="102" spans="1:50" ht="15.5" x14ac:dyDescent="0.35">
      <c r="A102" s="98">
        <f t="shared" si="18"/>
        <v>59</v>
      </c>
      <c r="B102" s="99">
        <f t="shared" ca="1" si="10"/>
        <v>47853</v>
      </c>
      <c r="C102" s="100">
        <f t="shared" si="5"/>
        <v>167777.7777777774</v>
      </c>
      <c r="D102" s="100">
        <f t="shared" si="11"/>
        <v>1828.7777777777737</v>
      </c>
      <c r="E102" s="100">
        <f t="shared" si="12"/>
        <v>169606.55555555518</v>
      </c>
      <c r="F102" s="100">
        <f t="shared" si="13"/>
        <v>555.55555555555554</v>
      </c>
      <c r="G102" s="100">
        <f t="shared" si="14"/>
        <v>2224.9119669789316</v>
      </c>
      <c r="H102" s="100">
        <f t="shared" si="15"/>
        <v>38.588888888888803</v>
      </c>
      <c r="I102" s="100">
        <f t="shared" si="6"/>
        <v>20</v>
      </c>
      <c r="J102" s="100">
        <f t="shared" si="16"/>
        <v>2283.5008558678205</v>
      </c>
      <c r="K102" s="101">
        <f t="shared" si="17"/>
        <v>167222.22222222184</v>
      </c>
      <c r="O102" s="118">
        <f t="shared" si="19"/>
        <v>16.666666666666664</v>
      </c>
      <c r="P102" s="119">
        <f t="shared" ca="1" si="8"/>
        <v>31</v>
      </c>
      <c r="Q102" s="120">
        <v>365</v>
      </c>
      <c r="S102" s="123">
        <v>31</v>
      </c>
      <c r="T102" s="137">
        <v>1.284E-4</v>
      </c>
      <c r="U102" s="137" t="s">
        <v>76</v>
      </c>
      <c r="AA102" s="96">
        <f t="shared" si="1"/>
        <v>64</v>
      </c>
      <c r="AB102" s="97">
        <f t="shared" si="2"/>
        <v>16326.65522097808</v>
      </c>
      <c r="AC102" s="97">
        <f t="shared" si="3"/>
        <v>2282.8619669789314</v>
      </c>
      <c r="AE102" s="96">
        <f t="shared" si="4"/>
        <v>64</v>
      </c>
      <c r="AF102" s="97">
        <f>IFERROR(VLOOKUP(AE102,[1]Cálculos_PRICE!$A$32:$K$212,10,0),"")</f>
        <v>16326.65522097808</v>
      </c>
      <c r="AG102" s="97">
        <f>IFERROR(VLOOKUP(AE102,'Cálculos_CGI - SAC FIXA'!A100:K492,10,0),"")</f>
        <v>2282.8619669789314</v>
      </c>
      <c r="AH102" s="97">
        <f>IFERROR(VLOOKUP(AE102,[1]Cálculos_PRICE!$A$32:$K$212,6,0),"")</f>
        <v>2821.061101196754</v>
      </c>
      <c r="AI102" s="97">
        <f>IFERROR(VLOOKUP(AE102,'Cálculos_CGI - SAC FIXA'!A100:K492,6,0),"")</f>
        <v>555.55555555555554</v>
      </c>
      <c r="AJ102" s="97">
        <f>IFERROR(VLOOKUP(AE102,[1]Cálculos_PRICE!$A$32:$K$240,11,0),"")</f>
        <v>882722.22509423411</v>
      </c>
      <c r="AK102" s="97">
        <f>IFERROR(VLOOKUP(AE102,'Cálculos_CGI - SAC FIXA'!A100:K492,11,0),"")</f>
        <v>164444.44444444403</v>
      </c>
      <c r="AN102" s="157">
        <f t="shared" ref="AN102:AN165" si="20">AR103-K108</f>
        <v>70385.89111111153</v>
      </c>
      <c r="AO102" s="147" t="s">
        <v>183</v>
      </c>
      <c r="AP102" s="147" t="s">
        <v>119</v>
      </c>
      <c r="AQ102" s="148">
        <v>46026</v>
      </c>
      <c r="AR102" s="149">
        <v>234629.05</v>
      </c>
      <c r="AS102" s="150">
        <v>354.27</v>
      </c>
      <c r="AT102" s="150">
        <v>0</v>
      </c>
      <c r="AU102" s="149">
        <v>3026.71</v>
      </c>
      <c r="AV102" s="150">
        <v>73.959999999999994</v>
      </c>
      <c r="AW102" s="149">
        <v>3454.94</v>
      </c>
      <c r="AX102" s="151"/>
    </row>
    <row r="103" spans="1:50" ht="15.5" x14ac:dyDescent="0.35">
      <c r="A103" s="98">
        <f t="shared" si="18"/>
        <v>60</v>
      </c>
      <c r="B103" s="99">
        <f t="shared" ca="1" si="10"/>
        <v>47884</v>
      </c>
      <c r="C103" s="100">
        <f t="shared" si="5"/>
        <v>167222.22222222184</v>
      </c>
      <c r="D103" s="100">
        <f t="shared" si="11"/>
        <v>1822.7222222222181</v>
      </c>
      <c r="E103" s="100">
        <f t="shared" si="12"/>
        <v>169044.94444444406</v>
      </c>
      <c r="F103" s="100">
        <f t="shared" si="13"/>
        <v>555.55555555555554</v>
      </c>
      <c r="G103" s="100">
        <f t="shared" si="14"/>
        <v>2224.9119669789316</v>
      </c>
      <c r="H103" s="100">
        <f t="shared" si="15"/>
        <v>38.461111111111023</v>
      </c>
      <c r="I103" s="100">
        <f t="shared" si="6"/>
        <v>20</v>
      </c>
      <c r="J103" s="100">
        <f t="shared" si="16"/>
        <v>2283.3730780900428</v>
      </c>
      <c r="K103" s="101">
        <f t="shared" si="17"/>
        <v>166666.66666666628</v>
      </c>
      <c r="O103" s="118">
        <f t="shared" si="19"/>
        <v>16.666666666666664</v>
      </c>
      <c r="P103" s="119">
        <f t="shared" ca="1" si="8"/>
        <v>31</v>
      </c>
      <c r="Q103" s="120">
        <v>365</v>
      </c>
      <c r="S103" s="123">
        <v>32</v>
      </c>
      <c r="T103" s="137">
        <v>1.284E-4</v>
      </c>
      <c r="U103" s="137" t="s">
        <v>76</v>
      </c>
      <c r="AA103" s="96">
        <f t="shared" ref="AA103:AA166" si="21">A108</f>
        <v>65</v>
      </c>
      <c r="AB103" s="97">
        <f t="shared" ref="AB103:AB166" si="22">IF($AA$36=1,VLOOKUP(AA103,$AE$38:$AK$218,6,0),IF($AA$36=2,VLOOKUP(AA103,$AE$38:$AK$218,4,0),VLOOKUP(AA103,$AE$38:$AK$218,2,0)))</f>
        <v>16326.027816989174</v>
      </c>
      <c r="AC103" s="97">
        <f t="shared" si="3"/>
        <v>2282.7341892011536</v>
      </c>
      <c r="AE103" s="96">
        <f t="shared" si="4"/>
        <v>65</v>
      </c>
      <c r="AF103" s="97">
        <f>IFERROR(VLOOKUP(AE103,[1]Cálculos_PRICE!$A$32:$K$212,10,0),"")</f>
        <v>16326.027816989174</v>
      </c>
      <c r="AG103" s="97">
        <f>IFERROR(VLOOKUP(AE103,'Cálculos_CGI - SAC FIXA'!A101:K493,10,0),"")</f>
        <v>2282.7341892011536</v>
      </c>
      <c r="AH103" s="97">
        <f>IFERROR(VLOOKUP(AE103,[1]Cálculos_PRICE!$A$32:$K$212,6,0),"")</f>
        <v>2863.3770177147053</v>
      </c>
      <c r="AI103" s="97">
        <f>IFERROR(VLOOKUP(AE103,'Cálculos_CGI - SAC FIXA'!A101:K493,6,0),"")</f>
        <v>555.55555555555554</v>
      </c>
      <c r="AJ103" s="97">
        <f>IFERROR(VLOOKUP(AE103,[1]Cálculos_PRICE!$A$32:$K$240,11,0),"")</f>
        <v>879858.84807651944</v>
      </c>
      <c r="AK103" s="97">
        <f>IFERROR(VLOOKUP(AE103,'Cálculos_CGI - SAC FIXA'!A101:K493,11,0),"")</f>
        <v>163888.88888888847</v>
      </c>
      <c r="AN103" s="157">
        <f t="shared" si="20"/>
        <v>70582.606666667096</v>
      </c>
      <c r="AO103" s="152" t="s">
        <v>184</v>
      </c>
      <c r="AP103" s="152" t="s">
        <v>119</v>
      </c>
      <c r="AQ103" s="153">
        <v>46057</v>
      </c>
      <c r="AR103" s="154">
        <v>234274.78</v>
      </c>
      <c r="AS103" s="155">
        <v>358.84</v>
      </c>
      <c r="AT103" s="155">
        <v>0</v>
      </c>
      <c r="AU103" s="154">
        <v>3022.14</v>
      </c>
      <c r="AV103" s="155">
        <v>73.88</v>
      </c>
      <c r="AW103" s="154">
        <v>3454.86</v>
      </c>
      <c r="AX103" s="156"/>
    </row>
    <row r="104" spans="1:50" ht="15.5" x14ac:dyDescent="0.35">
      <c r="A104" s="98">
        <f t="shared" si="18"/>
        <v>61</v>
      </c>
      <c r="B104" s="99">
        <f t="shared" ca="1" si="10"/>
        <v>47912</v>
      </c>
      <c r="C104" s="100">
        <f t="shared" si="5"/>
        <v>166666.66666666628</v>
      </c>
      <c r="D104" s="100">
        <f t="shared" si="11"/>
        <v>1816.6666666666624</v>
      </c>
      <c r="E104" s="100">
        <f t="shared" si="12"/>
        <v>168483.33333333294</v>
      </c>
      <c r="F104" s="100">
        <f t="shared" si="13"/>
        <v>555.55555555555554</v>
      </c>
      <c r="G104" s="100">
        <f t="shared" si="14"/>
        <v>2224.9119669789316</v>
      </c>
      <c r="H104" s="100">
        <f t="shared" si="15"/>
        <v>38.333333333333243</v>
      </c>
      <c r="I104" s="100">
        <f t="shared" si="6"/>
        <v>20</v>
      </c>
      <c r="J104" s="100">
        <f t="shared" si="16"/>
        <v>2283.2453003122646</v>
      </c>
      <c r="K104" s="101">
        <f t="shared" si="17"/>
        <v>166111.11111111072</v>
      </c>
      <c r="O104" s="118">
        <f t="shared" si="19"/>
        <v>16.666666666666664</v>
      </c>
      <c r="P104" s="119">
        <f t="shared" ca="1" si="8"/>
        <v>28</v>
      </c>
      <c r="Q104" s="120">
        <v>365</v>
      </c>
      <c r="S104" s="123">
        <v>33</v>
      </c>
      <c r="T104" s="137">
        <v>1.284E-4</v>
      </c>
      <c r="U104" s="137" t="s">
        <v>76</v>
      </c>
      <c r="AA104" s="96">
        <f t="shared" si="21"/>
        <v>66</v>
      </c>
      <c r="AB104" s="97">
        <f t="shared" si="22"/>
        <v>16325.391001940434</v>
      </c>
      <c r="AC104" s="97">
        <f t="shared" ref="AC104:AC167" si="23">IF($AA$36=1,VLOOKUP(AA104,$AE$38:$AK$278,7,0),IF($AA$36=2,VLOOKUP(AA104,$AE$38:$AK$278,5,0),VLOOKUP(AA104,$AE$38:$AK$278,3,0)))</f>
        <v>2282.6064114233759</v>
      </c>
      <c r="AE104" s="96">
        <f t="shared" ref="AE104:AE167" si="24">AA104</f>
        <v>66</v>
      </c>
      <c r="AF104" s="97">
        <f>IFERROR(VLOOKUP(AE104,[1]Cálculos_PRICE!$A$32:$K$212,10,0),"")</f>
        <v>16325.391001940434</v>
      </c>
      <c r="AG104" s="97">
        <f>IFERROR(VLOOKUP(AE104,'Cálculos_CGI - SAC FIXA'!A102:K494,10,0),"")</f>
        <v>2282.6064114233759</v>
      </c>
      <c r="AH104" s="97">
        <f>IFERROR(VLOOKUP(AE104,[1]Cálculos_PRICE!$A$32:$K$212,6,0),"")</f>
        <v>2906.3276729804256</v>
      </c>
      <c r="AI104" s="97">
        <f>IFERROR(VLOOKUP(AE104,'Cálculos_CGI - SAC FIXA'!A102:K494,6,0),"")</f>
        <v>555.55555555555554</v>
      </c>
      <c r="AJ104" s="97">
        <f>IFERROR(VLOOKUP(AE104,[1]Cálculos_PRICE!$A$32:$K$240,11,0),"")</f>
        <v>876952.52040353906</v>
      </c>
      <c r="AK104" s="97">
        <f>IFERROR(VLOOKUP(AE104,'Cálculos_CGI - SAC FIXA'!A102:K494,11,0),"")</f>
        <v>163333.33333333291</v>
      </c>
      <c r="AN104" s="157">
        <f t="shared" si="20"/>
        <v>70774.702222222666</v>
      </c>
      <c r="AO104" s="147" t="s">
        <v>185</v>
      </c>
      <c r="AP104" s="147" t="s">
        <v>119</v>
      </c>
      <c r="AQ104" s="148">
        <v>46085</v>
      </c>
      <c r="AR104" s="149">
        <v>233915.94</v>
      </c>
      <c r="AS104" s="150">
        <v>363.46</v>
      </c>
      <c r="AT104" s="150">
        <v>0</v>
      </c>
      <c r="AU104" s="149">
        <v>3017.52</v>
      </c>
      <c r="AV104" s="150">
        <v>73.8</v>
      </c>
      <c r="AW104" s="149">
        <v>3454.78</v>
      </c>
      <c r="AX104" s="151"/>
    </row>
    <row r="105" spans="1:50" ht="15.5" x14ac:dyDescent="0.35">
      <c r="A105" s="98">
        <f t="shared" si="18"/>
        <v>62</v>
      </c>
      <c r="B105" s="99">
        <f t="shared" ca="1" si="10"/>
        <v>47943</v>
      </c>
      <c r="C105" s="100">
        <f t="shared" si="5"/>
        <v>166111.11111111072</v>
      </c>
      <c r="D105" s="100">
        <f t="shared" si="11"/>
        <v>1810.6111111111068</v>
      </c>
      <c r="E105" s="100">
        <f t="shared" si="12"/>
        <v>167921.72222222181</v>
      </c>
      <c r="F105" s="100">
        <f t="shared" si="13"/>
        <v>555.55555555555554</v>
      </c>
      <c r="G105" s="100">
        <f t="shared" si="14"/>
        <v>2224.9119669789316</v>
      </c>
      <c r="H105" s="100">
        <f t="shared" si="15"/>
        <v>38.205555555555463</v>
      </c>
      <c r="I105" s="100">
        <f t="shared" si="6"/>
        <v>20</v>
      </c>
      <c r="J105" s="100">
        <f t="shared" si="16"/>
        <v>2283.1175225344869</v>
      </c>
      <c r="K105" s="101">
        <f t="shared" si="17"/>
        <v>165555.55555555515</v>
      </c>
      <c r="O105" s="118">
        <f t="shared" si="19"/>
        <v>16.666666666666664</v>
      </c>
      <c r="P105" s="119">
        <f t="shared" ca="1" si="8"/>
        <v>31</v>
      </c>
      <c r="Q105" s="120">
        <v>365</v>
      </c>
      <c r="S105" s="123">
        <v>34</v>
      </c>
      <c r="T105" s="137">
        <v>1.284E-4</v>
      </c>
      <c r="U105" s="137" t="s">
        <v>76</v>
      </c>
      <c r="AA105" s="96">
        <f t="shared" si="21"/>
        <v>67</v>
      </c>
      <c r="AB105" s="97">
        <f t="shared" si="22"/>
        <v>16324.744634665964</v>
      </c>
      <c r="AC105" s="97">
        <f t="shared" si="23"/>
        <v>2282.4786336455982</v>
      </c>
      <c r="AE105" s="96">
        <f t="shared" si="24"/>
        <v>67</v>
      </c>
      <c r="AF105" s="97">
        <f>IFERROR(VLOOKUP(AE105,[1]Cálculos_PRICE!$A$32:$K$212,10,0),"")</f>
        <v>16324.744634665964</v>
      </c>
      <c r="AG105" s="97">
        <f>IFERROR(VLOOKUP(AE105,'Cálculos_CGI - SAC FIXA'!A103:K495,10,0),"")</f>
        <v>2282.4786336455982</v>
      </c>
      <c r="AH105" s="97">
        <f>IFERROR(VLOOKUP(AE105,[1]Cálculos_PRICE!$A$32:$K$212,6,0),"")</f>
        <v>2949.922588075131</v>
      </c>
      <c r="AI105" s="97">
        <f>IFERROR(VLOOKUP(AE105,'Cálculos_CGI - SAC FIXA'!A103:K495,6,0),"")</f>
        <v>555.55555555555554</v>
      </c>
      <c r="AJ105" s="97">
        <f>IFERROR(VLOOKUP(AE105,[1]Cálculos_PRICE!$A$32:$K$240,11,0),"")</f>
        <v>874002.5978154639</v>
      </c>
      <c r="AK105" s="97">
        <f>IFERROR(VLOOKUP(AE105,'Cálculos_CGI - SAC FIXA'!A103:K495,11,0),"")</f>
        <v>162777.77777777734</v>
      </c>
      <c r="AN105" s="157">
        <f t="shared" si="20"/>
        <v>70962.107777778205</v>
      </c>
      <c r="AO105" s="152" t="s">
        <v>186</v>
      </c>
      <c r="AP105" s="152" t="s">
        <v>119</v>
      </c>
      <c r="AQ105" s="153">
        <v>46116</v>
      </c>
      <c r="AR105" s="154">
        <v>233552.48</v>
      </c>
      <c r="AS105" s="155">
        <v>368.15</v>
      </c>
      <c r="AT105" s="155">
        <v>0</v>
      </c>
      <c r="AU105" s="154">
        <v>3012.83</v>
      </c>
      <c r="AV105" s="155">
        <v>73.72</v>
      </c>
      <c r="AW105" s="154">
        <v>3454.7</v>
      </c>
      <c r="AX105" s="156"/>
    </row>
    <row r="106" spans="1:50" ht="15.5" x14ac:dyDescent="0.35">
      <c r="A106" s="98">
        <f t="shared" si="18"/>
        <v>63</v>
      </c>
      <c r="B106" s="99">
        <f t="shared" ca="1" si="10"/>
        <v>47973</v>
      </c>
      <c r="C106" s="100">
        <f t="shared" si="5"/>
        <v>165555.55555555515</v>
      </c>
      <c r="D106" s="100">
        <f t="shared" si="11"/>
        <v>1804.5555555555511</v>
      </c>
      <c r="E106" s="100">
        <f t="shared" si="12"/>
        <v>167360.11111111072</v>
      </c>
      <c r="F106" s="100">
        <f t="shared" si="13"/>
        <v>555.55555555555554</v>
      </c>
      <c r="G106" s="100">
        <f t="shared" si="14"/>
        <v>2224.9119669789316</v>
      </c>
      <c r="H106" s="100">
        <f t="shared" si="15"/>
        <v>38.077777777777683</v>
      </c>
      <c r="I106" s="100">
        <f t="shared" si="6"/>
        <v>20</v>
      </c>
      <c r="J106" s="100">
        <f t="shared" si="16"/>
        <v>2282.9897447567091</v>
      </c>
      <c r="K106" s="101">
        <f t="shared" si="17"/>
        <v>164999.99999999959</v>
      </c>
      <c r="O106" s="118">
        <f t="shared" si="19"/>
        <v>16.666666666666664</v>
      </c>
      <c r="P106" s="119">
        <f t="shared" ca="1" si="8"/>
        <v>30</v>
      </c>
      <c r="Q106" s="120">
        <v>365</v>
      </c>
      <c r="S106" s="123">
        <v>35</v>
      </c>
      <c r="T106" s="137">
        <v>1.284E-4</v>
      </c>
      <c r="U106" s="137" t="s">
        <v>76</v>
      </c>
      <c r="AA106" s="96">
        <f t="shared" si="21"/>
        <v>68</v>
      </c>
      <c r="AB106" s="97">
        <f t="shared" si="22"/>
        <v>16324.088571882376</v>
      </c>
      <c r="AC106" s="97">
        <f t="shared" si="23"/>
        <v>2282.3508558678204</v>
      </c>
      <c r="AE106" s="96">
        <f t="shared" si="24"/>
        <v>68</v>
      </c>
      <c r="AF106" s="97">
        <f>IFERROR(VLOOKUP(AE106,[1]Cálculos_PRICE!$A$32:$K$212,10,0),"")</f>
        <v>16324.088571882376</v>
      </c>
      <c r="AG106" s="97">
        <f>IFERROR(VLOOKUP(AE106,'Cálculos_CGI - SAC FIXA'!A104:K496,10,0),"")</f>
        <v>2282.3508558678204</v>
      </c>
      <c r="AH106" s="97">
        <f>IFERROR(VLOOKUP(AE106,[1]Cálculos_PRICE!$A$32:$K$212,6,0),"")</f>
        <v>2994.1714268962587</v>
      </c>
      <c r="AI106" s="97">
        <f>IFERROR(VLOOKUP(AE106,'Cálculos_CGI - SAC FIXA'!A104:K496,6,0),"")</f>
        <v>555.55555555555554</v>
      </c>
      <c r="AJ106" s="97">
        <f>IFERROR(VLOOKUP(AE106,[1]Cálculos_PRICE!$A$32:$K$240,11,0),"")</f>
        <v>871008.42638856766</v>
      </c>
      <c r="AK106" s="97">
        <f>IFERROR(VLOOKUP(AE106,'Cálculos_CGI - SAC FIXA'!A104:K496,11,0),"")</f>
        <v>162222.22222222178</v>
      </c>
      <c r="AN106" s="157">
        <f t="shared" si="20"/>
        <v>71144.763333333773</v>
      </c>
      <c r="AO106" s="147" t="s">
        <v>187</v>
      </c>
      <c r="AP106" s="147" t="s">
        <v>119</v>
      </c>
      <c r="AQ106" s="148">
        <v>46146</v>
      </c>
      <c r="AR106" s="149">
        <v>233184.33</v>
      </c>
      <c r="AS106" s="150">
        <v>372.9</v>
      </c>
      <c r="AT106" s="150">
        <v>0</v>
      </c>
      <c r="AU106" s="149">
        <v>3008.08</v>
      </c>
      <c r="AV106" s="150">
        <v>73.63</v>
      </c>
      <c r="AW106" s="149">
        <v>3454.61</v>
      </c>
      <c r="AX106" s="151"/>
    </row>
    <row r="107" spans="1:50" ht="15.5" x14ac:dyDescent="0.35">
      <c r="A107" s="98">
        <f t="shared" si="18"/>
        <v>64</v>
      </c>
      <c r="B107" s="99">
        <f t="shared" ca="1" si="10"/>
        <v>48004</v>
      </c>
      <c r="C107" s="100">
        <f t="shared" si="5"/>
        <v>164999.99999999959</v>
      </c>
      <c r="D107" s="100">
        <f t="shared" si="11"/>
        <v>1798.4999999999955</v>
      </c>
      <c r="E107" s="100">
        <f t="shared" si="12"/>
        <v>166798.49999999959</v>
      </c>
      <c r="F107" s="100">
        <f t="shared" si="13"/>
        <v>555.55555555555554</v>
      </c>
      <c r="G107" s="100">
        <f t="shared" si="14"/>
        <v>2224.9119669789316</v>
      </c>
      <c r="H107" s="100">
        <f t="shared" si="15"/>
        <v>37.94999999999991</v>
      </c>
      <c r="I107" s="100">
        <f t="shared" si="6"/>
        <v>20</v>
      </c>
      <c r="J107" s="100">
        <f t="shared" si="16"/>
        <v>2282.8619669789314</v>
      </c>
      <c r="K107" s="101">
        <f t="shared" si="17"/>
        <v>164444.44444444403</v>
      </c>
      <c r="O107" s="118">
        <f t="shared" si="19"/>
        <v>16.666666666666664</v>
      </c>
      <c r="P107" s="119">
        <f t="shared" ca="1" si="8"/>
        <v>31</v>
      </c>
      <c r="Q107" s="120">
        <v>365</v>
      </c>
      <c r="S107" s="123">
        <v>36</v>
      </c>
      <c r="T107" s="123">
        <v>2.2239999999999998E-4</v>
      </c>
      <c r="U107" s="123" t="s">
        <v>78</v>
      </c>
      <c r="AA107" s="96">
        <f t="shared" si="21"/>
        <v>69</v>
      </c>
      <c r="AB107" s="97">
        <f t="shared" si="22"/>
        <v>16323.422668157034</v>
      </c>
      <c r="AC107" s="97">
        <f t="shared" si="23"/>
        <v>2282.2230780900427</v>
      </c>
      <c r="AE107" s="96">
        <f t="shared" si="24"/>
        <v>69</v>
      </c>
      <c r="AF107" s="97">
        <f>IFERROR(VLOOKUP(AE107,[1]Cálculos_PRICE!$A$32:$K$212,10,0),"")</f>
        <v>16323.422668157034</v>
      </c>
      <c r="AG107" s="97">
        <f>IFERROR(VLOOKUP(AE107,'Cálculos_CGI - SAC FIXA'!A105:K497,10,0),"")</f>
        <v>2282.2230780900427</v>
      </c>
      <c r="AH107" s="97">
        <f>IFERROR(VLOOKUP(AE107,[1]Cálculos_PRICE!$A$32:$K$212,6,0),"")</f>
        <v>3039.0839982997022</v>
      </c>
      <c r="AI107" s="97">
        <f>IFERROR(VLOOKUP(AE107,'Cálculos_CGI - SAC FIXA'!A105:K497,6,0),"")</f>
        <v>555.55555555555554</v>
      </c>
      <c r="AJ107" s="97">
        <f>IFERROR(VLOOKUP(AE107,[1]Cálculos_PRICE!$A$32:$K$240,11,0),"")</f>
        <v>867969.34239026799</v>
      </c>
      <c r="AK107" s="97">
        <f>IFERROR(VLOOKUP(AE107,'Cálculos_CGI - SAC FIXA'!A105:K497,11,0),"")</f>
        <v>161666.66666666622</v>
      </c>
      <c r="AN107" s="157">
        <f t="shared" si="20"/>
        <v>71322.608888889343</v>
      </c>
      <c r="AO107" s="152" t="s">
        <v>188</v>
      </c>
      <c r="AP107" s="152" t="s">
        <v>119</v>
      </c>
      <c r="AQ107" s="153">
        <v>46177</v>
      </c>
      <c r="AR107" s="154">
        <v>232811.43</v>
      </c>
      <c r="AS107" s="155">
        <v>377.71</v>
      </c>
      <c r="AT107" s="155">
        <v>0</v>
      </c>
      <c r="AU107" s="154">
        <v>3003.27</v>
      </c>
      <c r="AV107" s="155">
        <v>73.55</v>
      </c>
      <c r="AW107" s="154">
        <v>3454.53</v>
      </c>
      <c r="AX107" s="156"/>
    </row>
    <row r="108" spans="1:50" ht="15.5" x14ac:dyDescent="0.35">
      <c r="A108" s="98">
        <f t="shared" si="18"/>
        <v>65</v>
      </c>
      <c r="B108" s="99">
        <f t="shared" ca="1" si="10"/>
        <v>48034</v>
      </c>
      <c r="C108" s="100">
        <f t="shared" ref="C108:C171" si="25">IF(A108="","",K107)</f>
        <v>164444.44444444403</v>
      </c>
      <c r="D108" s="100">
        <f t="shared" si="11"/>
        <v>1792.44444444444</v>
      </c>
      <c r="E108" s="100">
        <f t="shared" si="12"/>
        <v>166236.88888888847</v>
      </c>
      <c r="F108" s="100">
        <f t="shared" si="13"/>
        <v>555.55555555555554</v>
      </c>
      <c r="G108" s="100">
        <f t="shared" si="14"/>
        <v>2224.9119669789316</v>
      </c>
      <c r="H108" s="100">
        <f t="shared" si="15"/>
        <v>37.82222222222213</v>
      </c>
      <c r="I108" s="100">
        <f t="shared" ref="I108:I171" si="26">IF(A108="","",IF(K107="","",IF(K107=0,"",$J$28*$I$14)))</f>
        <v>20</v>
      </c>
      <c r="J108" s="100">
        <f t="shared" si="16"/>
        <v>2282.7341892011536</v>
      </c>
      <c r="K108" s="101">
        <f t="shared" si="17"/>
        <v>163888.88888888847</v>
      </c>
      <c r="O108" s="118">
        <f t="shared" si="19"/>
        <v>16.666666666666664</v>
      </c>
      <c r="P108" s="119">
        <f t="shared" ref="P108:P171" ca="1" si="27">IF($A108&lt;=$I$18,B108-B107,)</f>
        <v>30</v>
      </c>
      <c r="Q108" s="120">
        <v>365</v>
      </c>
      <c r="S108" s="123">
        <v>37</v>
      </c>
      <c r="T108" s="123">
        <v>2.2239999999999998E-4</v>
      </c>
      <c r="U108" s="123" t="s">
        <v>78</v>
      </c>
      <c r="AA108" s="96">
        <f t="shared" si="21"/>
        <v>70</v>
      </c>
      <c r="AB108" s="97">
        <f t="shared" si="22"/>
        <v>16322.746775875812</v>
      </c>
      <c r="AC108" s="97">
        <f t="shared" si="23"/>
        <v>2282.095300312265</v>
      </c>
      <c r="AE108" s="96">
        <f t="shared" si="24"/>
        <v>70</v>
      </c>
      <c r="AF108" s="97">
        <f>IFERROR(VLOOKUP(AE108,[1]Cálculos_PRICE!$A$32:$K$212,10,0),"")</f>
        <v>16322.746775875812</v>
      </c>
      <c r="AG108" s="97">
        <f>IFERROR(VLOOKUP(AE108,'Cálculos_CGI - SAC FIXA'!A106:K498,10,0),"")</f>
        <v>2282.095300312265</v>
      </c>
      <c r="AH108" s="97">
        <f>IFERROR(VLOOKUP(AE108,[1]Cálculos_PRICE!$A$32:$K$212,6,0),"")</f>
        <v>3084.6702582741964</v>
      </c>
      <c r="AI108" s="97">
        <f>IFERROR(VLOOKUP(AE108,'Cálculos_CGI - SAC FIXA'!A106:K498,6,0),"")</f>
        <v>555.55555555555554</v>
      </c>
      <c r="AJ108" s="97">
        <f>IFERROR(VLOOKUP(AE108,[1]Cálculos_PRICE!$A$32:$K$240,11,0),"")</f>
        <v>864884.67213199381</v>
      </c>
      <c r="AK108" s="97">
        <f>IFERROR(VLOOKUP(AE108,'Cálculos_CGI - SAC FIXA'!A106:K498,11,0),"")</f>
        <v>161111.11111111066</v>
      </c>
      <c r="AN108" s="157">
        <f t="shared" si="20"/>
        <v>71495.584444444918</v>
      </c>
      <c r="AO108" s="147" t="s">
        <v>189</v>
      </c>
      <c r="AP108" s="147" t="s">
        <v>119</v>
      </c>
      <c r="AQ108" s="148">
        <v>46207</v>
      </c>
      <c r="AR108" s="149">
        <v>232433.72</v>
      </c>
      <c r="AS108" s="150">
        <v>382.58</v>
      </c>
      <c r="AT108" s="150">
        <v>0</v>
      </c>
      <c r="AU108" s="149">
        <v>2998.4</v>
      </c>
      <c r="AV108" s="150">
        <v>73.459999999999994</v>
      </c>
      <c r="AW108" s="149">
        <v>3454.44</v>
      </c>
      <c r="AX108" s="151"/>
    </row>
    <row r="109" spans="1:50" ht="15.5" x14ac:dyDescent="0.35">
      <c r="A109" s="98">
        <f t="shared" si="18"/>
        <v>66</v>
      </c>
      <c r="B109" s="99">
        <f t="shared" ref="B109:B172" ca="1" si="28">IFERROR(IF(A109&lt;=$I$18,DATE(YEAR($B$44),MONTH($B$44)+A108,DAY($B$44)),"-"),"")</f>
        <v>48065</v>
      </c>
      <c r="C109" s="100">
        <f t="shared" si="25"/>
        <v>163888.88888888847</v>
      </c>
      <c r="D109" s="100">
        <f t="shared" ref="D109:D172" si="29">C109*$I$20</f>
        <v>1786.3888888888844</v>
      </c>
      <c r="E109" s="100">
        <f t="shared" ref="E109:E172" si="30">IFERROR(C109+D109,"")</f>
        <v>165675.27777777734</v>
      </c>
      <c r="F109" s="100">
        <f t="shared" ref="F109:F172" si="31">$I$13/$I$18</f>
        <v>555.55555555555554</v>
      </c>
      <c r="G109" s="100">
        <f t="shared" ref="G109:G172" si="32">IF(A109="","",PMT($I$20,$I$18,$C$44)*-1)</f>
        <v>2224.9119669789316</v>
      </c>
      <c r="H109" s="100">
        <f t="shared" ref="H109:H172" si="33">C109*$J$27</f>
        <v>37.69444444444435</v>
      </c>
      <c r="I109" s="100">
        <f t="shared" si="26"/>
        <v>20</v>
      </c>
      <c r="J109" s="100">
        <f t="shared" ref="J109:J172" si="34">IFERROR(SUM(I109+H109+G109),"")</f>
        <v>2282.6064114233759</v>
      </c>
      <c r="K109" s="101">
        <f t="shared" ref="K109:K172" si="35">C109-F109</f>
        <v>163333.33333333291</v>
      </c>
      <c r="O109" s="118">
        <f t="shared" si="19"/>
        <v>16.666666666666664</v>
      </c>
      <c r="P109" s="119">
        <f t="shared" ca="1" si="27"/>
        <v>31</v>
      </c>
      <c r="Q109" s="120">
        <v>365</v>
      </c>
      <c r="S109" s="123">
        <v>38</v>
      </c>
      <c r="T109" s="123">
        <v>2.2239999999999998E-4</v>
      </c>
      <c r="U109" s="123" t="s">
        <v>78</v>
      </c>
      <c r="AA109" s="96">
        <f t="shared" si="21"/>
        <v>71</v>
      </c>
      <c r="AB109" s="97">
        <f t="shared" si="22"/>
        <v>16322.060745210372</v>
      </c>
      <c r="AC109" s="97">
        <f t="shared" si="23"/>
        <v>2281.9675225344872</v>
      </c>
      <c r="AE109" s="96">
        <f t="shared" si="24"/>
        <v>71</v>
      </c>
      <c r="AF109" s="97">
        <f>IFERROR(VLOOKUP(AE109,[1]Cálculos_PRICE!$A$32:$K$212,10,0),"")</f>
        <v>16322.060745210372</v>
      </c>
      <c r="AG109" s="97">
        <f>IFERROR(VLOOKUP(AE109,'Cálculos_CGI - SAC FIXA'!A107:K499,10,0),"")</f>
        <v>2281.9675225344872</v>
      </c>
      <c r="AH109" s="97">
        <f>IFERROR(VLOOKUP(AE109,[1]Cálculos_PRICE!$A$32:$K$212,6,0),"")</f>
        <v>3130.9403121483101</v>
      </c>
      <c r="AI109" s="97">
        <f>IFERROR(VLOOKUP(AE109,'Cálculos_CGI - SAC FIXA'!A107:K499,6,0),"")</f>
        <v>555.55555555555554</v>
      </c>
      <c r="AJ109" s="97">
        <f>IFERROR(VLOOKUP(AE109,[1]Cálculos_PRICE!$A$32:$K$240,11,0),"")</f>
        <v>861753.7318198455</v>
      </c>
      <c r="AK109" s="97">
        <f>IFERROR(VLOOKUP(AE109,'Cálculos_CGI - SAC FIXA'!A107:K499,11,0),"")</f>
        <v>160555.5555555551</v>
      </c>
      <c r="AN109" s="157">
        <f t="shared" si="20"/>
        <v>71663.620000000461</v>
      </c>
      <c r="AO109" s="152" t="s">
        <v>190</v>
      </c>
      <c r="AP109" s="152" t="s">
        <v>119</v>
      </c>
      <c r="AQ109" s="153">
        <v>46238</v>
      </c>
      <c r="AR109" s="154">
        <v>232051.14</v>
      </c>
      <c r="AS109" s="155">
        <v>387.52</v>
      </c>
      <c r="AT109" s="155">
        <v>0</v>
      </c>
      <c r="AU109" s="154">
        <v>2993.46</v>
      </c>
      <c r="AV109" s="155">
        <v>73.37</v>
      </c>
      <c r="AW109" s="154">
        <v>3454.35</v>
      </c>
      <c r="AX109" s="156"/>
    </row>
    <row r="110" spans="1:50" ht="15.5" x14ac:dyDescent="0.35">
      <c r="A110" s="98">
        <f t="shared" ref="A110:A173" si="36">IF(IF(AND(A109&gt;0,A109&lt;$I$18),A109+1,0)=0,"",IF(AND(A109&gt;0,A109&lt;$I$18),A109+1,0))</f>
        <v>67</v>
      </c>
      <c r="B110" s="99">
        <f t="shared" ca="1" si="28"/>
        <v>48096</v>
      </c>
      <c r="C110" s="100">
        <f t="shared" si="25"/>
        <v>163333.33333333291</v>
      </c>
      <c r="D110" s="100">
        <f t="shared" si="29"/>
        <v>1780.3333333333287</v>
      </c>
      <c r="E110" s="100">
        <f t="shared" si="30"/>
        <v>165113.66666666625</v>
      </c>
      <c r="F110" s="100">
        <f t="shared" si="31"/>
        <v>555.55555555555554</v>
      </c>
      <c r="G110" s="100">
        <f t="shared" si="32"/>
        <v>2224.9119669789316</v>
      </c>
      <c r="H110" s="100">
        <f t="shared" si="33"/>
        <v>37.566666666666571</v>
      </c>
      <c r="I110" s="100">
        <f t="shared" si="26"/>
        <v>20</v>
      </c>
      <c r="J110" s="100">
        <f t="shared" si="34"/>
        <v>2282.4786336455982</v>
      </c>
      <c r="K110" s="101">
        <f t="shared" si="35"/>
        <v>162777.77777777734</v>
      </c>
      <c r="O110" s="118">
        <f t="shared" si="19"/>
        <v>16.666666666666664</v>
      </c>
      <c r="P110" s="119">
        <f t="shared" ca="1" si="27"/>
        <v>31</v>
      </c>
      <c r="Q110" s="120">
        <v>365</v>
      </c>
      <c r="S110" s="123">
        <v>39</v>
      </c>
      <c r="T110" s="123">
        <v>2.2239999999999998E-4</v>
      </c>
      <c r="U110" s="123" t="s">
        <v>78</v>
      </c>
      <c r="AA110" s="96">
        <f t="shared" si="21"/>
        <v>72</v>
      </c>
      <c r="AB110" s="97">
        <f t="shared" si="22"/>
        <v>16321.36442408495</v>
      </c>
      <c r="AC110" s="97">
        <f t="shared" si="23"/>
        <v>2281.839744756709</v>
      </c>
      <c r="AE110" s="96">
        <f t="shared" si="24"/>
        <v>72</v>
      </c>
      <c r="AF110" s="97">
        <f>IFERROR(VLOOKUP(AE110,[1]Cálculos_PRICE!$A$32:$K$212,10,0),"")</f>
        <v>16321.36442408495</v>
      </c>
      <c r="AG110" s="97">
        <f>IFERROR(VLOOKUP(AE110,'Cálculos_CGI - SAC FIXA'!A108:K500,10,0),"")</f>
        <v>2281.839744756709</v>
      </c>
      <c r="AH110" s="97">
        <f>IFERROR(VLOOKUP(AE110,[1]Cálculos_PRICE!$A$32:$K$212,6,0),"")</f>
        <v>3177.9044168305354</v>
      </c>
      <c r="AI110" s="97">
        <f>IFERROR(VLOOKUP(AE110,'Cálculos_CGI - SAC FIXA'!A108:K500,6,0),"")</f>
        <v>555.55555555555554</v>
      </c>
      <c r="AJ110" s="97">
        <f>IFERROR(VLOOKUP(AE110,[1]Cálculos_PRICE!$A$32:$K$240,11,0),"")</f>
        <v>858575.82740301499</v>
      </c>
      <c r="AK110" s="97">
        <f>IFERROR(VLOOKUP(AE110,'Cálculos_CGI - SAC FIXA'!A108:K500,11,0),"")</f>
        <v>159999.99999999953</v>
      </c>
      <c r="AN110" s="157">
        <f t="shared" si="20"/>
        <v>71826.655555556034</v>
      </c>
      <c r="AO110" s="147" t="s">
        <v>191</v>
      </c>
      <c r="AP110" s="147" t="s">
        <v>119</v>
      </c>
      <c r="AQ110" s="148">
        <v>46269</v>
      </c>
      <c r="AR110" s="149">
        <v>231663.62</v>
      </c>
      <c r="AS110" s="150">
        <v>392.52</v>
      </c>
      <c r="AT110" s="150">
        <v>0</v>
      </c>
      <c r="AU110" s="149">
        <v>2988.46</v>
      </c>
      <c r="AV110" s="150">
        <v>73.28</v>
      </c>
      <c r="AW110" s="149">
        <v>3454.26</v>
      </c>
      <c r="AX110" s="151"/>
    </row>
    <row r="111" spans="1:50" ht="15.5" x14ac:dyDescent="0.35">
      <c r="A111" s="98">
        <f t="shared" si="36"/>
        <v>68</v>
      </c>
      <c r="B111" s="99">
        <f t="shared" ca="1" si="28"/>
        <v>48126</v>
      </c>
      <c r="C111" s="100">
        <f t="shared" si="25"/>
        <v>162777.77777777734</v>
      </c>
      <c r="D111" s="100">
        <f t="shared" si="29"/>
        <v>1774.2777777777731</v>
      </c>
      <c r="E111" s="100">
        <f t="shared" si="30"/>
        <v>164552.05555555513</v>
      </c>
      <c r="F111" s="100">
        <f t="shared" si="31"/>
        <v>555.55555555555554</v>
      </c>
      <c r="G111" s="100">
        <f t="shared" si="32"/>
        <v>2224.9119669789316</v>
      </c>
      <c r="H111" s="100">
        <f t="shared" si="33"/>
        <v>37.438888888888791</v>
      </c>
      <c r="I111" s="100">
        <f t="shared" si="26"/>
        <v>20</v>
      </c>
      <c r="J111" s="100">
        <f t="shared" si="34"/>
        <v>2282.3508558678204</v>
      </c>
      <c r="K111" s="101">
        <f t="shared" si="35"/>
        <v>162222.22222222178</v>
      </c>
      <c r="O111" s="118">
        <f t="shared" si="19"/>
        <v>16.666666666666664</v>
      </c>
      <c r="P111" s="119">
        <f t="shared" ca="1" si="27"/>
        <v>30</v>
      </c>
      <c r="Q111" s="120">
        <v>365</v>
      </c>
      <c r="S111" s="123">
        <v>40</v>
      </c>
      <c r="T111" s="123">
        <v>2.2239999999999998E-4</v>
      </c>
      <c r="U111" s="123" t="s">
        <v>78</v>
      </c>
      <c r="AA111" s="96">
        <f t="shared" si="21"/>
        <v>73</v>
      </c>
      <c r="AB111" s="97">
        <f t="shared" si="22"/>
        <v>16320.657658142647</v>
      </c>
      <c r="AC111" s="97">
        <f t="shared" si="23"/>
        <v>2281.7119669789313</v>
      </c>
      <c r="AE111" s="96">
        <f t="shared" si="24"/>
        <v>73</v>
      </c>
      <c r="AF111" s="97">
        <f>IFERROR(VLOOKUP(AE111,[1]Cálculos_PRICE!$A$32:$K$212,10,0),"")</f>
        <v>16320.657658142647</v>
      </c>
      <c r="AG111" s="97">
        <f>IFERROR(VLOOKUP(AE111,'Cálculos_CGI - SAC FIXA'!A109:K501,10,0),"")</f>
        <v>2281.7119669789313</v>
      </c>
      <c r="AH111" s="97">
        <f>IFERROR(VLOOKUP(AE111,[1]Cálculos_PRICE!$A$32:$K$212,6,0),"")</f>
        <v>3225.5729830829914</v>
      </c>
      <c r="AI111" s="97">
        <f>IFERROR(VLOOKUP(AE111,'Cálculos_CGI - SAC FIXA'!A109:K501,6,0),"")</f>
        <v>555.55555555555554</v>
      </c>
      <c r="AJ111" s="97">
        <f>IFERROR(VLOOKUP(AE111,[1]Cálculos_PRICE!$A$32:$K$240,11,0),"")</f>
        <v>855350.25441993203</v>
      </c>
      <c r="AK111" s="97">
        <f>IFERROR(VLOOKUP(AE111,'Cálculos_CGI - SAC FIXA'!A109:K501,11,0),"")</f>
        <v>159444.44444444397</v>
      </c>
      <c r="AN111" s="157">
        <f t="shared" si="20"/>
        <v>71984.631111111579</v>
      </c>
      <c r="AO111" s="152" t="s">
        <v>192</v>
      </c>
      <c r="AP111" s="152" t="s">
        <v>119</v>
      </c>
      <c r="AQ111" s="153">
        <v>46299</v>
      </c>
      <c r="AR111" s="154">
        <v>231271.1</v>
      </c>
      <c r="AS111" s="155">
        <v>397.58</v>
      </c>
      <c r="AT111" s="155">
        <v>0</v>
      </c>
      <c r="AU111" s="154">
        <v>2983.4</v>
      </c>
      <c r="AV111" s="155">
        <v>73.19</v>
      </c>
      <c r="AW111" s="154">
        <v>3454.17</v>
      </c>
      <c r="AX111" s="156"/>
    </row>
    <row r="112" spans="1:50" ht="15.5" x14ac:dyDescent="0.35">
      <c r="A112" s="98">
        <f t="shared" si="36"/>
        <v>69</v>
      </c>
      <c r="B112" s="99">
        <f t="shared" ca="1" si="28"/>
        <v>48157</v>
      </c>
      <c r="C112" s="100">
        <f t="shared" si="25"/>
        <v>162222.22222222178</v>
      </c>
      <c r="D112" s="100">
        <f t="shared" si="29"/>
        <v>1768.2222222222174</v>
      </c>
      <c r="E112" s="100">
        <f t="shared" si="30"/>
        <v>163990.444444444</v>
      </c>
      <c r="F112" s="100">
        <f t="shared" si="31"/>
        <v>555.55555555555554</v>
      </c>
      <c r="G112" s="100">
        <f t="shared" si="32"/>
        <v>2224.9119669789316</v>
      </c>
      <c r="H112" s="100">
        <f t="shared" si="33"/>
        <v>37.311111111111011</v>
      </c>
      <c r="I112" s="100">
        <f t="shared" si="26"/>
        <v>20</v>
      </c>
      <c r="J112" s="100">
        <f t="shared" si="34"/>
        <v>2282.2230780900427</v>
      </c>
      <c r="K112" s="101">
        <f t="shared" si="35"/>
        <v>161666.66666666622</v>
      </c>
      <c r="O112" s="118">
        <f t="shared" si="19"/>
        <v>16.666666666666664</v>
      </c>
      <c r="P112" s="119">
        <f t="shared" ca="1" si="27"/>
        <v>31</v>
      </c>
      <c r="Q112" s="120">
        <v>365</v>
      </c>
      <c r="S112" s="123">
        <v>41</v>
      </c>
      <c r="T112" s="123">
        <v>3.2539999999999999E-4</v>
      </c>
      <c r="U112" s="123" t="s">
        <v>79</v>
      </c>
      <c r="AA112" s="96">
        <f t="shared" si="21"/>
        <v>74</v>
      </c>
      <c r="AB112" s="97">
        <f t="shared" si="22"/>
        <v>16319.940290711209</v>
      </c>
      <c r="AC112" s="97">
        <f t="shared" si="23"/>
        <v>2281.5841892011535</v>
      </c>
      <c r="AE112" s="96">
        <f t="shared" si="24"/>
        <v>74</v>
      </c>
      <c r="AF112" s="97">
        <f>IFERROR(VLOOKUP(AE112,[1]Cálculos_PRICE!$A$32:$K$212,10,0),"")</f>
        <v>16319.940290711209</v>
      </c>
      <c r="AG112" s="97">
        <f>IFERROR(VLOOKUP(AE112,'Cálculos_CGI - SAC FIXA'!A110:K502,10,0),"")</f>
        <v>2281.5841892011535</v>
      </c>
      <c r="AH112" s="97">
        <f>IFERROR(VLOOKUP(AE112,[1]Cálculos_PRICE!$A$32:$K$212,6,0),"")</f>
        <v>3273.9565778292363</v>
      </c>
      <c r="AI112" s="97">
        <f>IFERROR(VLOOKUP(AE112,'Cálculos_CGI - SAC FIXA'!A110:K502,6,0),"")</f>
        <v>555.55555555555554</v>
      </c>
      <c r="AJ112" s="97">
        <f>IFERROR(VLOOKUP(AE112,[1]Cálculos_PRICE!$A$32:$K$240,11,0),"")</f>
        <v>852076.29784210282</v>
      </c>
      <c r="AK112" s="97">
        <f>IFERROR(VLOOKUP(AE112,'Cálculos_CGI - SAC FIXA'!A110:K502,11,0),"")</f>
        <v>158888.88888888841</v>
      </c>
      <c r="AN112" s="157">
        <f t="shared" si="20"/>
        <v>72137.476666667149</v>
      </c>
      <c r="AO112" s="147" t="s">
        <v>193</v>
      </c>
      <c r="AP112" s="147" t="s">
        <v>119</v>
      </c>
      <c r="AQ112" s="148">
        <v>46330</v>
      </c>
      <c r="AR112" s="149">
        <v>230873.52</v>
      </c>
      <c r="AS112" s="150">
        <v>402.71</v>
      </c>
      <c r="AT112" s="150">
        <v>0</v>
      </c>
      <c r="AU112" s="149">
        <v>2978.27</v>
      </c>
      <c r="AV112" s="150">
        <v>73.099999999999994</v>
      </c>
      <c r="AW112" s="149">
        <v>3454.08</v>
      </c>
      <c r="AX112" s="151"/>
    </row>
    <row r="113" spans="1:50" ht="15.5" x14ac:dyDescent="0.35">
      <c r="A113" s="98">
        <f t="shared" si="36"/>
        <v>70</v>
      </c>
      <c r="B113" s="99">
        <f t="shared" ca="1" si="28"/>
        <v>48187</v>
      </c>
      <c r="C113" s="100">
        <f t="shared" si="25"/>
        <v>161666.66666666622</v>
      </c>
      <c r="D113" s="100">
        <f t="shared" si="29"/>
        <v>1762.1666666666617</v>
      </c>
      <c r="E113" s="100">
        <f t="shared" si="30"/>
        <v>163428.83333333288</v>
      </c>
      <c r="F113" s="100">
        <f t="shared" si="31"/>
        <v>555.55555555555554</v>
      </c>
      <c r="G113" s="100">
        <f t="shared" si="32"/>
        <v>2224.9119669789316</v>
      </c>
      <c r="H113" s="100">
        <f t="shared" si="33"/>
        <v>37.183333333333231</v>
      </c>
      <c r="I113" s="100">
        <f t="shared" si="26"/>
        <v>20</v>
      </c>
      <c r="J113" s="100">
        <f t="shared" si="34"/>
        <v>2282.095300312265</v>
      </c>
      <c r="K113" s="101">
        <f t="shared" si="35"/>
        <v>161111.11111111066</v>
      </c>
      <c r="O113" s="118">
        <f t="shared" si="19"/>
        <v>16.666666666666664</v>
      </c>
      <c r="P113" s="119">
        <f t="shared" ca="1" si="27"/>
        <v>30</v>
      </c>
      <c r="Q113" s="120">
        <v>365</v>
      </c>
      <c r="S113" s="123">
        <v>42</v>
      </c>
      <c r="T113" s="123">
        <v>3.2539999999999999E-4</v>
      </c>
      <c r="U113" s="123" t="s">
        <v>79</v>
      </c>
      <c r="AA113" s="96">
        <f t="shared" si="21"/>
        <v>75</v>
      </c>
      <c r="AB113" s="97">
        <f t="shared" si="22"/>
        <v>16319.212162768301</v>
      </c>
      <c r="AC113" s="97">
        <f t="shared" si="23"/>
        <v>2281.4564114233758</v>
      </c>
      <c r="AE113" s="96">
        <f t="shared" si="24"/>
        <v>75</v>
      </c>
      <c r="AF113" s="97">
        <f>IFERROR(VLOOKUP(AE113,[1]Cálculos_PRICE!$A$32:$K$212,10,0),"")</f>
        <v>16319.212162768301</v>
      </c>
      <c r="AG113" s="97">
        <f>IFERROR(VLOOKUP(AE113,'Cálculos_CGI - SAC FIXA'!A111:K503,10,0),"")</f>
        <v>2281.4564114233758</v>
      </c>
      <c r="AH113" s="97">
        <f>IFERROR(VLOOKUP(AE113,[1]Cálculos_PRICE!$A$32:$K$212,6,0),"")</f>
        <v>3323.0659264966744</v>
      </c>
      <c r="AI113" s="97">
        <f>IFERROR(VLOOKUP(AE113,'Cálculos_CGI - SAC FIXA'!A111:K503,6,0),"")</f>
        <v>555.55555555555554</v>
      </c>
      <c r="AJ113" s="97">
        <f>IFERROR(VLOOKUP(AE113,[1]Cálculos_PRICE!$A$32:$K$240,11,0),"")</f>
        <v>848753.23191560619</v>
      </c>
      <c r="AK113" s="97">
        <f>IFERROR(VLOOKUP(AE113,'Cálculos_CGI - SAC FIXA'!A111:K503,11,0),"")</f>
        <v>158333.33333333285</v>
      </c>
      <c r="AN113" s="157">
        <f t="shared" si="20"/>
        <v>72285.122222222708</v>
      </c>
      <c r="AO113" s="152" t="s">
        <v>194</v>
      </c>
      <c r="AP113" s="152" t="s">
        <v>119</v>
      </c>
      <c r="AQ113" s="153">
        <v>46360</v>
      </c>
      <c r="AR113" s="154">
        <v>230470.81</v>
      </c>
      <c r="AS113" s="155">
        <v>407.91</v>
      </c>
      <c r="AT113" s="155">
        <v>0</v>
      </c>
      <c r="AU113" s="154">
        <v>2973.07</v>
      </c>
      <c r="AV113" s="155">
        <v>73.010000000000005</v>
      </c>
      <c r="AW113" s="154">
        <v>3453.99</v>
      </c>
      <c r="AX113" s="156"/>
    </row>
    <row r="114" spans="1:50" ht="15.5" x14ac:dyDescent="0.35">
      <c r="A114" s="98">
        <f t="shared" si="36"/>
        <v>71</v>
      </c>
      <c r="B114" s="99">
        <f t="shared" ca="1" si="28"/>
        <v>48218</v>
      </c>
      <c r="C114" s="100">
        <f t="shared" si="25"/>
        <v>161111.11111111066</v>
      </c>
      <c r="D114" s="100">
        <f t="shared" si="29"/>
        <v>1756.1111111111061</v>
      </c>
      <c r="E114" s="100">
        <f t="shared" si="30"/>
        <v>162867.22222222175</v>
      </c>
      <c r="F114" s="100">
        <f t="shared" si="31"/>
        <v>555.55555555555554</v>
      </c>
      <c r="G114" s="100">
        <f t="shared" si="32"/>
        <v>2224.9119669789316</v>
      </c>
      <c r="H114" s="100">
        <f t="shared" si="33"/>
        <v>37.055555555555451</v>
      </c>
      <c r="I114" s="100">
        <f t="shared" si="26"/>
        <v>20</v>
      </c>
      <c r="J114" s="100">
        <f t="shared" si="34"/>
        <v>2281.9675225344872</v>
      </c>
      <c r="K114" s="101">
        <f t="shared" si="35"/>
        <v>160555.5555555551</v>
      </c>
      <c r="O114" s="118">
        <f t="shared" si="19"/>
        <v>16.666666666666664</v>
      </c>
      <c r="P114" s="119">
        <f t="shared" ca="1" si="27"/>
        <v>31</v>
      </c>
      <c r="Q114" s="120">
        <v>365</v>
      </c>
      <c r="S114" s="123">
        <v>43</v>
      </c>
      <c r="T114" s="123">
        <v>3.2539999999999999E-4</v>
      </c>
      <c r="U114" s="123" t="s">
        <v>79</v>
      </c>
      <c r="AA114" s="96">
        <f t="shared" si="21"/>
        <v>76</v>
      </c>
      <c r="AB114" s="97">
        <f t="shared" si="22"/>
        <v>16318.473112906247</v>
      </c>
      <c r="AC114" s="97">
        <f t="shared" si="23"/>
        <v>2281.3286336455981</v>
      </c>
      <c r="AE114" s="96">
        <f t="shared" si="24"/>
        <v>76</v>
      </c>
      <c r="AF114" s="97">
        <f>IFERROR(VLOOKUP(AE114,[1]Cálculos_PRICE!$A$32:$K$212,10,0),"")</f>
        <v>16318.473112906247</v>
      </c>
      <c r="AG114" s="97">
        <f>IFERROR(VLOOKUP(AE114,'Cálculos_CGI - SAC FIXA'!A112:K504,10,0),"")</f>
        <v>2281.3286336455981</v>
      </c>
      <c r="AH114" s="97">
        <f>IFERROR(VLOOKUP(AE114,[1]Cálculos_PRICE!$A$32:$K$212,6,0),"")</f>
        <v>3372.9119153941247</v>
      </c>
      <c r="AI114" s="97">
        <f>IFERROR(VLOOKUP(AE114,'Cálculos_CGI - SAC FIXA'!A112:K504,6,0),"")</f>
        <v>555.55555555555554</v>
      </c>
      <c r="AJ114" s="97">
        <f>IFERROR(VLOOKUP(AE114,[1]Cálculos_PRICE!$A$32:$K$240,11,0),"")</f>
        <v>845380.32000021206</v>
      </c>
      <c r="AK114" s="97">
        <f>IFERROR(VLOOKUP(AE114,'Cálculos_CGI - SAC FIXA'!A112:K504,11,0),"")</f>
        <v>157777.77777777729</v>
      </c>
      <c r="AN114" s="157">
        <f t="shared" si="20"/>
        <v>72427.507777778286</v>
      </c>
      <c r="AO114" s="147" t="s">
        <v>195</v>
      </c>
      <c r="AP114" s="147" t="s">
        <v>119</v>
      </c>
      <c r="AQ114" s="148">
        <v>46391</v>
      </c>
      <c r="AR114" s="149">
        <v>230062.9</v>
      </c>
      <c r="AS114" s="150">
        <v>413.17</v>
      </c>
      <c r="AT114" s="150">
        <v>0</v>
      </c>
      <c r="AU114" s="149">
        <v>2967.81</v>
      </c>
      <c r="AV114" s="150">
        <v>72.91</v>
      </c>
      <c r="AW114" s="149">
        <v>3453.89</v>
      </c>
      <c r="AX114" s="151"/>
    </row>
    <row r="115" spans="1:50" ht="15.5" x14ac:dyDescent="0.35">
      <c r="A115" s="98">
        <f t="shared" si="36"/>
        <v>72</v>
      </c>
      <c r="B115" s="99">
        <f t="shared" ca="1" si="28"/>
        <v>48249</v>
      </c>
      <c r="C115" s="100">
        <f t="shared" si="25"/>
        <v>160555.5555555551</v>
      </c>
      <c r="D115" s="100">
        <f t="shared" si="29"/>
        <v>1750.0555555555507</v>
      </c>
      <c r="E115" s="100">
        <f t="shared" si="30"/>
        <v>162305.61111111066</v>
      </c>
      <c r="F115" s="100">
        <f t="shared" si="31"/>
        <v>555.55555555555554</v>
      </c>
      <c r="G115" s="100">
        <f t="shared" si="32"/>
        <v>2224.9119669789316</v>
      </c>
      <c r="H115" s="100">
        <f t="shared" si="33"/>
        <v>36.927777777777671</v>
      </c>
      <c r="I115" s="100">
        <f t="shared" si="26"/>
        <v>20</v>
      </c>
      <c r="J115" s="100">
        <f t="shared" si="34"/>
        <v>2281.839744756709</v>
      </c>
      <c r="K115" s="101">
        <f t="shared" si="35"/>
        <v>159999.99999999953</v>
      </c>
      <c r="O115" s="118">
        <f t="shared" si="19"/>
        <v>16.666666666666664</v>
      </c>
      <c r="P115" s="119">
        <f t="shared" ca="1" si="27"/>
        <v>31</v>
      </c>
      <c r="Q115" s="120">
        <v>365</v>
      </c>
      <c r="S115" s="123">
        <v>44</v>
      </c>
      <c r="T115" s="123">
        <v>3.2539999999999999E-4</v>
      </c>
      <c r="U115" s="123" t="s">
        <v>79</v>
      </c>
      <c r="AA115" s="96">
        <f t="shared" si="21"/>
        <v>77</v>
      </c>
      <c r="AB115" s="97">
        <f t="shared" si="22"/>
        <v>16317.722977296264</v>
      </c>
      <c r="AC115" s="97">
        <f t="shared" si="23"/>
        <v>2281.2008558678203</v>
      </c>
      <c r="AE115" s="96">
        <f t="shared" si="24"/>
        <v>77</v>
      </c>
      <c r="AF115" s="97">
        <f>IFERROR(VLOOKUP(AE115,[1]Cálculos_PRICE!$A$32:$K$212,10,0),"")</f>
        <v>16317.722977296264</v>
      </c>
      <c r="AG115" s="97">
        <f>IFERROR(VLOOKUP(AE115,'Cálculos_CGI - SAC FIXA'!A113:K505,10,0),"")</f>
        <v>2281.2008558678203</v>
      </c>
      <c r="AH115" s="97">
        <f>IFERROR(VLOOKUP(AE115,[1]Cálculos_PRICE!$A$32:$K$212,6,0),"")</f>
        <v>3423.5055941250357</v>
      </c>
      <c r="AI115" s="97">
        <f>IFERROR(VLOOKUP(AE115,'Cálculos_CGI - SAC FIXA'!A113:K505,6,0),"")</f>
        <v>555.55555555555554</v>
      </c>
      <c r="AJ115" s="97">
        <f>IFERROR(VLOOKUP(AE115,[1]Cálculos_PRICE!$A$32:$K$240,11,0),"")</f>
        <v>841956.81440608704</v>
      </c>
      <c r="AK115" s="97">
        <f>IFERROR(VLOOKUP(AE115,'Cálculos_CGI - SAC FIXA'!A113:K505,11,0),"")</f>
        <v>157222.22222222172</v>
      </c>
      <c r="AN115" s="157">
        <f t="shared" si="20"/>
        <v>72564.563333333848</v>
      </c>
      <c r="AO115" s="152" t="s">
        <v>196</v>
      </c>
      <c r="AP115" s="152" t="s">
        <v>119</v>
      </c>
      <c r="AQ115" s="153">
        <v>46422</v>
      </c>
      <c r="AR115" s="154">
        <v>229649.73</v>
      </c>
      <c r="AS115" s="155">
        <v>418.5</v>
      </c>
      <c r="AT115" s="155">
        <v>0</v>
      </c>
      <c r="AU115" s="154">
        <v>2962.48</v>
      </c>
      <c r="AV115" s="155">
        <v>72.819999999999993</v>
      </c>
      <c r="AW115" s="154">
        <v>3453.8</v>
      </c>
      <c r="AX115" s="156"/>
    </row>
    <row r="116" spans="1:50" ht="15.5" x14ac:dyDescent="0.35">
      <c r="A116" s="98">
        <f t="shared" si="36"/>
        <v>73</v>
      </c>
      <c r="B116" s="99">
        <f t="shared" ca="1" si="28"/>
        <v>48278</v>
      </c>
      <c r="C116" s="100">
        <f t="shared" si="25"/>
        <v>159999.99999999953</v>
      </c>
      <c r="D116" s="100">
        <f t="shared" si="29"/>
        <v>1743.999999999995</v>
      </c>
      <c r="E116" s="100">
        <f t="shared" si="30"/>
        <v>161743.99999999953</v>
      </c>
      <c r="F116" s="100">
        <f t="shared" si="31"/>
        <v>555.55555555555554</v>
      </c>
      <c r="G116" s="100">
        <f t="shared" si="32"/>
        <v>2224.9119669789316</v>
      </c>
      <c r="H116" s="100">
        <f t="shared" si="33"/>
        <v>36.799999999999891</v>
      </c>
      <c r="I116" s="100">
        <f t="shared" si="26"/>
        <v>20</v>
      </c>
      <c r="J116" s="100">
        <f t="shared" si="34"/>
        <v>2281.7119669789313</v>
      </c>
      <c r="K116" s="101">
        <f t="shared" si="35"/>
        <v>159444.44444444397</v>
      </c>
      <c r="O116" s="118">
        <f t="shared" si="19"/>
        <v>16.666666666666664</v>
      </c>
      <c r="P116" s="119">
        <f t="shared" ca="1" si="27"/>
        <v>29</v>
      </c>
      <c r="Q116" s="120">
        <v>365</v>
      </c>
      <c r="S116" s="123">
        <v>45</v>
      </c>
      <c r="T116" s="123">
        <v>3.2539999999999999E-4</v>
      </c>
      <c r="U116" s="123" t="s">
        <v>79</v>
      </c>
      <c r="AA116" s="96">
        <f t="shared" si="21"/>
        <v>78</v>
      </c>
      <c r="AB116" s="97">
        <f t="shared" si="22"/>
        <v>16316.96158965213</v>
      </c>
      <c r="AC116" s="97">
        <f t="shared" si="23"/>
        <v>2281.0730780900426</v>
      </c>
      <c r="AE116" s="96">
        <f t="shared" si="24"/>
        <v>78</v>
      </c>
      <c r="AF116" s="97">
        <f>IFERROR(VLOOKUP(AE116,[1]Cálculos_PRICE!$A$32:$K$212,10,0),"")</f>
        <v>16316.96158965213</v>
      </c>
      <c r="AG116" s="97">
        <f>IFERROR(VLOOKUP(AE116,'Cálculos_CGI - SAC FIXA'!A114:K506,10,0),"")</f>
        <v>2281.0730780900426</v>
      </c>
      <c r="AH116" s="97">
        <f>IFERROR(VLOOKUP(AE116,[1]Cálculos_PRICE!$A$32:$K$212,6,0),"")</f>
        <v>3474.8581780369113</v>
      </c>
      <c r="AI116" s="97">
        <f>IFERROR(VLOOKUP(AE116,'Cálculos_CGI - SAC FIXA'!A114:K506,6,0),"")</f>
        <v>555.55555555555554</v>
      </c>
      <c r="AJ116" s="97">
        <f>IFERROR(VLOOKUP(AE116,[1]Cálculos_PRICE!$A$32:$K$240,11,0),"")</f>
        <v>838481.95622805017</v>
      </c>
      <c r="AK116" s="97">
        <f>IFERROR(VLOOKUP(AE116,'Cálculos_CGI - SAC FIXA'!A114:K506,11,0),"")</f>
        <v>156666.66666666616</v>
      </c>
      <c r="AN116" s="157">
        <f t="shared" si="20"/>
        <v>72696.218888889387</v>
      </c>
      <c r="AO116" s="147" t="s">
        <v>197</v>
      </c>
      <c r="AP116" s="147" t="s">
        <v>119</v>
      </c>
      <c r="AQ116" s="148">
        <v>46450</v>
      </c>
      <c r="AR116" s="149">
        <v>229231.23</v>
      </c>
      <c r="AS116" s="150">
        <v>423.9</v>
      </c>
      <c r="AT116" s="150">
        <v>0</v>
      </c>
      <c r="AU116" s="149">
        <v>2957.08</v>
      </c>
      <c r="AV116" s="150">
        <v>72.72</v>
      </c>
      <c r="AW116" s="149">
        <v>3453.7</v>
      </c>
      <c r="AX116" s="151"/>
    </row>
    <row r="117" spans="1:50" ht="15.5" x14ac:dyDescent="0.35">
      <c r="A117" s="98">
        <f t="shared" si="36"/>
        <v>74</v>
      </c>
      <c r="B117" s="99">
        <f t="shared" ca="1" si="28"/>
        <v>48309</v>
      </c>
      <c r="C117" s="100">
        <f t="shared" si="25"/>
        <v>159444.44444444397</v>
      </c>
      <c r="D117" s="100">
        <f t="shared" si="29"/>
        <v>1737.9444444444393</v>
      </c>
      <c r="E117" s="100">
        <f t="shared" si="30"/>
        <v>161182.38888888841</v>
      </c>
      <c r="F117" s="100">
        <f t="shared" si="31"/>
        <v>555.55555555555554</v>
      </c>
      <c r="G117" s="100">
        <f t="shared" si="32"/>
        <v>2224.9119669789316</v>
      </c>
      <c r="H117" s="100">
        <f t="shared" si="33"/>
        <v>36.672222222222118</v>
      </c>
      <c r="I117" s="100">
        <f t="shared" si="26"/>
        <v>20</v>
      </c>
      <c r="J117" s="100">
        <f t="shared" si="34"/>
        <v>2281.5841892011535</v>
      </c>
      <c r="K117" s="101">
        <f t="shared" si="35"/>
        <v>158888.88888888841</v>
      </c>
      <c r="O117" s="118">
        <f t="shared" si="19"/>
        <v>16.666666666666664</v>
      </c>
      <c r="P117" s="119">
        <f t="shared" ca="1" si="27"/>
        <v>31</v>
      </c>
      <c r="Q117" s="120">
        <v>365</v>
      </c>
      <c r="S117" s="123">
        <v>46</v>
      </c>
      <c r="T117" s="123">
        <v>3.2539999999999999E-4</v>
      </c>
      <c r="U117" s="123" t="s">
        <v>79</v>
      </c>
      <c r="AA117" s="96">
        <f t="shared" si="21"/>
        <v>79</v>
      </c>
      <c r="AB117" s="97">
        <f t="shared" si="22"/>
        <v>16316.188781193336</v>
      </c>
      <c r="AC117" s="97">
        <f t="shared" si="23"/>
        <v>2280.9453003122649</v>
      </c>
      <c r="AE117" s="96">
        <f t="shared" si="24"/>
        <v>79</v>
      </c>
      <c r="AF117" s="97">
        <f>IFERROR(VLOOKUP(AE117,[1]Cálculos_PRICE!$A$32:$K$212,10,0),"")</f>
        <v>16316.188781193336</v>
      </c>
      <c r="AG117" s="97">
        <f>IFERROR(VLOOKUP(AE117,'Cálculos_CGI - SAC FIXA'!A115:K507,10,0),"")</f>
        <v>2280.9453003122649</v>
      </c>
      <c r="AH117" s="97">
        <f>IFERROR(VLOOKUP(AE117,[1]Cálculos_PRICE!$A$32:$K$212,6,0),"")</f>
        <v>3526.9810507074653</v>
      </c>
      <c r="AI117" s="97">
        <f>IFERROR(VLOOKUP(AE117,'Cálculos_CGI - SAC FIXA'!A115:K507,6,0),"")</f>
        <v>555.55555555555554</v>
      </c>
      <c r="AJ117" s="97">
        <f>IFERROR(VLOOKUP(AE117,[1]Cálculos_PRICE!$A$32:$K$240,11,0),"")</f>
        <v>834954.97517734265</v>
      </c>
      <c r="AK117" s="97">
        <f>IFERROR(VLOOKUP(AE117,'Cálculos_CGI - SAC FIXA'!A115:K507,11,0),"")</f>
        <v>156111.1111111106</v>
      </c>
      <c r="AN117" s="157">
        <f t="shared" si="20"/>
        <v>72822.404444444954</v>
      </c>
      <c r="AO117" s="152" t="s">
        <v>198</v>
      </c>
      <c r="AP117" s="152" t="s">
        <v>119</v>
      </c>
      <c r="AQ117" s="153">
        <v>46481</v>
      </c>
      <c r="AR117" s="154">
        <v>228807.33</v>
      </c>
      <c r="AS117" s="155">
        <v>429.37</v>
      </c>
      <c r="AT117" s="155">
        <v>0</v>
      </c>
      <c r="AU117" s="154">
        <v>2951.61</v>
      </c>
      <c r="AV117" s="155">
        <v>72.63</v>
      </c>
      <c r="AW117" s="154">
        <v>3453.61</v>
      </c>
      <c r="AX117" s="156"/>
    </row>
    <row r="118" spans="1:50" ht="15.5" x14ac:dyDescent="0.35">
      <c r="A118" s="98">
        <f t="shared" si="36"/>
        <v>75</v>
      </c>
      <c r="B118" s="99">
        <f t="shared" ca="1" si="28"/>
        <v>48339</v>
      </c>
      <c r="C118" s="100">
        <f t="shared" si="25"/>
        <v>158888.88888888841</v>
      </c>
      <c r="D118" s="100">
        <f t="shared" si="29"/>
        <v>1731.8888888888837</v>
      </c>
      <c r="E118" s="100">
        <f t="shared" si="30"/>
        <v>160620.77777777729</v>
      </c>
      <c r="F118" s="100">
        <f t="shared" si="31"/>
        <v>555.55555555555554</v>
      </c>
      <c r="G118" s="100">
        <f t="shared" si="32"/>
        <v>2224.9119669789316</v>
      </c>
      <c r="H118" s="100">
        <f t="shared" si="33"/>
        <v>36.544444444444338</v>
      </c>
      <c r="I118" s="100">
        <f t="shared" si="26"/>
        <v>20</v>
      </c>
      <c r="J118" s="100">
        <f t="shared" si="34"/>
        <v>2281.4564114233758</v>
      </c>
      <c r="K118" s="101">
        <f t="shared" si="35"/>
        <v>158333.33333333285</v>
      </c>
      <c r="O118" s="118">
        <f t="shared" si="19"/>
        <v>16.666666666666664</v>
      </c>
      <c r="P118" s="119">
        <f t="shared" ca="1" si="27"/>
        <v>30</v>
      </c>
      <c r="Q118" s="120">
        <v>365</v>
      </c>
      <c r="S118" s="123">
        <v>47</v>
      </c>
      <c r="T118" s="123">
        <v>3.2539999999999999E-4</v>
      </c>
      <c r="U118" s="123" t="s">
        <v>79</v>
      </c>
      <c r="AA118" s="96">
        <f t="shared" si="21"/>
        <v>80</v>
      </c>
      <c r="AB118" s="97">
        <f t="shared" si="22"/>
        <v>16315.404380607657</v>
      </c>
      <c r="AC118" s="97">
        <f t="shared" si="23"/>
        <v>2280.8175225344871</v>
      </c>
      <c r="AE118" s="96">
        <f t="shared" si="24"/>
        <v>80</v>
      </c>
      <c r="AF118" s="97">
        <f>IFERROR(VLOOKUP(AE118,[1]Cálculos_PRICE!$A$32:$K$212,10,0),"")</f>
        <v>16315.404380607657</v>
      </c>
      <c r="AG118" s="97">
        <f>IFERROR(VLOOKUP(AE118,'Cálculos_CGI - SAC FIXA'!A116:K508,10,0),"")</f>
        <v>2280.8175225344871</v>
      </c>
      <c r="AH118" s="97">
        <f>IFERROR(VLOOKUP(AE118,[1]Cálculos_PRICE!$A$32:$K$212,6,0),"")</f>
        <v>3579.8857664680781</v>
      </c>
      <c r="AI118" s="97">
        <f>IFERROR(VLOOKUP(AE118,'Cálculos_CGI - SAC FIXA'!A116:K508,6,0),"")</f>
        <v>555.55555555555554</v>
      </c>
      <c r="AJ118" s="97">
        <f>IFERROR(VLOOKUP(AE118,[1]Cálculos_PRICE!$A$32:$K$240,11,0),"")</f>
        <v>831375.08941087453</v>
      </c>
      <c r="AK118" s="97">
        <f>IFERROR(VLOOKUP(AE118,'Cálculos_CGI - SAC FIXA'!A116:K508,11,0),"")</f>
        <v>155555.55555555504</v>
      </c>
      <c r="AN118" s="157">
        <f t="shared" si="20"/>
        <v>72943.060000000522</v>
      </c>
      <c r="AO118" s="147" t="s">
        <v>199</v>
      </c>
      <c r="AP118" s="147" t="s">
        <v>119</v>
      </c>
      <c r="AQ118" s="148">
        <v>46511</v>
      </c>
      <c r="AR118" s="149">
        <v>228377.96</v>
      </c>
      <c r="AS118" s="150">
        <v>434.9</v>
      </c>
      <c r="AT118" s="150">
        <v>0</v>
      </c>
      <c r="AU118" s="149">
        <v>2946.08</v>
      </c>
      <c r="AV118" s="150">
        <v>72.53</v>
      </c>
      <c r="AW118" s="149">
        <v>3453.51</v>
      </c>
      <c r="AX118" s="151"/>
    </row>
    <row r="119" spans="1:50" ht="15.5" x14ac:dyDescent="0.35">
      <c r="A119" s="98">
        <f t="shared" si="36"/>
        <v>76</v>
      </c>
      <c r="B119" s="99">
        <f t="shared" ca="1" si="28"/>
        <v>48370</v>
      </c>
      <c r="C119" s="100">
        <f t="shared" si="25"/>
        <v>158333.33333333285</v>
      </c>
      <c r="D119" s="100">
        <f t="shared" si="29"/>
        <v>1725.833333333328</v>
      </c>
      <c r="E119" s="100">
        <f t="shared" si="30"/>
        <v>160059.16666666616</v>
      </c>
      <c r="F119" s="100">
        <f t="shared" si="31"/>
        <v>555.55555555555554</v>
      </c>
      <c r="G119" s="100">
        <f t="shared" si="32"/>
        <v>2224.9119669789316</v>
      </c>
      <c r="H119" s="100">
        <f t="shared" si="33"/>
        <v>36.416666666666558</v>
      </c>
      <c r="I119" s="100">
        <f t="shared" si="26"/>
        <v>20</v>
      </c>
      <c r="J119" s="100">
        <f t="shared" si="34"/>
        <v>2281.3286336455981</v>
      </c>
      <c r="K119" s="101">
        <f t="shared" si="35"/>
        <v>157777.77777777729</v>
      </c>
      <c r="O119" s="118">
        <f t="shared" si="19"/>
        <v>16.666666666666664</v>
      </c>
      <c r="P119" s="119">
        <f t="shared" ca="1" si="27"/>
        <v>31</v>
      </c>
      <c r="Q119" s="120">
        <v>365</v>
      </c>
      <c r="S119" s="123">
        <v>48</v>
      </c>
      <c r="T119" s="123">
        <v>3.2539999999999999E-4</v>
      </c>
      <c r="U119" s="123" t="s">
        <v>79</v>
      </c>
      <c r="AA119" s="96">
        <f t="shared" si="21"/>
        <v>81</v>
      </c>
      <c r="AB119" s="97">
        <f t="shared" si="22"/>
        <v>16314.608214013195</v>
      </c>
      <c r="AC119" s="97">
        <f t="shared" si="23"/>
        <v>2280.6897447567094</v>
      </c>
      <c r="AE119" s="96">
        <f t="shared" si="24"/>
        <v>81</v>
      </c>
      <c r="AF119" s="97">
        <f>IFERROR(VLOOKUP(AE119,[1]Cálculos_PRICE!$A$32:$K$212,10,0),"")</f>
        <v>16314.608214013195</v>
      </c>
      <c r="AG119" s="97">
        <f>IFERROR(VLOOKUP(AE119,'Cálculos_CGI - SAC FIXA'!A117:K509,10,0),"")</f>
        <v>2280.6897447567094</v>
      </c>
      <c r="AH119" s="97">
        <f>IFERROR(VLOOKUP(AE119,[1]Cálculos_PRICE!$A$32:$K$212,6,0),"")</f>
        <v>3633.5840529650995</v>
      </c>
      <c r="AI119" s="97">
        <f>IFERROR(VLOOKUP(AE119,'Cálculos_CGI - SAC FIXA'!A117:K509,6,0),"")</f>
        <v>555.55555555555554</v>
      </c>
      <c r="AJ119" s="97">
        <f>IFERROR(VLOOKUP(AE119,[1]Cálculos_PRICE!$A$32:$K$240,11,0),"")</f>
        <v>827741.50535790948</v>
      </c>
      <c r="AK119" s="97">
        <f>IFERROR(VLOOKUP(AE119,'Cálculos_CGI - SAC FIXA'!A117:K509,11,0),"")</f>
        <v>154999.99999999948</v>
      </c>
      <c r="AN119" s="157">
        <f t="shared" si="20"/>
        <v>73058.105555556074</v>
      </c>
      <c r="AO119" s="152" t="s">
        <v>200</v>
      </c>
      <c r="AP119" s="152" t="s">
        <v>119</v>
      </c>
      <c r="AQ119" s="153">
        <v>46542</v>
      </c>
      <c r="AR119" s="154">
        <v>227943.06</v>
      </c>
      <c r="AS119" s="155">
        <v>440.51</v>
      </c>
      <c r="AT119" s="155">
        <v>0</v>
      </c>
      <c r="AU119" s="154">
        <v>2940.47</v>
      </c>
      <c r="AV119" s="155">
        <v>72.430000000000007</v>
      </c>
      <c r="AW119" s="154">
        <v>3453.41</v>
      </c>
      <c r="AX119" s="156"/>
    </row>
    <row r="120" spans="1:50" ht="15.5" x14ac:dyDescent="0.35">
      <c r="A120" s="98">
        <f t="shared" si="36"/>
        <v>77</v>
      </c>
      <c r="B120" s="99">
        <f t="shared" ca="1" si="28"/>
        <v>48400</v>
      </c>
      <c r="C120" s="100">
        <f t="shared" si="25"/>
        <v>157777.77777777729</v>
      </c>
      <c r="D120" s="100">
        <f t="shared" si="29"/>
        <v>1719.7777777777724</v>
      </c>
      <c r="E120" s="100">
        <f t="shared" si="30"/>
        <v>159497.55555555507</v>
      </c>
      <c r="F120" s="100">
        <f t="shared" si="31"/>
        <v>555.55555555555554</v>
      </c>
      <c r="G120" s="100">
        <f t="shared" si="32"/>
        <v>2224.9119669789316</v>
      </c>
      <c r="H120" s="100">
        <f t="shared" si="33"/>
        <v>36.288888888888778</v>
      </c>
      <c r="I120" s="100">
        <f t="shared" si="26"/>
        <v>20</v>
      </c>
      <c r="J120" s="100">
        <f t="shared" si="34"/>
        <v>2281.2008558678203</v>
      </c>
      <c r="K120" s="101">
        <f t="shared" si="35"/>
        <v>157222.22222222172</v>
      </c>
      <c r="O120" s="118">
        <f t="shared" ref="O120:O183" si="37">IFERROR(F120*$O$39,0)</f>
        <v>16.666666666666664</v>
      </c>
      <c r="P120" s="119">
        <f t="shared" ca="1" si="27"/>
        <v>30</v>
      </c>
      <c r="Q120" s="120">
        <v>365</v>
      </c>
      <c r="S120" s="123">
        <v>49</v>
      </c>
      <c r="T120" s="123">
        <v>3.2539999999999999E-4</v>
      </c>
      <c r="U120" s="123" t="s">
        <v>79</v>
      </c>
      <c r="AA120" s="96">
        <f t="shared" si="21"/>
        <v>82</v>
      </c>
      <c r="AB120" s="97">
        <f t="shared" si="22"/>
        <v>16313.800104919816</v>
      </c>
      <c r="AC120" s="97">
        <f t="shared" si="23"/>
        <v>2280.5619669789317</v>
      </c>
      <c r="AE120" s="96">
        <f t="shared" si="24"/>
        <v>82</v>
      </c>
      <c r="AF120" s="97">
        <f>IFERROR(VLOOKUP(AE120,[1]Cálculos_PRICE!$A$32:$K$212,10,0),"")</f>
        <v>16313.800104919816</v>
      </c>
      <c r="AG120" s="97">
        <f>IFERROR(VLOOKUP(AE120,'Cálculos_CGI - SAC FIXA'!A118:K510,10,0),"")</f>
        <v>2280.5619669789317</v>
      </c>
      <c r="AH120" s="97">
        <f>IFERROR(VLOOKUP(AE120,[1]Cálculos_PRICE!$A$32:$K$212,6,0),"")</f>
        <v>3688.0878137595755</v>
      </c>
      <c r="AI120" s="97">
        <f>IFERROR(VLOOKUP(AE120,'Cálculos_CGI - SAC FIXA'!A118:K510,6,0),"")</f>
        <v>555.55555555555554</v>
      </c>
      <c r="AJ120" s="97">
        <f>IFERROR(VLOOKUP(AE120,[1]Cálculos_PRICE!$A$32:$K$240,11,0),"")</f>
        <v>824053.41754414991</v>
      </c>
      <c r="AK120" s="97">
        <f>IFERROR(VLOOKUP(AE120,'Cálculos_CGI - SAC FIXA'!A118:K510,11,0),"")</f>
        <v>154444.44444444391</v>
      </c>
      <c r="AN120" s="157">
        <f t="shared" si="20"/>
        <v>73167.461111111654</v>
      </c>
      <c r="AO120" s="147" t="s">
        <v>201</v>
      </c>
      <c r="AP120" s="147" t="s">
        <v>119</v>
      </c>
      <c r="AQ120" s="148">
        <v>46572</v>
      </c>
      <c r="AR120" s="149">
        <v>227502.55</v>
      </c>
      <c r="AS120" s="150">
        <v>446.2</v>
      </c>
      <c r="AT120" s="150">
        <v>0</v>
      </c>
      <c r="AU120" s="149">
        <v>2934.78</v>
      </c>
      <c r="AV120" s="150">
        <v>72.33</v>
      </c>
      <c r="AW120" s="149">
        <v>3453.31</v>
      </c>
      <c r="AX120" s="151"/>
    </row>
    <row r="121" spans="1:50" ht="15.5" x14ac:dyDescent="0.35">
      <c r="A121" s="98">
        <f t="shared" si="36"/>
        <v>78</v>
      </c>
      <c r="B121" s="99">
        <f t="shared" ca="1" si="28"/>
        <v>48431</v>
      </c>
      <c r="C121" s="100">
        <f t="shared" si="25"/>
        <v>157222.22222222172</v>
      </c>
      <c r="D121" s="100">
        <f t="shared" si="29"/>
        <v>1713.7222222222167</v>
      </c>
      <c r="E121" s="100">
        <f t="shared" si="30"/>
        <v>158935.94444444394</v>
      </c>
      <c r="F121" s="100">
        <f t="shared" si="31"/>
        <v>555.55555555555554</v>
      </c>
      <c r="G121" s="100">
        <f t="shared" si="32"/>
        <v>2224.9119669789316</v>
      </c>
      <c r="H121" s="100">
        <f t="shared" si="33"/>
        <v>36.161111111110998</v>
      </c>
      <c r="I121" s="100">
        <f t="shared" si="26"/>
        <v>20</v>
      </c>
      <c r="J121" s="100">
        <f t="shared" si="34"/>
        <v>2281.0730780900426</v>
      </c>
      <c r="K121" s="101">
        <f t="shared" si="35"/>
        <v>156666.66666666616</v>
      </c>
      <c r="O121" s="118">
        <f t="shared" si="37"/>
        <v>16.666666666666664</v>
      </c>
      <c r="P121" s="119">
        <f t="shared" ca="1" si="27"/>
        <v>31</v>
      </c>
      <c r="Q121" s="120">
        <v>365</v>
      </c>
      <c r="S121" s="123">
        <v>50</v>
      </c>
      <c r="T121" s="123">
        <v>3.2539999999999999E-4</v>
      </c>
      <c r="U121" s="123" t="s">
        <v>79</v>
      </c>
      <c r="AA121" s="96">
        <f t="shared" si="21"/>
        <v>83</v>
      </c>
      <c r="AB121" s="97">
        <f t="shared" si="22"/>
        <v>16312.979874190036</v>
      </c>
      <c r="AC121" s="97">
        <f t="shared" si="23"/>
        <v>2280.4341892011535</v>
      </c>
      <c r="AE121" s="96">
        <f t="shared" si="24"/>
        <v>83</v>
      </c>
      <c r="AF121" s="97">
        <f>IFERROR(VLOOKUP(AE121,[1]Cálculos_PRICE!$A$32:$K$212,10,0),"")</f>
        <v>16312.979874190036</v>
      </c>
      <c r="AG121" s="97">
        <f>IFERROR(VLOOKUP(AE121,'Cálculos_CGI - SAC FIXA'!A119:K511,10,0),"")</f>
        <v>2280.4341892011535</v>
      </c>
      <c r="AH121" s="97">
        <f>IFERROR(VLOOKUP(AE121,[1]Cálculos_PRICE!$A$32:$K$212,6,0),"")</f>
        <v>3743.4091309659689</v>
      </c>
      <c r="AI121" s="97">
        <f>IFERROR(VLOOKUP(AE121,'Cálculos_CGI - SAC FIXA'!A119:K511,6,0),"")</f>
        <v>555.55555555555554</v>
      </c>
      <c r="AJ121" s="97">
        <f>IFERROR(VLOOKUP(AE121,[1]Cálculos_PRICE!$A$32:$K$240,11,0),"")</f>
        <v>820310.00841318397</v>
      </c>
      <c r="AK121" s="97">
        <f>IFERROR(VLOOKUP(AE121,'Cálculos_CGI - SAC FIXA'!A119:K511,11,0),"")</f>
        <v>153888.88888888835</v>
      </c>
      <c r="AN121" s="157">
        <f t="shared" si="20"/>
        <v>73271.066666667204</v>
      </c>
      <c r="AO121" s="152" t="s">
        <v>202</v>
      </c>
      <c r="AP121" s="152" t="s">
        <v>119</v>
      </c>
      <c r="AQ121" s="153">
        <v>46603</v>
      </c>
      <c r="AR121" s="154">
        <v>227056.35</v>
      </c>
      <c r="AS121" s="155">
        <v>451.95</v>
      </c>
      <c r="AT121" s="155">
        <v>0</v>
      </c>
      <c r="AU121" s="154">
        <v>2929.03</v>
      </c>
      <c r="AV121" s="155">
        <v>72.22</v>
      </c>
      <c r="AW121" s="154">
        <v>3453.2</v>
      </c>
      <c r="AX121" s="156"/>
    </row>
    <row r="122" spans="1:50" ht="15.5" x14ac:dyDescent="0.35">
      <c r="A122" s="98">
        <f t="shared" si="36"/>
        <v>79</v>
      </c>
      <c r="B122" s="99">
        <f t="shared" ca="1" si="28"/>
        <v>48462</v>
      </c>
      <c r="C122" s="100">
        <f t="shared" si="25"/>
        <v>156666.66666666616</v>
      </c>
      <c r="D122" s="100">
        <f t="shared" si="29"/>
        <v>1707.6666666666611</v>
      </c>
      <c r="E122" s="100">
        <f t="shared" si="30"/>
        <v>158374.33333333282</v>
      </c>
      <c r="F122" s="100">
        <f t="shared" si="31"/>
        <v>555.55555555555554</v>
      </c>
      <c r="G122" s="100">
        <f t="shared" si="32"/>
        <v>2224.9119669789316</v>
      </c>
      <c r="H122" s="100">
        <f t="shared" si="33"/>
        <v>36.033333333333218</v>
      </c>
      <c r="I122" s="100">
        <f t="shared" si="26"/>
        <v>20</v>
      </c>
      <c r="J122" s="100">
        <f t="shared" si="34"/>
        <v>2280.9453003122649</v>
      </c>
      <c r="K122" s="101">
        <f t="shared" si="35"/>
        <v>156111.1111111106</v>
      </c>
      <c r="O122" s="118">
        <f t="shared" si="37"/>
        <v>16.666666666666664</v>
      </c>
      <c r="P122" s="119">
        <f t="shared" ca="1" si="27"/>
        <v>31</v>
      </c>
      <c r="Q122" s="120">
        <v>365</v>
      </c>
      <c r="S122" s="123">
        <v>51</v>
      </c>
      <c r="T122" s="123">
        <v>1.2905E-3</v>
      </c>
      <c r="U122" s="123" t="s">
        <v>80</v>
      </c>
      <c r="AA122" s="96">
        <f t="shared" si="21"/>
        <v>84</v>
      </c>
      <c r="AB122" s="97">
        <f t="shared" si="22"/>
        <v>16312.147339999308</v>
      </c>
      <c r="AC122" s="97">
        <f t="shared" si="23"/>
        <v>2280.3064114233757</v>
      </c>
      <c r="AE122" s="96">
        <f t="shared" si="24"/>
        <v>84</v>
      </c>
      <c r="AF122" s="97">
        <f>IFERROR(VLOOKUP(AE122,[1]Cálculos_PRICE!$A$32:$K$212,10,0),"")</f>
        <v>16312.147339999308</v>
      </c>
      <c r="AG122" s="97">
        <f>IFERROR(VLOOKUP(AE122,'Cálculos_CGI - SAC FIXA'!A120:K512,10,0),"")</f>
        <v>2280.3064114233757</v>
      </c>
      <c r="AH122" s="97">
        <f>IFERROR(VLOOKUP(AE122,[1]Cálculos_PRICE!$A$32:$K$212,6,0),"")</f>
        <v>3799.5602679304575</v>
      </c>
      <c r="AI122" s="97">
        <f>IFERROR(VLOOKUP(AE122,'Cálculos_CGI - SAC FIXA'!A120:K512,6,0),"")</f>
        <v>555.55555555555554</v>
      </c>
      <c r="AJ122" s="97">
        <f>IFERROR(VLOOKUP(AE122,[1]Cálculos_PRICE!$A$32:$K$240,11,0),"")</f>
        <v>816510.44814525347</v>
      </c>
      <c r="AK122" s="97">
        <f>IFERROR(VLOOKUP(AE122,'Cálculos_CGI - SAC FIXA'!A120:K512,11,0),"")</f>
        <v>153333.33333333279</v>
      </c>
      <c r="AN122" s="157">
        <f t="shared" si="20"/>
        <v>73368.842222222767</v>
      </c>
      <c r="AO122" s="147" t="s">
        <v>203</v>
      </c>
      <c r="AP122" s="147" t="s">
        <v>119</v>
      </c>
      <c r="AQ122" s="148">
        <v>46634</v>
      </c>
      <c r="AR122" s="149">
        <v>226604.4</v>
      </c>
      <c r="AS122" s="150">
        <v>457.78</v>
      </c>
      <c r="AT122" s="150">
        <v>0</v>
      </c>
      <c r="AU122" s="149">
        <v>2923.2</v>
      </c>
      <c r="AV122" s="150">
        <v>72.12</v>
      </c>
      <c r="AW122" s="149">
        <v>3453.1</v>
      </c>
      <c r="AX122" s="151"/>
    </row>
    <row r="123" spans="1:50" ht="15.5" x14ac:dyDescent="0.35">
      <c r="A123" s="98">
        <f t="shared" si="36"/>
        <v>80</v>
      </c>
      <c r="B123" s="99">
        <f t="shared" ca="1" si="28"/>
        <v>48492</v>
      </c>
      <c r="C123" s="100">
        <f t="shared" si="25"/>
        <v>156111.1111111106</v>
      </c>
      <c r="D123" s="100">
        <f t="shared" si="29"/>
        <v>1701.6111111111056</v>
      </c>
      <c r="E123" s="100">
        <f t="shared" si="30"/>
        <v>157812.7222222217</v>
      </c>
      <c r="F123" s="100">
        <f t="shared" si="31"/>
        <v>555.55555555555554</v>
      </c>
      <c r="G123" s="100">
        <f t="shared" si="32"/>
        <v>2224.9119669789316</v>
      </c>
      <c r="H123" s="100">
        <f t="shared" si="33"/>
        <v>35.905555555555438</v>
      </c>
      <c r="I123" s="100">
        <f t="shared" si="26"/>
        <v>20</v>
      </c>
      <c r="J123" s="100">
        <f t="shared" si="34"/>
        <v>2280.8175225344871</v>
      </c>
      <c r="K123" s="101">
        <f t="shared" si="35"/>
        <v>155555.55555555504</v>
      </c>
      <c r="O123" s="118">
        <f t="shared" si="37"/>
        <v>16.666666666666664</v>
      </c>
      <c r="P123" s="119">
        <f t="shared" ca="1" si="27"/>
        <v>30</v>
      </c>
      <c r="Q123" s="120">
        <v>365</v>
      </c>
      <c r="S123" s="123">
        <v>52</v>
      </c>
      <c r="T123" s="123">
        <v>1.2905E-3</v>
      </c>
      <c r="U123" s="123" t="s">
        <v>80</v>
      </c>
      <c r="AA123" s="96">
        <f t="shared" si="21"/>
        <v>85</v>
      </c>
      <c r="AB123" s="97">
        <f t="shared" si="22"/>
        <v>16311.30231779572</v>
      </c>
      <c r="AC123" s="97">
        <f t="shared" si="23"/>
        <v>2280.178633645598</v>
      </c>
      <c r="AE123" s="96">
        <f t="shared" si="24"/>
        <v>85</v>
      </c>
      <c r="AF123" s="97">
        <f>IFERROR(VLOOKUP(AE123,[1]Cálculos_PRICE!$A$32:$K$212,10,0),"")</f>
        <v>16311.30231779572</v>
      </c>
      <c r="AG123" s="97">
        <f>IFERROR(VLOOKUP(AE123,'Cálculos_CGI - SAC FIXA'!A121:K513,10,0),"")</f>
        <v>2280.178633645598</v>
      </c>
      <c r="AH123" s="97">
        <f>IFERROR(VLOOKUP(AE123,[1]Cálculos_PRICE!$A$32:$K$212,6,0),"")</f>
        <v>3856.5536719494157</v>
      </c>
      <c r="AI123" s="97">
        <f>IFERROR(VLOOKUP(AE123,'Cálculos_CGI - SAC FIXA'!A121:K513,6,0),"")</f>
        <v>555.55555555555554</v>
      </c>
      <c r="AJ123" s="97">
        <f>IFERROR(VLOOKUP(AE123,[1]Cálculos_PRICE!$A$32:$K$240,11,0),"")</f>
        <v>812653.89447330404</v>
      </c>
      <c r="AK123" s="97">
        <f>IFERROR(VLOOKUP(AE123,'Cálculos_CGI - SAC FIXA'!A121:K513,11,0),"")</f>
        <v>152777.77777777723</v>
      </c>
      <c r="AN123" s="157">
        <f t="shared" si="20"/>
        <v>73460.707777778327</v>
      </c>
      <c r="AO123" s="152" t="s">
        <v>204</v>
      </c>
      <c r="AP123" s="152" t="s">
        <v>119</v>
      </c>
      <c r="AQ123" s="153">
        <v>46664</v>
      </c>
      <c r="AR123" s="154">
        <v>226146.62</v>
      </c>
      <c r="AS123" s="155">
        <v>463.69</v>
      </c>
      <c r="AT123" s="155">
        <v>0</v>
      </c>
      <c r="AU123" s="154">
        <v>2917.29</v>
      </c>
      <c r="AV123" s="155">
        <v>72.010000000000005</v>
      </c>
      <c r="AW123" s="154">
        <v>3452.99</v>
      </c>
      <c r="AX123" s="156"/>
    </row>
    <row r="124" spans="1:50" ht="15.5" x14ac:dyDescent="0.35">
      <c r="A124" s="98">
        <f t="shared" si="36"/>
        <v>81</v>
      </c>
      <c r="B124" s="99">
        <f t="shared" ca="1" si="28"/>
        <v>48523</v>
      </c>
      <c r="C124" s="100">
        <f t="shared" si="25"/>
        <v>155555.55555555504</v>
      </c>
      <c r="D124" s="100">
        <f t="shared" si="29"/>
        <v>1695.55555555555</v>
      </c>
      <c r="E124" s="100">
        <f t="shared" si="30"/>
        <v>157251.1111111106</v>
      </c>
      <c r="F124" s="100">
        <f t="shared" si="31"/>
        <v>555.55555555555554</v>
      </c>
      <c r="G124" s="100">
        <f t="shared" si="32"/>
        <v>2224.9119669789316</v>
      </c>
      <c r="H124" s="100">
        <f t="shared" si="33"/>
        <v>35.777777777777658</v>
      </c>
      <c r="I124" s="100">
        <f t="shared" si="26"/>
        <v>20</v>
      </c>
      <c r="J124" s="100">
        <f t="shared" si="34"/>
        <v>2280.6897447567094</v>
      </c>
      <c r="K124" s="101">
        <f t="shared" si="35"/>
        <v>154999.99999999948</v>
      </c>
      <c r="O124" s="118">
        <f t="shared" si="37"/>
        <v>16.666666666666664</v>
      </c>
      <c r="P124" s="119">
        <f t="shared" ca="1" si="27"/>
        <v>31</v>
      </c>
      <c r="Q124" s="120">
        <v>365</v>
      </c>
      <c r="S124" s="123">
        <v>53</v>
      </c>
      <c r="T124" s="123">
        <v>1.2905E-3</v>
      </c>
      <c r="U124" s="123" t="s">
        <v>80</v>
      </c>
      <c r="AA124" s="96">
        <f t="shared" si="21"/>
        <v>86</v>
      </c>
      <c r="AB124" s="97">
        <f t="shared" si="22"/>
        <v>16310.444620259079</v>
      </c>
      <c r="AC124" s="97">
        <f t="shared" si="23"/>
        <v>2280.0508558678202</v>
      </c>
      <c r="AE124" s="96">
        <f t="shared" si="24"/>
        <v>86</v>
      </c>
      <c r="AF124" s="97">
        <f>IFERROR(VLOOKUP(AE124,[1]Cálculos_PRICE!$A$32:$K$212,10,0),"")</f>
        <v>16310.444620259079</v>
      </c>
      <c r="AG124" s="97">
        <f>IFERROR(VLOOKUP(AE124,'Cálculos_CGI - SAC FIXA'!A122:K514,10,0),"")</f>
        <v>2280.0508558678202</v>
      </c>
      <c r="AH124" s="97">
        <f>IFERROR(VLOOKUP(AE124,[1]Cálculos_PRICE!$A$32:$K$212,6,0),"")</f>
        <v>3914.4019770286559</v>
      </c>
      <c r="AI124" s="97">
        <f>IFERROR(VLOOKUP(AE124,'Cálculos_CGI - SAC FIXA'!A122:K514,6,0),"")</f>
        <v>555.55555555555554</v>
      </c>
      <c r="AJ124" s="97">
        <f>IFERROR(VLOOKUP(AE124,[1]Cálculos_PRICE!$A$32:$K$240,11,0),"")</f>
        <v>808739.49249627534</v>
      </c>
      <c r="AK124" s="97">
        <f>IFERROR(VLOOKUP(AE124,'Cálculos_CGI - SAC FIXA'!A122:K514,11,0),"")</f>
        <v>152222.22222222167</v>
      </c>
      <c r="AN124" s="157">
        <f t="shared" si="20"/>
        <v>73546.593333333905</v>
      </c>
      <c r="AO124" s="147" t="s">
        <v>205</v>
      </c>
      <c r="AP124" s="147" t="s">
        <v>119</v>
      </c>
      <c r="AQ124" s="148">
        <v>46695</v>
      </c>
      <c r="AR124" s="149">
        <v>225682.93</v>
      </c>
      <c r="AS124" s="150">
        <v>469.67</v>
      </c>
      <c r="AT124" s="150">
        <v>0</v>
      </c>
      <c r="AU124" s="149">
        <v>2911.31</v>
      </c>
      <c r="AV124" s="150">
        <v>71.91</v>
      </c>
      <c r="AW124" s="149">
        <v>3452.89</v>
      </c>
      <c r="AX124" s="151"/>
    </row>
    <row r="125" spans="1:50" ht="15.5" x14ac:dyDescent="0.35">
      <c r="A125" s="98">
        <f t="shared" si="36"/>
        <v>82</v>
      </c>
      <c r="B125" s="99">
        <f t="shared" ca="1" si="28"/>
        <v>48553</v>
      </c>
      <c r="C125" s="100">
        <f t="shared" si="25"/>
        <v>154999.99999999948</v>
      </c>
      <c r="D125" s="100">
        <f t="shared" si="29"/>
        <v>1689.4999999999943</v>
      </c>
      <c r="E125" s="100">
        <f t="shared" si="30"/>
        <v>156689.49999999948</v>
      </c>
      <c r="F125" s="100">
        <f t="shared" si="31"/>
        <v>555.55555555555554</v>
      </c>
      <c r="G125" s="100">
        <f t="shared" si="32"/>
        <v>2224.9119669789316</v>
      </c>
      <c r="H125" s="100">
        <f t="shared" si="33"/>
        <v>35.649999999999878</v>
      </c>
      <c r="I125" s="100">
        <f t="shared" si="26"/>
        <v>20</v>
      </c>
      <c r="J125" s="100">
        <f t="shared" si="34"/>
        <v>2280.5619669789317</v>
      </c>
      <c r="K125" s="101">
        <f t="shared" si="35"/>
        <v>154444.44444444391</v>
      </c>
      <c r="O125" s="118">
        <f t="shared" si="37"/>
        <v>16.666666666666664</v>
      </c>
      <c r="P125" s="119">
        <f t="shared" ca="1" si="27"/>
        <v>30</v>
      </c>
      <c r="Q125" s="120">
        <v>365</v>
      </c>
      <c r="S125" s="123">
        <v>54</v>
      </c>
      <c r="T125" s="123">
        <v>1.2905E-3</v>
      </c>
      <c r="U125" s="123" t="s">
        <v>80</v>
      </c>
      <c r="AA125" s="96">
        <f t="shared" si="21"/>
        <v>87</v>
      </c>
      <c r="AB125" s="97">
        <f t="shared" si="22"/>
        <v>16309.574057259388</v>
      </c>
      <c r="AC125" s="97">
        <f t="shared" si="23"/>
        <v>2279.9230780900425</v>
      </c>
      <c r="AE125" s="96">
        <f t="shared" si="24"/>
        <v>87</v>
      </c>
      <c r="AF125" s="97">
        <f>IFERROR(VLOOKUP(AE125,[1]Cálculos_PRICE!$A$32:$K$212,10,0),"")</f>
        <v>16309.574057259388</v>
      </c>
      <c r="AG125" s="97">
        <f>IFERROR(VLOOKUP(AE125,'Cálculos_CGI - SAC FIXA'!A123:K515,10,0),"")</f>
        <v>2279.9230780900425</v>
      </c>
      <c r="AH125" s="97">
        <f>IFERROR(VLOOKUP(AE125,[1]Cálculos_PRICE!$A$32:$K$212,6,0),"")</f>
        <v>3973.1180066840861</v>
      </c>
      <c r="AI125" s="97">
        <f>IFERROR(VLOOKUP(AE125,'Cálculos_CGI - SAC FIXA'!A123:K515,6,0),"")</f>
        <v>555.55555555555554</v>
      </c>
      <c r="AJ125" s="97">
        <f>IFERROR(VLOOKUP(AE125,[1]Cálculos_PRICE!$A$32:$K$240,11,0),"")</f>
        <v>804766.37448959122</v>
      </c>
      <c r="AK125" s="97">
        <f>IFERROR(VLOOKUP(AE125,'Cálculos_CGI - SAC FIXA'!A123:K515,11,0),"")</f>
        <v>151666.6666666661</v>
      </c>
      <c r="AN125" s="157">
        <f t="shared" si="20"/>
        <v>73626.418888889457</v>
      </c>
      <c r="AO125" s="152" t="s">
        <v>206</v>
      </c>
      <c r="AP125" s="152" t="s">
        <v>119</v>
      </c>
      <c r="AQ125" s="153">
        <v>46725</v>
      </c>
      <c r="AR125" s="154">
        <v>225213.26</v>
      </c>
      <c r="AS125" s="155">
        <v>475.73</v>
      </c>
      <c r="AT125" s="155">
        <v>0</v>
      </c>
      <c r="AU125" s="154">
        <v>2905.25</v>
      </c>
      <c r="AV125" s="155">
        <v>71.8</v>
      </c>
      <c r="AW125" s="154">
        <v>3452.78</v>
      </c>
      <c r="AX125" s="156"/>
    </row>
    <row r="126" spans="1:50" ht="15.5" x14ac:dyDescent="0.35">
      <c r="A126" s="98">
        <f t="shared" si="36"/>
        <v>83</v>
      </c>
      <c r="B126" s="99">
        <f t="shared" ca="1" si="28"/>
        <v>48584</v>
      </c>
      <c r="C126" s="100">
        <f t="shared" si="25"/>
        <v>154444.44444444391</v>
      </c>
      <c r="D126" s="100">
        <f t="shared" si="29"/>
        <v>1683.4444444444387</v>
      </c>
      <c r="E126" s="100">
        <f t="shared" si="30"/>
        <v>156127.88888888835</v>
      </c>
      <c r="F126" s="100">
        <f t="shared" si="31"/>
        <v>555.55555555555554</v>
      </c>
      <c r="G126" s="100">
        <f t="shared" si="32"/>
        <v>2224.9119669789316</v>
      </c>
      <c r="H126" s="100">
        <f t="shared" si="33"/>
        <v>35.522222222222098</v>
      </c>
      <c r="I126" s="100">
        <f t="shared" si="26"/>
        <v>20</v>
      </c>
      <c r="J126" s="100">
        <f t="shared" si="34"/>
        <v>2280.4341892011535</v>
      </c>
      <c r="K126" s="101">
        <f t="shared" si="35"/>
        <v>153888.88888888835</v>
      </c>
      <c r="O126" s="118">
        <f t="shared" si="37"/>
        <v>16.666666666666664</v>
      </c>
      <c r="P126" s="119">
        <f t="shared" ca="1" si="27"/>
        <v>31</v>
      </c>
      <c r="Q126" s="120">
        <v>365</v>
      </c>
      <c r="S126" s="123">
        <v>55</v>
      </c>
      <c r="T126" s="123">
        <v>1.2905E-3</v>
      </c>
      <c r="U126" s="123" t="s">
        <v>80</v>
      </c>
      <c r="AA126" s="96">
        <f t="shared" si="21"/>
        <v>88</v>
      </c>
      <c r="AB126" s="97">
        <f t="shared" si="22"/>
        <v>16308.690435814702</v>
      </c>
      <c r="AC126" s="97">
        <f t="shared" si="23"/>
        <v>2279.7953003122648</v>
      </c>
      <c r="AE126" s="96">
        <f t="shared" si="24"/>
        <v>88</v>
      </c>
      <c r="AF126" s="97">
        <f>IFERROR(VLOOKUP(AE126,[1]Cálculos_PRICE!$A$32:$K$212,10,0),"")</f>
        <v>16308.690435814702</v>
      </c>
      <c r="AG126" s="97">
        <f>IFERROR(VLOOKUP(AE126,'Cálculos_CGI - SAC FIXA'!A124:K516,10,0),"")</f>
        <v>2279.7953003122648</v>
      </c>
      <c r="AH126" s="97">
        <f>IFERROR(VLOOKUP(AE126,[1]Cálculos_PRICE!$A$32:$K$212,6,0),"")</f>
        <v>4032.7147767843489</v>
      </c>
      <c r="AI126" s="97">
        <f>IFERROR(VLOOKUP(AE126,'Cálculos_CGI - SAC FIXA'!A124:K516,6,0),"")</f>
        <v>555.55555555555554</v>
      </c>
      <c r="AJ126" s="97">
        <f>IFERROR(VLOOKUP(AE126,[1]Cálculos_PRICE!$A$32:$K$240,11,0),"")</f>
        <v>800733.65971280693</v>
      </c>
      <c r="AK126" s="97">
        <f>IFERROR(VLOOKUP(AE126,'Cálculos_CGI - SAC FIXA'!A124:K516,11,0),"")</f>
        <v>151111.11111111054</v>
      </c>
      <c r="AN126" s="157">
        <f t="shared" si="20"/>
        <v>73700.104444445024</v>
      </c>
      <c r="AO126" s="147" t="s">
        <v>207</v>
      </c>
      <c r="AP126" s="147" t="s">
        <v>119</v>
      </c>
      <c r="AQ126" s="148">
        <v>46756</v>
      </c>
      <c r="AR126" s="149">
        <v>224737.53</v>
      </c>
      <c r="AS126" s="150">
        <v>481.87</v>
      </c>
      <c r="AT126" s="150">
        <v>0</v>
      </c>
      <c r="AU126" s="149">
        <v>2899.11</v>
      </c>
      <c r="AV126" s="150">
        <v>71.69</v>
      </c>
      <c r="AW126" s="149">
        <v>3452.67</v>
      </c>
      <c r="AX126" s="151"/>
    </row>
    <row r="127" spans="1:50" ht="15.5" x14ac:dyDescent="0.35">
      <c r="A127" s="98">
        <f t="shared" si="36"/>
        <v>84</v>
      </c>
      <c r="B127" s="99">
        <f t="shared" ca="1" si="28"/>
        <v>48615</v>
      </c>
      <c r="C127" s="100">
        <f t="shared" si="25"/>
        <v>153888.88888888835</v>
      </c>
      <c r="D127" s="100">
        <f t="shared" si="29"/>
        <v>1677.388888888883</v>
      </c>
      <c r="E127" s="100">
        <f t="shared" si="30"/>
        <v>155566.27777777723</v>
      </c>
      <c r="F127" s="100">
        <f t="shared" si="31"/>
        <v>555.55555555555554</v>
      </c>
      <c r="G127" s="100">
        <f t="shared" si="32"/>
        <v>2224.9119669789316</v>
      </c>
      <c r="H127" s="100">
        <f t="shared" si="33"/>
        <v>35.394444444444325</v>
      </c>
      <c r="I127" s="100">
        <f t="shared" si="26"/>
        <v>20</v>
      </c>
      <c r="J127" s="100">
        <f t="shared" si="34"/>
        <v>2280.3064114233757</v>
      </c>
      <c r="K127" s="101">
        <f t="shared" si="35"/>
        <v>153333.33333333279</v>
      </c>
      <c r="O127" s="118">
        <f t="shared" si="37"/>
        <v>16.666666666666664</v>
      </c>
      <c r="P127" s="119">
        <f t="shared" ca="1" si="27"/>
        <v>31</v>
      </c>
      <c r="Q127" s="120">
        <v>365</v>
      </c>
      <c r="S127" s="123">
        <v>56</v>
      </c>
      <c r="T127" s="123">
        <v>1.2905E-3</v>
      </c>
      <c r="U127" s="123" t="s">
        <v>80</v>
      </c>
      <c r="AA127" s="96">
        <f t="shared" si="21"/>
        <v>89</v>
      </c>
      <c r="AB127" s="97">
        <f t="shared" si="22"/>
        <v>16307.793560048345</v>
      </c>
      <c r="AC127" s="97">
        <f t="shared" si="23"/>
        <v>2279.667522534487</v>
      </c>
      <c r="AE127" s="96">
        <f t="shared" si="24"/>
        <v>89</v>
      </c>
      <c r="AF127" s="97">
        <f>IFERROR(VLOOKUP(AE127,[1]Cálculos_PRICE!$A$32:$K$212,10,0),"")</f>
        <v>16307.793560048345</v>
      </c>
      <c r="AG127" s="97">
        <f>IFERROR(VLOOKUP(AE127,'Cálculos_CGI - SAC FIXA'!A125:K517,10,0),"")</f>
        <v>2279.667522534487</v>
      </c>
      <c r="AH127" s="97">
        <f>IFERROR(VLOOKUP(AE127,[1]Cálculos_PRICE!$A$32:$K$212,6,0),"")</f>
        <v>4093.205498436113</v>
      </c>
      <c r="AI127" s="97">
        <f>IFERROR(VLOOKUP(AE127,'Cálculos_CGI - SAC FIXA'!A125:K517,6,0),"")</f>
        <v>555.55555555555554</v>
      </c>
      <c r="AJ127" s="97">
        <f>IFERROR(VLOOKUP(AE127,[1]Cálculos_PRICE!$A$32:$K$240,11,0),"")</f>
        <v>796640.45421437081</v>
      </c>
      <c r="AK127" s="97">
        <f>IFERROR(VLOOKUP(AE127,'Cálculos_CGI - SAC FIXA'!A125:K517,11,0),"")</f>
        <v>150555.55555555498</v>
      </c>
      <c r="AN127" s="157">
        <f t="shared" si="20"/>
        <v>73767.580000000569</v>
      </c>
      <c r="AO127" s="152" t="s">
        <v>208</v>
      </c>
      <c r="AP127" s="152" t="s">
        <v>119</v>
      </c>
      <c r="AQ127" s="153">
        <v>46787</v>
      </c>
      <c r="AR127" s="154">
        <v>224255.66</v>
      </c>
      <c r="AS127" s="155">
        <v>488.08</v>
      </c>
      <c r="AT127" s="155">
        <v>0</v>
      </c>
      <c r="AU127" s="154">
        <v>2892.9</v>
      </c>
      <c r="AV127" s="155">
        <v>71.58</v>
      </c>
      <c r="AW127" s="154">
        <v>3452.56</v>
      </c>
      <c r="AX127" s="156"/>
    </row>
    <row r="128" spans="1:50" ht="15.5" x14ac:dyDescent="0.35">
      <c r="A128" s="98">
        <f t="shared" si="36"/>
        <v>85</v>
      </c>
      <c r="B128" s="99">
        <f t="shared" ca="1" si="28"/>
        <v>48643</v>
      </c>
      <c r="C128" s="100">
        <f t="shared" si="25"/>
        <v>153333.33333333279</v>
      </c>
      <c r="D128" s="100">
        <f t="shared" si="29"/>
        <v>1671.3333333333273</v>
      </c>
      <c r="E128" s="100">
        <f t="shared" si="30"/>
        <v>155004.6666666661</v>
      </c>
      <c r="F128" s="100">
        <f t="shared" si="31"/>
        <v>555.55555555555554</v>
      </c>
      <c r="G128" s="100">
        <f t="shared" si="32"/>
        <v>2224.9119669789316</v>
      </c>
      <c r="H128" s="100">
        <f t="shared" si="33"/>
        <v>35.266666666666545</v>
      </c>
      <c r="I128" s="100">
        <f t="shared" si="26"/>
        <v>20</v>
      </c>
      <c r="J128" s="100">
        <f t="shared" si="34"/>
        <v>2280.178633645598</v>
      </c>
      <c r="K128" s="101">
        <f t="shared" si="35"/>
        <v>152777.77777777723</v>
      </c>
      <c r="O128" s="118">
        <f t="shared" si="37"/>
        <v>16.666666666666664</v>
      </c>
      <c r="P128" s="119">
        <f t="shared" ca="1" si="27"/>
        <v>28</v>
      </c>
      <c r="Q128" s="120">
        <v>365</v>
      </c>
      <c r="S128" s="123">
        <v>57</v>
      </c>
      <c r="T128" s="123">
        <v>1.2905E-3</v>
      </c>
      <c r="U128" s="123" t="s">
        <v>80</v>
      </c>
      <c r="AA128" s="96">
        <f t="shared" si="21"/>
        <v>90</v>
      </c>
      <c r="AB128" s="97">
        <f t="shared" si="22"/>
        <v>16306.883231145493</v>
      </c>
      <c r="AC128" s="97">
        <f t="shared" si="23"/>
        <v>2279.5397447567093</v>
      </c>
      <c r="AE128" s="96">
        <f t="shared" si="24"/>
        <v>90</v>
      </c>
      <c r="AF128" s="97">
        <f>IFERROR(VLOOKUP(AE128,[1]Cálculos_PRICE!$A$32:$K$212,10,0),"")</f>
        <v>16306.883231145493</v>
      </c>
      <c r="AG128" s="97">
        <f>IFERROR(VLOOKUP(AE128,'Cálculos_CGI - SAC FIXA'!A126:K518,10,0),"")</f>
        <v>2279.5397447567093</v>
      </c>
      <c r="AH128" s="97">
        <f>IFERROR(VLOOKUP(AE128,[1]Cálculos_PRICE!$A$32:$K$212,6,0),"")</f>
        <v>4154.6035809126552</v>
      </c>
      <c r="AI128" s="97">
        <f>IFERROR(VLOOKUP(AE128,'Cálculos_CGI - SAC FIXA'!A126:K518,6,0),"")</f>
        <v>555.55555555555554</v>
      </c>
      <c r="AJ128" s="97">
        <f>IFERROR(VLOOKUP(AE128,[1]Cálculos_PRICE!$A$32:$K$240,11,0),"")</f>
        <v>792485.85063345812</v>
      </c>
      <c r="AK128" s="97">
        <f>IFERROR(VLOOKUP(AE128,'Cálculos_CGI - SAC FIXA'!A126:K518,11,0),"")</f>
        <v>149999.99999999942</v>
      </c>
      <c r="AN128" s="157">
        <f t="shared" si="20"/>
        <v>73828.755555556156</v>
      </c>
      <c r="AO128" s="147" t="s">
        <v>209</v>
      </c>
      <c r="AP128" s="147" t="s">
        <v>119</v>
      </c>
      <c r="AQ128" s="148">
        <v>46816</v>
      </c>
      <c r="AR128" s="149">
        <v>223767.58</v>
      </c>
      <c r="AS128" s="150">
        <v>494.38</v>
      </c>
      <c r="AT128" s="150">
        <v>0</v>
      </c>
      <c r="AU128" s="149">
        <v>2886.6</v>
      </c>
      <c r="AV128" s="150">
        <v>71.47</v>
      </c>
      <c r="AW128" s="149">
        <v>3452.45</v>
      </c>
      <c r="AX128" s="151"/>
    </row>
    <row r="129" spans="1:50" ht="15.5" x14ac:dyDescent="0.35">
      <c r="A129" s="98">
        <f t="shared" si="36"/>
        <v>86</v>
      </c>
      <c r="B129" s="99">
        <f t="shared" ca="1" si="28"/>
        <v>48674</v>
      </c>
      <c r="C129" s="100">
        <f t="shared" si="25"/>
        <v>152777.77777777723</v>
      </c>
      <c r="D129" s="100">
        <f t="shared" si="29"/>
        <v>1665.2777777777717</v>
      </c>
      <c r="E129" s="100">
        <f t="shared" si="30"/>
        <v>154443.05555555501</v>
      </c>
      <c r="F129" s="100">
        <f t="shared" si="31"/>
        <v>555.55555555555554</v>
      </c>
      <c r="G129" s="100">
        <f t="shared" si="32"/>
        <v>2224.9119669789316</v>
      </c>
      <c r="H129" s="100">
        <f t="shared" si="33"/>
        <v>35.138888888888765</v>
      </c>
      <c r="I129" s="100">
        <f t="shared" si="26"/>
        <v>20</v>
      </c>
      <c r="J129" s="100">
        <f t="shared" si="34"/>
        <v>2280.0508558678202</v>
      </c>
      <c r="K129" s="101">
        <f t="shared" si="35"/>
        <v>152222.22222222167</v>
      </c>
      <c r="O129" s="118">
        <f t="shared" si="37"/>
        <v>16.666666666666664</v>
      </c>
      <c r="P129" s="119">
        <f t="shared" ca="1" si="27"/>
        <v>31</v>
      </c>
      <c r="Q129" s="120">
        <v>365</v>
      </c>
      <c r="S129" s="123">
        <v>58</v>
      </c>
      <c r="T129" s="123">
        <v>1.2905E-3</v>
      </c>
      <c r="U129" s="123" t="s">
        <v>80</v>
      </c>
      <c r="AA129" s="96">
        <f t="shared" si="21"/>
        <v>91</v>
      </c>
      <c r="AB129" s="97">
        <f t="shared" si="22"/>
        <v>16305.959247309098</v>
      </c>
      <c r="AC129" s="97">
        <f t="shared" si="23"/>
        <v>2279.4119669789316</v>
      </c>
      <c r="AE129" s="96">
        <f t="shared" si="24"/>
        <v>91</v>
      </c>
      <c r="AF129" s="97">
        <f>IFERROR(VLOOKUP(AE129,[1]Cálculos_PRICE!$A$32:$K$212,10,0),"")</f>
        <v>16305.959247309098</v>
      </c>
      <c r="AG129" s="97">
        <f>IFERROR(VLOOKUP(AE129,'Cálculos_CGI - SAC FIXA'!A127:K519,10,0),"")</f>
        <v>2279.4119669789316</v>
      </c>
      <c r="AH129" s="97">
        <f>IFERROR(VLOOKUP(AE129,[1]Cálculos_PRICE!$A$32:$K$212,6,0),"")</f>
        <v>4216.9226346263458</v>
      </c>
      <c r="AI129" s="97">
        <f>IFERROR(VLOOKUP(AE129,'Cálculos_CGI - SAC FIXA'!A127:K519,6,0),"")</f>
        <v>555.55555555555554</v>
      </c>
      <c r="AJ129" s="97">
        <f>IFERROR(VLOOKUP(AE129,[1]Cálculos_PRICE!$A$32:$K$240,11,0),"")</f>
        <v>788268.92799883173</v>
      </c>
      <c r="AK129" s="97">
        <f>IFERROR(VLOOKUP(AE129,'Cálculos_CGI - SAC FIXA'!A127:K519,11,0),"")</f>
        <v>149444.44444444386</v>
      </c>
      <c r="AN129" s="157">
        <f t="shared" si="20"/>
        <v>73883.551111111708</v>
      </c>
      <c r="AO129" s="152" t="s">
        <v>210</v>
      </c>
      <c r="AP129" s="152" t="s">
        <v>119</v>
      </c>
      <c r="AQ129" s="153">
        <v>46847</v>
      </c>
      <c r="AR129" s="154">
        <v>223273.2</v>
      </c>
      <c r="AS129" s="155">
        <v>500.76</v>
      </c>
      <c r="AT129" s="155">
        <v>0</v>
      </c>
      <c r="AU129" s="154">
        <v>2880.22</v>
      </c>
      <c r="AV129" s="155">
        <v>71.349999999999994</v>
      </c>
      <c r="AW129" s="154">
        <v>3452.33</v>
      </c>
      <c r="AX129" s="156"/>
    </row>
    <row r="130" spans="1:50" ht="15.5" x14ac:dyDescent="0.35">
      <c r="A130" s="98">
        <f t="shared" si="36"/>
        <v>87</v>
      </c>
      <c r="B130" s="99">
        <f t="shared" ca="1" si="28"/>
        <v>48704</v>
      </c>
      <c r="C130" s="100">
        <f t="shared" si="25"/>
        <v>152222.22222222167</v>
      </c>
      <c r="D130" s="100">
        <f t="shared" si="29"/>
        <v>1659.2222222222163</v>
      </c>
      <c r="E130" s="100">
        <f t="shared" si="30"/>
        <v>153881.44444444389</v>
      </c>
      <c r="F130" s="100">
        <f t="shared" si="31"/>
        <v>555.55555555555554</v>
      </c>
      <c r="G130" s="100">
        <f t="shared" si="32"/>
        <v>2224.9119669789316</v>
      </c>
      <c r="H130" s="100">
        <f t="shared" si="33"/>
        <v>35.011111111110985</v>
      </c>
      <c r="I130" s="100">
        <f t="shared" si="26"/>
        <v>20</v>
      </c>
      <c r="J130" s="100">
        <f t="shared" si="34"/>
        <v>2279.9230780900425</v>
      </c>
      <c r="K130" s="101">
        <f t="shared" si="35"/>
        <v>151666.6666666661</v>
      </c>
      <c r="O130" s="118">
        <f t="shared" si="37"/>
        <v>16.666666666666664</v>
      </c>
      <c r="P130" s="119">
        <f t="shared" ca="1" si="27"/>
        <v>30</v>
      </c>
      <c r="Q130" s="120">
        <v>365</v>
      </c>
      <c r="S130" s="123">
        <v>59</v>
      </c>
      <c r="T130" s="123">
        <v>1.2905E-3</v>
      </c>
      <c r="U130" s="123" t="s">
        <v>80</v>
      </c>
      <c r="AA130" s="96">
        <f t="shared" si="21"/>
        <v>92</v>
      </c>
      <c r="AB130" s="97">
        <f t="shared" si="22"/>
        <v>16305.021403715156</v>
      </c>
      <c r="AC130" s="97">
        <f t="shared" si="23"/>
        <v>2279.2841892011538</v>
      </c>
      <c r="AE130" s="96">
        <f t="shared" si="24"/>
        <v>92</v>
      </c>
      <c r="AF130" s="97">
        <f>IFERROR(VLOOKUP(AE130,[1]Cálculos_PRICE!$A$32:$K$212,10,0),"")</f>
        <v>16305.021403715156</v>
      </c>
      <c r="AG130" s="97">
        <f>IFERROR(VLOOKUP(AE130,'Cálculos_CGI - SAC FIXA'!A128:K520,10,0),"")</f>
        <v>2279.2841892011538</v>
      </c>
      <c r="AH130" s="97">
        <f>IFERROR(VLOOKUP(AE130,[1]Cálculos_PRICE!$A$32:$K$212,6,0),"")</f>
        <v>4280.1764741457409</v>
      </c>
      <c r="AI130" s="97">
        <f>IFERROR(VLOOKUP(AE130,'Cálculos_CGI - SAC FIXA'!A128:K520,6,0),"")</f>
        <v>555.55555555555554</v>
      </c>
      <c r="AJ130" s="97">
        <f>IFERROR(VLOOKUP(AE130,[1]Cálculos_PRICE!$A$32:$K$240,11,0),"")</f>
        <v>783988.751524686</v>
      </c>
      <c r="AK130" s="97">
        <f>IFERROR(VLOOKUP(AE130,'Cálculos_CGI - SAC FIXA'!A128:K520,11,0),"")</f>
        <v>148888.88888888829</v>
      </c>
      <c r="AN130" s="157">
        <f t="shared" si="20"/>
        <v>73931.886666667269</v>
      </c>
      <c r="AO130" s="147" t="s">
        <v>211</v>
      </c>
      <c r="AP130" s="147" t="s">
        <v>119</v>
      </c>
      <c r="AQ130" s="148">
        <v>46877</v>
      </c>
      <c r="AR130" s="149">
        <v>222772.44</v>
      </c>
      <c r="AS130" s="150">
        <v>507.22</v>
      </c>
      <c r="AT130" s="150">
        <v>0</v>
      </c>
      <c r="AU130" s="149">
        <v>2873.76</v>
      </c>
      <c r="AV130" s="150">
        <v>71.239999999999995</v>
      </c>
      <c r="AW130" s="149">
        <v>3452.22</v>
      </c>
      <c r="AX130" s="151"/>
    </row>
    <row r="131" spans="1:50" ht="15.5" x14ac:dyDescent="0.35">
      <c r="A131" s="98">
        <f t="shared" si="36"/>
        <v>88</v>
      </c>
      <c r="B131" s="99">
        <f t="shared" ca="1" si="28"/>
        <v>48735</v>
      </c>
      <c r="C131" s="100">
        <f t="shared" si="25"/>
        <v>151666.6666666661</v>
      </c>
      <c r="D131" s="100">
        <f t="shared" si="29"/>
        <v>1653.1666666666606</v>
      </c>
      <c r="E131" s="100">
        <f t="shared" si="30"/>
        <v>153319.83333333276</v>
      </c>
      <c r="F131" s="100">
        <f t="shared" si="31"/>
        <v>555.55555555555554</v>
      </c>
      <c r="G131" s="100">
        <f t="shared" si="32"/>
        <v>2224.9119669789316</v>
      </c>
      <c r="H131" s="100">
        <f t="shared" si="33"/>
        <v>34.883333333333205</v>
      </c>
      <c r="I131" s="100">
        <f t="shared" si="26"/>
        <v>20</v>
      </c>
      <c r="J131" s="100">
        <f t="shared" si="34"/>
        <v>2279.7953003122648</v>
      </c>
      <c r="K131" s="101">
        <f t="shared" si="35"/>
        <v>151111.11111111054</v>
      </c>
      <c r="O131" s="118">
        <f t="shared" si="37"/>
        <v>16.666666666666664</v>
      </c>
      <c r="P131" s="119">
        <f t="shared" ca="1" si="27"/>
        <v>31</v>
      </c>
      <c r="Q131" s="120">
        <v>365</v>
      </c>
      <c r="S131" s="123">
        <v>60</v>
      </c>
      <c r="T131" s="123">
        <v>1.2905E-3</v>
      </c>
      <c r="U131" s="123" t="s">
        <v>80</v>
      </c>
      <c r="AA131" s="96">
        <f t="shared" si="21"/>
        <v>93</v>
      </c>
      <c r="AB131" s="97">
        <f t="shared" si="22"/>
        <v>16304.069492467306</v>
      </c>
      <c r="AC131" s="97">
        <f t="shared" si="23"/>
        <v>2279.1564114233761</v>
      </c>
      <c r="AE131" s="96">
        <f t="shared" si="24"/>
        <v>93</v>
      </c>
      <c r="AF131" s="97">
        <f>IFERROR(VLOOKUP(AE131,[1]Cálculos_PRICE!$A$32:$K$212,10,0),"")</f>
        <v>16304.069492467306</v>
      </c>
      <c r="AG131" s="97">
        <f>IFERROR(VLOOKUP(AE131,'Cálculos_CGI - SAC FIXA'!A129:K521,10,0),"")</f>
        <v>2279.1564114233761</v>
      </c>
      <c r="AH131" s="97">
        <f>IFERROR(VLOOKUP(AE131,[1]Cálculos_PRICE!$A$32:$K$212,6,0),"")</f>
        <v>4344.3791212579272</v>
      </c>
      <c r="AI131" s="97">
        <f>IFERROR(VLOOKUP(AE131,'Cálculos_CGI - SAC FIXA'!A129:K521,6,0),"")</f>
        <v>555.55555555555554</v>
      </c>
      <c r="AJ131" s="97">
        <f>IFERROR(VLOOKUP(AE131,[1]Cálculos_PRICE!$A$32:$K$240,11,0),"")</f>
        <v>779644.37240342807</v>
      </c>
      <c r="AK131" s="97">
        <f>IFERROR(VLOOKUP(AE131,'Cálculos_CGI - SAC FIXA'!A129:K521,11,0),"")</f>
        <v>148333.33333333273</v>
      </c>
      <c r="AN131" s="157">
        <f t="shared" si="20"/>
        <v>73973.682222222822</v>
      </c>
      <c r="AO131" s="152" t="s">
        <v>212</v>
      </c>
      <c r="AP131" s="152" t="s">
        <v>119</v>
      </c>
      <c r="AQ131" s="153">
        <v>46908</v>
      </c>
      <c r="AR131" s="154">
        <v>222265.22</v>
      </c>
      <c r="AS131" s="155">
        <v>513.76</v>
      </c>
      <c r="AT131" s="155">
        <v>0</v>
      </c>
      <c r="AU131" s="154">
        <v>2867.22</v>
      </c>
      <c r="AV131" s="155">
        <v>71.12</v>
      </c>
      <c r="AW131" s="154">
        <v>3452.1</v>
      </c>
      <c r="AX131" s="156"/>
    </row>
    <row r="132" spans="1:50" ht="15.5" x14ac:dyDescent="0.35">
      <c r="A132" s="98">
        <f t="shared" si="36"/>
        <v>89</v>
      </c>
      <c r="B132" s="99">
        <f t="shared" ca="1" si="28"/>
        <v>48765</v>
      </c>
      <c r="C132" s="100">
        <f t="shared" si="25"/>
        <v>151111.11111111054</v>
      </c>
      <c r="D132" s="100">
        <f t="shared" si="29"/>
        <v>1647.1111111111049</v>
      </c>
      <c r="E132" s="100">
        <f t="shared" si="30"/>
        <v>152758.22222222164</v>
      </c>
      <c r="F132" s="100">
        <f t="shared" si="31"/>
        <v>555.55555555555554</v>
      </c>
      <c r="G132" s="100">
        <f t="shared" si="32"/>
        <v>2224.9119669789316</v>
      </c>
      <c r="H132" s="100">
        <f t="shared" si="33"/>
        <v>34.755555555555425</v>
      </c>
      <c r="I132" s="100">
        <f t="shared" si="26"/>
        <v>20</v>
      </c>
      <c r="J132" s="100">
        <f t="shared" si="34"/>
        <v>2279.667522534487</v>
      </c>
      <c r="K132" s="101">
        <f t="shared" si="35"/>
        <v>150555.55555555498</v>
      </c>
      <c r="O132" s="118">
        <f t="shared" si="37"/>
        <v>16.666666666666664</v>
      </c>
      <c r="P132" s="119">
        <f t="shared" ca="1" si="27"/>
        <v>30</v>
      </c>
      <c r="Q132" s="120">
        <v>365</v>
      </c>
      <c r="S132" s="123">
        <v>61</v>
      </c>
      <c r="T132" s="123">
        <v>3.8379999999999998E-3</v>
      </c>
      <c r="U132" s="123" t="s">
        <v>81</v>
      </c>
      <c r="AA132" s="96">
        <f t="shared" si="21"/>
        <v>94</v>
      </c>
      <c r="AB132" s="97">
        <f t="shared" si="22"/>
        <v>16303.103302550739</v>
      </c>
      <c r="AC132" s="97">
        <f t="shared" si="23"/>
        <v>2279.0286336455979</v>
      </c>
      <c r="AE132" s="96">
        <f t="shared" si="24"/>
        <v>94</v>
      </c>
      <c r="AF132" s="97">
        <f>IFERROR(VLOOKUP(AE132,[1]Cálculos_PRICE!$A$32:$K$212,10,0),"")</f>
        <v>16303.103302550739</v>
      </c>
      <c r="AG132" s="97">
        <f>IFERROR(VLOOKUP(AE132,'Cálculos_CGI - SAC FIXA'!A130:K522,10,0),"")</f>
        <v>2279.0286336455979</v>
      </c>
      <c r="AH132" s="97">
        <f>IFERROR(VLOOKUP(AE132,[1]Cálculos_PRICE!$A$32:$K$212,6,0),"")</f>
        <v>4409.5448080767965</v>
      </c>
      <c r="AI132" s="97">
        <f>IFERROR(VLOOKUP(AE132,'Cálculos_CGI - SAC FIXA'!A130:K522,6,0),"")</f>
        <v>555.55555555555554</v>
      </c>
      <c r="AJ132" s="97">
        <f>IFERROR(VLOOKUP(AE132,[1]Cálculos_PRICE!$A$32:$K$240,11,0),"")</f>
        <v>775234.82759535126</v>
      </c>
      <c r="AK132" s="97">
        <f>IFERROR(VLOOKUP(AE132,'Cálculos_CGI - SAC FIXA'!A130:K522,11,0),"")</f>
        <v>147777.77777777717</v>
      </c>
      <c r="AN132" s="157">
        <f t="shared" si="20"/>
        <v>74008.847777778399</v>
      </c>
      <c r="AO132" s="147" t="s">
        <v>213</v>
      </c>
      <c r="AP132" s="147" t="s">
        <v>119</v>
      </c>
      <c r="AQ132" s="148">
        <v>46938</v>
      </c>
      <c r="AR132" s="149">
        <v>221751.46</v>
      </c>
      <c r="AS132" s="150">
        <v>520.39</v>
      </c>
      <c r="AT132" s="150">
        <v>0</v>
      </c>
      <c r="AU132" s="149">
        <v>2860.59</v>
      </c>
      <c r="AV132" s="150">
        <v>71</v>
      </c>
      <c r="AW132" s="149">
        <v>3451.98</v>
      </c>
      <c r="AX132" s="151"/>
    </row>
    <row r="133" spans="1:50" ht="15.5" x14ac:dyDescent="0.35">
      <c r="A133" s="98">
        <f t="shared" si="36"/>
        <v>90</v>
      </c>
      <c r="B133" s="99">
        <f t="shared" ca="1" si="28"/>
        <v>48796</v>
      </c>
      <c r="C133" s="100">
        <f t="shared" si="25"/>
        <v>150555.55555555498</v>
      </c>
      <c r="D133" s="100">
        <f t="shared" si="29"/>
        <v>1641.0555555555493</v>
      </c>
      <c r="E133" s="100">
        <f t="shared" si="30"/>
        <v>152196.61111111054</v>
      </c>
      <c r="F133" s="100">
        <f t="shared" si="31"/>
        <v>555.55555555555554</v>
      </c>
      <c r="G133" s="100">
        <f t="shared" si="32"/>
        <v>2224.9119669789316</v>
      </c>
      <c r="H133" s="100">
        <f t="shared" si="33"/>
        <v>34.627777777777645</v>
      </c>
      <c r="I133" s="100">
        <f t="shared" si="26"/>
        <v>20</v>
      </c>
      <c r="J133" s="100">
        <f t="shared" si="34"/>
        <v>2279.5397447567093</v>
      </c>
      <c r="K133" s="101">
        <f t="shared" si="35"/>
        <v>149999.99999999942</v>
      </c>
      <c r="O133" s="118">
        <f t="shared" si="37"/>
        <v>16.666666666666664</v>
      </c>
      <c r="P133" s="119">
        <f t="shared" ca="1" si="27"/>
        <v>31</v>
      </c>
      <c r="Q133" s="120">
        <v>365</v>
      </c>
      <c r="S133" s="123">
        <v>62</v>
      </c>
      <c r="T133" s="123">
        <v>3.8379999999999998E-3</v>
      </c>
      <c r="U133" s="123" t="s">
        <v>81</v>
      </c>
      <c r="AA133" s="96">
        <f t="shared" si="21"/>
        <v>95</v>
      </c>
      <c r="AB133" s="97">
        <f t="shared" si="22"/>
        <v>16302.122619785423</v>
      </c>
      <c r="AC133" s="97">
        <f t="shared" si="23"/>
        <v>2278.9008558678202</v>
      </c>
      <c r="AE133" s="96">
        <f t="shared" si="24"/>
        <v>95</v>
      </c>
      <c r="AF133" s="97">
        <f>IFERROR(VLOOKUP(AE133,[1]Cálculos_PRICE!$A$32:$K$212,10,0),"")</f>
        <v>16302.122619785423</v>
      </c>
      <c r="AG133" s="97">
        <f>IFERROR(VLOOKUP(AE133,'Cálculos_CGI - SAC FIXA'!A131:K523,10,0),"")</f>
        <v>2278.9008558678202</v>
      </c>
      <c r="AH133" s="97">
        <f>IFERROR(VLOOKUP(AE133,[1]Cálculos_PRICE!$A$32:$K$212,6,0),"")</f>
        <v>4475.6879801979485</v>
      </c>
      <c r="AI133" s="97">
        <f>IFERROR(VLOOKUP(AE133,'Cálculos_CGI - SAC FIXA'!A131:K523,6,0),"")</f>
        <v>555.55555555555554</v>
      </c>
      <c r="AJ133" s="97">
        <f>IFERROR(VLOOKUP(AE133,[1]Cálculos_PRICE!$A$32:$K$240,11,0),"")</f>
        <v>770759.13961515331</v>
      </c>
      <c r="AK133" s="97">
        <f>IFERROR(VLOOKUP(AE133,'Cálculos_CGI - SAC FIXA'!A131:K523,11,0),"")</f>
        <v>147222.22222222161</v>
      </c>
      <c r="AN133" s="157">
        <f t="shared" si="20"/>
        <v>74037.303333333955</v>
      </c>
      <c r="AO133" s="152" t="s">
        <v>214</v>
      </c>
      <c r="AP133" s="152" t="s">
        <v>119</v>
      </c>
      <c r="AQ133" s="153">
        <v>46969</v>
      </c>
      <c r="AR133" s="154">
        <v>221231.07</v>
      </c>
      <c r="AS133" s="155">
        <v>527.1</v>
      </c>
      <c r="AT133" s="155">
        <v>0</v>
      </c>
      <c r="AU133" s="154">
        <v>2853.88</v>
      </c>
      <c r="AV133" s="155">
        <v>70.88</v>
      </c>
      <c r="AW133" s="154">
        <v>3451.86</v>
      </c>
      <c r="AX133" s="156"/>
    </row>
    <row r="134" spans="1:50" ht="15.5" x14ac:dyDescent="0.35">
      <c r="A134" s="98">
        <f t="shared" si="36"/>
        <v>91</v>
      </c>
      <c r="B134" s="99">
        <f t="shared" ca="1" si="28"/>
        <v>48827</v>
      </c>
      <c r="C134" s="100">
        <f t="shared" si="25"/>
        <v>149999.99999999942</v>
      </c>
      <c r="D134" s="100">
        <f t="shared" si="29"/>
        <v>1634.9999999999936</v>
      </c>
      <c r="E134" s="100">
        <f t="shared" si="30"/>
        <v>151634.99999999942</v>
      </c>
      <c r="F134" s="100">
        <f t="shared" si="31"/>
        <v>555.55555555555554</v>
      </c>
      <c r="G134" s="100">
        <f t="shared" si="32"/>
        <v>2224.9119669789316</v>
      </c>
      <c r="H134" s="100">
        <f t="shared" si="33"/>
        <v>34.499999999999865</v>
      </c>
      <c r="I134" s="100">
        <f t="shared" si="26"/>
        <v>20</v>
      </c>
      <c r="J134" s="100">
        <f t="shared" si="34"/>
        <v>2279.4119669789316</v>
      </c>
      <c r="K134" s="101">
        <f t="shared" si="35"/>
        <v>149444.44444444386</v>
      </c>
      <c r="O134" s="118">
        <f t="shared" si="37"/>
        <v>16.666666666666664</v>
      </c>
      <c r="P134" s="119">
        <f t="shared" ca="1" si="27"/>
        <v>31</v>
      </c>
      <c r="Q134" s="120">
        <v>365</v>
      </c>
      <c r="S134" s="123">
        <v>63</v>
      </c>
      <c r="T134" s="123">
        <v>3.8379999999999998E-3</v>
      </c>
      <c r="U134" s="123" t="s">
        <v>81</v>
      </c>
      <c r="AA134" s="96">
        <f t="shared" si="21"/>
        <v>96</v>
      </c>
      <c r="AB134" s="97">
        <f t="shared" si="22"/>
        <v>16301.127226778626</v>
      </c>
      <c r="AC134" s="97">
        <f t="shared" si="23"/>
        <v>2278.7730780900424</v>
      </c>
      <c r="AE134" s="96">
        <f t="shared" si="24"/>
        <v>96</v>
      </c>
      <c r="AF134" s="97">
        <f>IFERROR(VLOOKUP(AE134,[1]Cálculos_PRICE!$A$32:$K$212,10,0),"")</f>
        <v>16301.127226778626</v>
      </c>
      <c r="AG134" s="97">
        <f>IFERROR(VLOOKUP(AE134,'Cálculos_CGI - SAC FIXA'!A132:K524,10,0),"")</f>
        <v>2278.7730780900424</v>
      </c>
      <c r="AH134" s="97">
        <f>IFERROR(VLOOKUP(AE134,[1]Cálculos_PRICE!$A$32:$K$212,6,0),"")</f>
        <v>4542.8232999009178</v>
      </c>
      <c r="AI134" s="97">
        <f>IFERROR(VLOOKUP(AE134,'Cálculos_CGI - SAC FIXA'!A132:K524,6,0),"")</f>
        <v>555.55555555555554</v>
      </c>
      <c r="AJ134" s="97">
        <f>IFERROR(VLOOKUP(AE134,[1]Cálculos_PRICE!$A$32:$K$240,11,0),"")</f>
        <v>766216.31631525245</v>
      </c>
      <c r="AK134" s="97">
        <f>IFERROR(VLOOKUP(AE134,'Cálculos_CGI - SAC FIXA'!A132:K524,11,0),"")</f>
        <v>146666.66666666605</v>
      </c>
      <c r="AN134" s="157">
        <f t="shared" si="20"/>
        <v>74058.958888889523</v>
      </c>
      <c r="AO134" s="147" t="s">
        <v>215</v>
      </c>
      <c r="AP134" s="147" t="s">
        <v>119</v>
      </c>
      <c r="AQ134" s="148">
        <v>47000</v>
      </c>
      <c r="AR134" s="149">
        <v>220703.97</v>
      </c>
      <c r="AS134" s="150">
        <v>533.9</v>
      </c>
      <c r="AT134" s="150">
        <v>0</v>
      </c>
      <c r="AU134" s="149">
        <v>2847.08</v>
      </c>
      <c r="AV134" s="150">
        <v>70.760000000000005</v>
      </c>
      <c r="AW134" s="149">
        <v>3451.74</v>
      </c>
      <c r="AX134" s="151"/>
    </row>
    <row r="135" spans="1:50" ht="15.5" x14ac:dyDescent="0.35">
      <c r="A135" s="98">
        <f t="shared" si="36"/>
        <v>92</v>
      </c>
      <c r="B135" s="99">
        <f t="shared" ca="1" si="28"/>
        <v>48857</v>
      </c>
      <c r="C135" s="100">
        <f t="shared" si="25"/>
        <v>149444.44444444386</v>
      </c>
      <c r="D135" s="100">
        <f t="shared" si="29"/>
        <v>1628.944444444438</v>
      </c>
      <c r="E135" s="100">
        <f t="shared" si="30"/>
        <v>151073.38888888829</v>
      </c>
      <c r="F135" s="100">
        <f t="shared" si="31"/>
        <v>555.55555555555554</v>
      </c>
      <c r="G135" s="100">
        <f t="shared" si="32"/>
        <v>2224.9119669789316</v>
      </c>
      <c r="H135" s="100">
        <f t="shared" si="33"/>
        <v>34.372222222222085</v>
      </c>
      <c r="I135" s="100">
        <f t="shared" si="26"/>
        <v>20</v>
      </c>
      <c r="J135" s="100">
        <f t="shared" si="34"/>
        <v>2279.2841892011538</v>
      </c>
      <c r="K135" s="101">
        <f t="shared" si="35"/>
        <v>148888.88888888829</v>
      </c>
      <c r="O135" s="118">
        <f t="shared" si="37"/>
        <v>16.666666666666664</v>
      </c>
      <c r="P135" s="119">
        <f t="shared" ca="1" si="27"/>
        <v>30</v>
      </c>
      <c r="Q135" s="120">
        <v>365</v>
      </c>
      <c r="S135" s="123">
        <v>64</v>
      </c>
      <c r="T135" s="123">
        <v>3.8379999999999998E-3</v>
      </c>
      <c r="U135" s="123" t="s">
        <v>81</v>
      </c>
      <c r="AA135" s="96">
        <f t="shared" si="21"/>
        <v>97</v>
      </c>
      <c r="AB135" s="97">
        <f t="shared" si="22"/>
        <v>16300.116902876729</v>
      </c>
      <c r="AC135" s="97">
        <f t="shared" si="23"/>
        <v>2278.6453003122647</v>
      </c>
      <c r="AE135" s="96">
        <f t="shared" si="24"/>
        <v>97</v>
      </c>
      <c r="AF135" s="97">
        <f>IFERROR(VLOOKUP(AE135,[1]Cálculos_PRICE!$A$32:$K$212,10,0),"")</f>
        <v>16300.116902876729</v>
      </c>
      <c r="AG135" s="97">
        <f>IFERROR(VLOOKUP(AE135,'Cálculos_CGI - SAC FIXA'!A133:K525,10,0),"")</f>
        <v>2278.6453003122647</v>
      </c>
      <c r="AH135" s="97">
        <f>IFERROR(VLOOKUP(AE135,[1]Cálculos_PRICE!$A$32:$K$212,6,0),"")</f>
        <v>4610.9656493994298</v>
      </c>
      <c r="AI135" s="97">
        <f>IFERROR(VLOOKUP(AE135,'Cálculos_CGI - SAC FIXA'!A133:K525,6,0),"")</f>
        <v>555.55555555555554</v>
      </c>
      <c r="AJ135" s="97">
        <f>IFERROR(VLOOKUP(AE135,[1]Cálculos_PRICE!$A$32:$K$240,11,0),"")</f>
        <v>761605.35066585301</v>
      </c>
      <c r="AK135" s="97">
        <f>IFERROR(VLOOKUP(AE135,'Cálculos_CGI - SAC FIXA'!A133:K525,11,0),"")</f>
        <v>146111.11111111048</v>
      </c>
      <c r="AN135" s="157">
        <f t="shared" si="20"/>
        <v>74073.724444445077</v>
      </c>
      <c r="AO135" s="152" t="s">
        <v>216</v>
      </c>
      <c r="AP135" s="152" t="s">
        <v>119</v>
      </c>
      <c r="AQ135" s="153">
        <v>47030</v>
      </c>
      <c r="AR135" s="154">
        <v>220170.07</v>
      </c>
      <c r="AS135" s="155">
        <v>540.79</v>
      </c>
      <c r="AT135" s="155">
        <v>0</v>
      </c>
      <c r="AU135" s="154">
        <v>2840.19</v>
      </c>
      <c r="AV135" s="155">
        <v>70.64</v>
      </c>
      <c r="AW135" s="154">
        <v>3451.62</v>
      </c>
      <c r="AX135" s="156"/>
    </row>
    <row r="136" spans="1:50" ht="15.5" x14ac:dyDescent="0.35">
      <c r="A136" s="98">
        <f t="shared" si="36"/>
        <v>93</v>
      </c>
      <c r="B136" s="99">
        <f t="shared" ca="1" si="28"/>
        <v>48888</v>
      </c>
      <c r="C136" s="100">
        <f t="shared" si="25"/>
        <v>148888.88888888829</v>
      </c>
      <c r="D136" s="100">
        <f t="shared" si="29"/>
        <v>1622.8888888888823</v>
      </c>
      <c r="E136" s="100">
        <f t="shared" si="30"/>
        <v>150511.77777777717</v>
      </c>
      <c r="F136" s="100">
        <f t="shared" si="31"/>
        <v>555.55555555555554</v>
      </c>
      <c r="G136" s="100">
        <f t="shared" si="32"/>
        <v>2224.9119669789316</v>
      </c>
      <c r="H136" s="100">
        <f t="shared" si="33"/>
        <v>34.244444444444312</v>
      </c>
      <c r="I136" s="100">
        <f t="shared" si="26"/>
        <v>20</v>
      </c>
      <c r="J136" s="100">
        <f t="shared" si="34"/>
        <v>2279.1564114233761</v>
      </c>
      <c r="K136" s="101">
        <f t="shared" si="35"/>
        <v>148333.33333333273</v>
      </c>
      <c r="O136" s="118">
        <f t="shared" si="37"/>
        <v>16.666666666666664</v>
      </c>
      <c r="P136" s="119">
        <f t="shared" ca="1" si="27"/>
        <v>31</v>
      </c>
      <c r="Q136" s="120">
        <v>365</v>
      </c>
      <c r="S136" s="123">
        <v>65</v>
      </c>
      <c r="T136" s="123">
        <v>3.8379999999999998E-3</v>
      </c>
      <c r="U136" s="123" t="s">
        <v>81</v>
      </c>
      <c r="AA136" s="96">
        <f t="shared" si="21"/>
        <v>98</v>
      </c>
      <c r="AB136" s="97">
        <f t="shared" si="22"/>
        <v>16299.091424116303</v>
      </c>
      <c r="AC136" s="97">
        <f t="shared" si="23"/>
        <v>2278.5175225344869</v>
      </c>
      <c r="AE136" s="96">
        <f t="shared" si="24"/>
        <v>98</v>
      </c>
      <c r="AF136" s="97">
        <f>IFERROR(VLOOKUP(AE136,[1]Cálculos_PRICE!$A$32:$K$212,10,0),"")</f>
        <v>16299.091424116303</v>
      </c>
      <c r="AG136" s="97">
        <f>IFERROR(VLOOKUP(AE136,'Cálculos_CGI - SAC FIXA'!A134:K526,10,0),"")</f>
        <v>2278.5175225344869</v>
      </c>
      <c r="AH136" s="97">
        <f>IFERROR(VLOOKUP(AE136,[1]Cálculos_PRICE!$A$32:$K$212,6,0),"")</f>
        <v>4680.1301341404214</v>
      </c>
      <c r="AI136" s="97">
        <f>IFERROR(VLOOKUP(AE136,'Cálculos_CGI - SAC FIXA'!A134:K526,6,0),"")</f>
        <v>555.55555555555554</v>
      </c>
      <c r="AJ136" s="97">
        <f>IFERROR(VLOOKUP(AE136,[1]Cálculos_PRICE!$A$32:$K$240,11,0),"")</f>
        <v>756925.22053171264</v>
      </c>
      <c r="AK136" s="97">
        <f>IFERROR(VLOOKUP(AE136,'Cálculos_CGI - SAC FIXA'!A134:K526,11,0),"")</f>
        <v>145555.55555555492</v>
      </c>
      <c r="AN136" s="157">
        <f t="shared" si="20"/>
        <v>74081.52000000063</v>
      </c>
      <c r="AO136" s="147" t="s">
        <v>217</v>
      </c>
      <c r="AP136" s="147" t="s">
        <v>119</v>
      </c>
      <c r="AQ136" s="148">
        <v>47061</v>
      </c>
      <c r="AR136" s="149">
        <v>219629.28</v>
      </c>
      <c r="AS136" s="150">
        <v>547.76</v>
      </c>
      <c r="AT136" s="150">
        <v>0</v>
      </c>
      <c r="AU136" s="149">
        <v>2833.22</v>
      </c>
      <c r="AV136" s="150">
        <v>70.510000000000005</v>
      </c>
      <c r="AW136" s="149">
        <v>3451.49</v>
      </c>
      <c r="AX136" s="151"/>
    </row>
    <row r="137" spans="1:50" ht="15.5" x14ac:dyDescent="0.35">
      <c r="A137" s="98">
        <f t="shared" si="36"/>
        <v>94</v>
      </c>
      <c r="B137" s="99">
        <f t="shared" ca="1" si="28"/>
        <v>48918</v>
      </c>
      <c r="C137" s="100">
        <f t="shared" si="25"/>
        <v>148333.33333333273</v>
      </c>
      <c r="D137" s="100">
        <f t="shared" si="29"/>
        <v>1616.8333333333267</v>
      </c>
      <c r="E137" s="100">
        <f t="shared" si="30"/>
        <v>149950.16666666605</v>
      </c>
      <c r="F137" s="100">
        <f t="shared" si="31"/>
        <v>555.55555555555554</v>
      </c>
      <c r="G137" s="100">
        <f t="shared" si="32"/>
        <v>2224.9119669789316</v>
      </c>
      <c r="H137" s="100">
        <f t="shared" si="33"/>
        <v>34.116666666666532</v>
      </c>
      <c r="I137" s="100">
        <f t="shared" si="26"/>
        <v>20</v>
      </c>
      <c r="J137" s="100">
        <f t="shared" si="34"/>
        <v>2279.0286336455979</v>
      </c>
      <c r="K137" s="101">
        <f t="shared" si="35"/>
        <v>147777.77777777717</v>
      </c>
      <c r="O137" s="118">
        <f t="shared" si="37"/>
        <v>16.666666666666664</v>
      </c>
      <c r="P137" s="119">
        <f t="shared" ca="1" si="27"/>
        <v>30</v>
      </c>
      <c r="Q137" s="120">
        <v>365</v>
      </c>
      <c r="S137" s="123">
        <v>66</v>
      </c>
      <c r="T137" s="123">
        <v>3.8379999999999998E-3</v>
      </c>
      <c r="U137" s="123" t="s">
        <v>81</v>
      </c>
      <c r="AA137" s="96">
        <f t="shared" si="21"/>
        <v>99</v>
      </c>
      <c r="AB137" s="97">
        <f t="shared" si="22"/>
        <v>16298.050563174469</v>
      </c>
      <c r="AC137" s="97">
        <f t="shared" si="23"/>
        <v>2278.3897447567092</v>
      </c>
      <c r="AE137" s="96">
        <f t="shared" si="24"/>
        <v>99</v>
      </c>
      <c r="AF137" s="97">
        <f>IFERROR(VLOOKUP(AE137,[1]Cálculos_PRICE!$A$32:$K$212,10,0),"")</f>
        <v>16298.050563174469</v>
      </c>
      <c r="AG137" s="97">
        <f>IFERROR(VLOOKUP(AE137,'Cálculos_CGI - SAC FIXA'!A135:K527,10,0),"")</f>
        <v>2278.3897447567092</v>
      </c>
      <c r="AH137" s="97">
        <f>IFERROR(VLOOKUP(AE137,[1]Cálculos_PRICE!$A$32:$K$212,6,0),"")</f>
        <v>4750.3320861525281</v>
      </c>
      <c r="AI137" s="97">
        <f>IFERROR(VLOOKUP(AE137,'Cálculos_CGI - SAC FIXA'!A135:K527,6,0),"")</f>
        <v>555.55555555555554</v>
      </c>
      <c r="AJ137" s="97">
        <f>IFERROR(VLOOKUP(AE137,[1]Cálculos_PRICE!$A$32:$K$240,11,0),"")</f>
        <v>752174.88844556012</v>
      </c>
      <c r="AK137" s="97">
        <f>IFERROR(VLOOKUP(AE137,'Cálculos_CGI - SAC FIXA'!A135:K527,11,0),"")</f>
        <v>144999.99999999936</v>
      </c>
      <c r="AN137" s="157">
        <f t="shared" si="20"/>
        <v>74082.245555556205</v>
      </c>
      <c r="AO137" s="152" t="s">
        <v>218</v>
      </c>
      <c r="AP137" s="152" t="s">
        <v>119</v>
      </c>
      <c r="AQ137" s="153">
        <v>47091</v>
      </c>
      <c r="AR137" s="154">
        <v>219081.52</v>
      </c>
      <c r="AS137" s="155">
        <v>554.83000000000004</v>
      </c>
      <c r="AT137" s="155">
        <v>0</v>
      </c>
      <c r="AU137" s="154">
        <v>2826.15</v>
      </c>
      <c r="AV137" s="155">
        <v>70.39</v>
      </c>
      <c r="AW137" s="154">
        <v>3451.37</v>
      </c>
      <c r="AX137" s="156"/>
    </row>
    <row r="138" spans="1:50" ht="15.5" x14ac:dyDescent="0.35">
      <c r="A138" s="98">
        <f t="shared" si="36"/>
        <v>95</v>
      </c>
      <c r="B138" s="99">
        <f t="shared" ca="1" si="28"/>
        <v>48949</v>
      </c>
      <c r="C138" s="100">
        <f t="shared" si="25"/>
        <v>147777.77777777717</v>
      </c>
      <c r="D138" s="100">
        <f t="shared" si="29"/>
        <v>1610.7777777777712</v>
      </c>
      <c r="E138" s="100">
        <f t="shared" si="30"/>
        <v>149388.55555555495</v>
      </c>
      <c r="F138" s="100">
        <f t="shared" si="31"/>
        <v>555.55555555555554</v>
      </c>
      <c r="G138" s="100">
        <f t="shared" si="32"/>
        <v>2224.9119669789316</v>
      </c>
      <c r="H138" s="100">
        <f t="shared" si="33"/>
        <v>33.988888888888752</v>
      </c>
      <c r="I138" s="100">
        <f t="shared" si="26"/>
        <v>20</v>
      </c>
      <c r="J138" s="100">
        <f t="shared" si="34"/>
        <v>2278.9008558678202</v>
      </c>
      <c r="K138" s="101">
        <f t="shared" si="35"/>
        <v>147222.22222222161</v>
      </c>
      <c r="O138" s="118">
        <f t="shared" si="37"/>
        <v>16.666666666666664</v>
      </c>
      <c r="P138" s="119">
        <f t="shared" ca="1" si="27"/>
        <v>31</v>
      </c>
      <c r="Q138" s="120">
        <v>365</v>
      </c>
      <c r="S138" s="123">
        <v>67</v>
      </c>
      <c r="T138" s="123">
        <v>3.8379999999999998E-3</v>
      </c>
      <c r="U138" s="123" t="s">
        <v>81</v>
      </c>
      <c r="AA138" s="96">
        <f t="shared" si="21"/>
        <v>100</v>
      </c>
      <c r="AB138" s="97">
        <f t="shared" si="22"/>
        <v>16296.994089318508</v>
      </c>
      <c r="AC138" s="97">
        <f t="shared" si="23"/>
        <v>2278.2619669789315</v>
      </c>
      <c r="AE138" s="96">
        <f t="shared" si="24"/>
        <v>100</v>
      </c>
      <c r="AF138" s="97">
        <f>IFERROR(VLOOKUP(AE138,[1]Cálculos_PRICE!$A$32:$K$212,10,0),"")</f>
        <v>16296.994089318508</v>
      </c>
      <c r="AG138" s="97">
        <f>IFERROR(VLOOKUP(AE138,'Cálculos_CGI - SAC FIXA'!A136:K528,10,0),"")</f>
        <v>2278.2619669789315</v>
      </c>
      <c r="AH138" s="97">
        <f>IFERROR(VLOOKUP(AE138,[1]Cálculos_PRICE!$A$32:$K$212,6,0),"")</f>
        <v>4821.5870674448161</v>
      </c>
      <c r="AI138" s="97">
        <f>IFERROR(VLOOKUP(AE138,'Cálculos_CGI - SAC FIXA'!A136:K528,6,0),"")</f>
        <v>555.55555555555554</v>
      </c>
      <c r="AJ138" s="97">
        <f>IFERROR(VLOOKUP(AE138,[1]Cálculos_PRICE!$A$32:$K$240,11,0),"")</f>
        <v>747353.30137811531</v>
      </c>
      <c r="AK138" s="97">
        <f>IFERROR(VLOOKUP(AE138,'Cálculos_CGI - SAC FIXA'!A136:K528,11,0),"")</f>
        <v>144444.4444444438</v>
      </c>
      <c r="AN138" s="157">
        <f t="shared" si="20"/>
        <v>74075.811111111776</v>
      </c>
      <c r="AO138" s="147" t="s">
        <v>219</v>
      </c>
      <c r="AP138" s="147" t="s">
        <v>119</v>
      </c>
      <c r="AQ138" s="148">
        <v>47122</v>
      </c>
      <c r="AR138" s="149">
        <v>218526.69</v>
      </c>
      <c r="AS138" s="150">
        <v>561.99</v>
      </c>
      <c r="AT138" s="150">
        <v>0</v>
      </c>
      <c r="AU138" s="149">
        <v>2818.99</v>
      </c>
      <c r="AV138" s="150">
        <v>70.260000000000005</v>
      </c>
      <c r="AW138" s="149">
        <v>3451.24</v>
      </c>
      <c r="AX138" s="151"/>
    </row>
    <row r="139" spans="1:50" ht="15.5" x14ac:dyDescent="0.35">
      <c r="A139" s="98">
        <f t="shared" si="36"/>
        <v>96</v>
      </c>
      <c r="B139" s="99">
        <f t="shared" ca="1" si="28"/>
        <v>48980</v>
      </c>
      <c r="C139" s="100">
        <f t="shared" si="25"/>
        <v>147222.22222222161</v>
      </c>
      <c r="D139" s="100">
        <f t="shared" si="29"/>
        <v>1604.7222222222156</v>
      </c>
      <c r="E139" s="100">
        <f t="shared" si="30"/>
        <v>148826.94444444383</v>
      </c>
      <c r="F139" s="100">
        <f t="shared" si="31"/>
        <v>555.55555555555554</v>
      </c>
      <c r="G139" s="100">
        <f t="shared" si="32"/>
        <v>2224.9119669789316</v>
      </c>
      <c r="H139" s="100">
        <f t="shared" si="33"/>
        <v>33.861111111110972</v>
      </c>
      <c r="I139" s="100">
        <f t="shared" si="26"/>
        <v>20</v>
      </c>
      <c r="J139" s="100">
        <f t="shared" si="34"/>
        <v>2278.7730780900424</v>
      </c>
      <c r="K139" s="101">
        <f t="shared" si="35"/>
        <v>146666.66666666605</v>
      </c>
      <c r="O139" s="118">
        <f t="shared" si="37"/>
        <v>16.666666666666664</v>
      </c>
      <c r="P139" s="119">
        <f t="shared" ca="1" si="27"/>
        <v>31</v>
      </c>
      <c r="Q139" s="120">
        <v>365</v>
      </c>
      <c r="S139" s="123">
        <v>68</v>
      </c>
      <c r="T139" s="123">
        <v>3.8379999999999998E-3</v>
      </c>
      <c r="U139" s="123" t="s">
        <v>81</v>
      </c>
      <c r="AA139" s="96">
        <f t="shared" si="21"/>
        <v>101</v>
      </c>
      <c r="AB139" s="97">
        <f t="shared" si="22"/>
        <v>16295.92176835471</v>
      </c>
      <c r="AC139" s="97">
        <f t="shared" si="23"/>
        <v>2278.1341892011537</v>
      </c>
      <c r="AE139" s="96">
        <f t="shared" si="24"/>
        <v>101</v>
      </c>
      <c r="AF139" s="97">
        <f>IFERROR(VLOOKUP(AE139,[1]Cálculos_PRICE!$A$32:$K$212,10,0),"")</f>
        <v>16295.92176835471</v>
      </c>
      <c r="AG139" s="97">
        <f>IFERROR(VLOOKUP(AE139,'Cálculos_CGI - SAC FIXA'!A137:K529,10,0),"")</f>
        <v>2278.1341892011537</v>
      </c>
      <c r="AH139" s="97">
        <f>IFERROR(VLOOKUP(AE139,[1]Cálculos_PRICE!$A$32:$K$212,6,0),"")</f>
        <v>4893.910873456487</v>
      </c>
      <c r="AI139" s="97">
        <f>IFERROR(VLOOKUP(AE139,'Cálculos_CGI - SAC FIXA'!A137:K529,6,0),"")</f>
        <v>555.55555555555554</v>
      </c>
      <c r="AJ139" s="97">
        <f>IFERROR(VLOOKUP(AE139,[1]Cálculos_PRICE!$A$32:$K$240,11,0),"")</f>
        <v>742459.3905046588</v>
      </c>
      <c r="AK139" s="97">
        <f>IFERROR(VLOOKUP(AE139,'Cálculos_CGI - SAC FIXA'!A137:K529,11,0),"")</f>
        <v>143888.88888888824</v>
      </c>
      <c r="AN139" s="157">
        <f t="shared" si="20"/>
        <v>74062.126666667318</v>
      </c>
      <c r="AO139" s="152" t="s">
        <v>220</v>
      </c>
      <c r="AP139" s="152" t="s">
        <v>119</v>
      </c>
      <c r="AQ139" s="153">
        <v>47153</v>
      </c>
      <c r="AR139" s="154">
        <v>217964.7</v>
      </c>
      <c r="AS139" s="155">
        <v>569.24</v>
      </c>
      <c r="AT139" s="155">
        <v>0</v>
      </c>
      <c r="AU139" s="154">
        <v>2811.74</v>
      </c>
      <c r="AV139" s="155">
        <v>70.13</v>
      </c>
      <c r="AW139" s="154">
        <v>3451.11</v>
      </c>
      <c r="AX139" s="156"/>
    </row>
    <row r="140" spans="1:50" ht="15.5" x14ac:dyDescent="0.35">
      <c r="A140" s="98">
        <f t="shared" si="36"/>
        <v>97</v>
      </c>
      <c r="B140" s="99">
        <f t="shared" ca="1" si="28"/>
        <v>49008</v>
      </c>
      <c r="C140" s="100">
        <f t="shared" si="25"/>
        <v>146666.66666666605</v>
      </c>
      <c r="D140" s="100">
        <f t="shared" si="29"/>
        <v>1598.6666666666599</v>
      </c>
      <c r="E140" s="100">
        <f t="shared" si="30"/>
        <v>148265.3333333327</v>
      </c>
      <c r="F140" s="100">
        <f t="shared" si="31"/>
        <v>555.55555555555554</v>
      </c>
      <c r="G140" s="100">
        <f t="shared" si="32"/>
        <v>2224.9119669789316</v>
      </c>
      <c r="H140" s="100">
        <f t="shared" si="33"/>
        <v>33.733333333333192</v>
      </c>
      <c r="I140" s="100">
        <f t="shared" si="26"/>
        <v>20</v>
      </c>
      <c r="J140" s="100">
        <f t="shared" si="34"/>
        <v>2278.6453003122647</v>
      </c>
      <c r="K140" s="101">
        <f t="shared" si="35"/>
        <v>146111.11111111048</v>
      </c>
      <c r="O140" s="118">
        <f t="shared" si="37"/>
        <v>16.666666666666664</v>
      </c>
      <c r="P140" s="119">
        <f t="shared" ca="1" si="27"/>
        <v>28</v>
      </c>
      <c r="Q140" s="120">
        <v>365</v>
      </c>
      <c r="S140" s="123">
        <v>69</v>
      </c>
      <c r="T140" s="123">
        <v>3.8379999999999998E-3</v>
      </c>
      <c r="U140" s="123" t="s">
        <v>81</v>
      </c>
      <c r="AA140" s="96">
        <f t="shared" si="21"/>
        <v>102</v>
      </c>
      <c r="AB140" s="97">
        <f t="shared" si="22"/>
        <v>16294.833362576454</v>
      </c>
      <c r="AC140" s="97">
        <f t="shared" si="23"/>
        <v>2278.006411423376</v>
      </c>
      <c r="AE140" s="96">
        <f t="shared" si="24"/>
        <v>102</v>
      </c>
      <c r="AF140" s="97">
        <f>IFERROR(VLOOKUP(AE140,[1]Cálculos_PRICE!$A$32:$K$212,10,0),"")</f>
        <v>16294.833362576454</v>
      </c>
      <c r="AG140" s="97">
        <f>IFERROR(VLOOKUP(AE140,'Cálculos_CGI - SAC FIXA'!A138:K530,10,0),"")</f>
        <v>2278.006411423376</v>
      </c>
      <c r="AH140" s="97">
        <f>IFERROR(VLOOKUP(AE140,[1]Cálculos_PRICE!$A$32:$K$212,6,0),"")</f>
        <v>4967.3195365583342</v>
      </c>
      <c r="AI140" s="97">
        <f>IFERROR(VLOOKUP(AE140,'Cálculos_CGI - SAC FIXA'!A138:K530,6,0),"")</f>
        <v>555.55555555555554</v>
      </c>
      <c r="AJ140" s="97">
        <f>IFERROR(VLOOKUP(AE140,[1]Cálculos_PRICE!$A$32:$K$240,11,0),"")</f>
        <v>737492.07096810045</v>
      </c>
      <c r="AK140" s="97">
        <f>IFERROR(VLOOKUP(AE140,'Cálculos_CGI - SAC FIXA'!A138:K530,11,0),"")</f>
        <v>143333.33333333267</v>
      </c>
      <c r="AN140" s="157">
        <f t="shared" si="20"/>
        <v>74041.102222222893</v>
      </c>
      <c r="AO140" s="147" t="s">
        <v>221</v>
      </c>
      <c r="AP140" s="147" t="s">
        <v>119</v>
      </c>
      <c r="AQ140" s="148">
        <v>47181</v>
      </c>
      <c r="AR140" s="149">
        <v>217395.46</v>
      </c>
      <c r="AS140" s="150">
        <v>576.58000000000004</v>
      </c>
      <c r="AT140" s="150">
        <v>0</v>
      </c>
      <c r="AU140" s="149">
        <v>2804.4</v>
      </c>
      <c r="AV140" s="150">
        <v>70</v>
      </c>
      <c r="AW140" s="149">
        <v>3450.98</v>
      </c>
      <c r="AX140" s="151"/>
    </row>
    <row r="141" spans="1:50" ht="15.5" x14ac:dyDescent="0.35">
      <c r="A141" s="98">
        <f t="shared" si="36"/>
        <v>98</v>
      </c>
      <c r="B141" s="99">
        <f t="shared" ca="1" si="28"/>
        <v>49039</v>
      </c>
      <c r="C141" s="100">
        <f t="shared" si="25"/>
        <v>146111.11111111048</v>
      </c>
      <c r="D141" s="100">
        <f t="shared" si="29"/>
        <v>1592.6111111111043</v>
      </c>
      <c r="E141" s="100">
        <f t="shared" si="30"/>
        <v>147703.72222222158</v>
      </c>
      <c r="F141" s="100">
        <f t="shared" si="31"/>
        <v>555.55555555555554</v>
      </c>
      <c r="G141" s="100">
        <f t="shared" si="32"/>
        <v>2224.9119669789316</v>
      </c>
      <c r="H141" s="100">
        <f t="shared" si="33"/>
        <v>33.605555555555412</v>
      </c>
      <c r="I141" s="100">
        <f t="shared" si="26"/>
        <v>20</v>
      </c>
      <c r="J141" s="100">
        <f t="shared" si="34"/>
        <v>2278.5175225344869</v>
      </c>
      <c r="K141" s="101">
        <f t="shared" si="35"/>
        <v>145555.55555555492</v>
      </c>
      <c r="O141" s="118">
        <f t="shared" si="37"/>
        <v>16.666666666666664</v>
      </c>
      <c r="P141" s="119">
        <f t="shared" ca="1" si="27"/>
        <v>31</v>
      </c>
      <c r="Q141" s="120">
        <v>365</v>
      </c>
      <c r="S141" s="123">
        <v>70</v>
      </c>
      <c r="T141" s="123">
        <v>3.8379999999999998E-3</v>
      </c>
      <c r="U141" s="123" t="s">
        <v>81</v>
      </c>
      <c r="AA141" s="96">
        <f t="shared" si="21"/>
        <v>103</v>
      </c>
      <c r="AB141" s="97">
        <f t="shared" si="22"/>
        <v>16293.728630711523</v>
      </c>
      <c r="AC141" s="97">
        <f t="shared" si="23"/>
        <v>2277.8786336455983</v>
      </c>
      <c r="AE141" s="96">
        <f t="shared" si="24"/>
        <v>103</v>
      </c>
      <c r="AF141" s="97">
        <f>IFERROR(VLOOKUP(AE141,[1]Cálculos_PRICE!$A$32:$K$212,10,0),"")</f>
        <v>16293.728630711523</v>
      </c>
      <c r="AG141" s="97">
        <f>IFERROR(VLOOKUP(AE141,'Cálculos_CGI - SAC FIXA'!A139:K531,10,0),"")</f>
        <v>2277.8786336455983</v>
      </c>
      <c r="AH141" s="97">
        <f>IFERROR(VLOOKUP(AE141,[1]Cálculos_PRICE!$A$32:$K$212,6,0),"")</f>
        <v>5041.8293296067095</v>
      </c>
      <c r="AI141" s="97">
        <f>IFERROR(VLOOKUP(AE141,'Cálculos_CGI - SAC FIXA'!A139:K531,6,0),"")</f>
        <v>555.55555555555554</v>
      </c>
      <c r="AJ141" s="97">
        <f>IFERROR(VLOOKUP(AE141,[1]Cálculos_PRICE!$A$32:$K$240,11,0),"")</f>
        <v>732450.24163849372</v>
      </c>
      <c r="AK141" s="97">
        <f>IFERROR(VLOOKUP(AE141,'Cálculos_CGI - SAC FIXA'!A139:K531,11,0),"")</f>
        <v>142777.77777777711</v>
      </c>
      <c r="AN141" s="157">
        <f t="shared" si="20"/>
        <v>74012.637777778436</v>
      </c>
      <c r="AO141" s="152" t="s">
        <v>222</v>
      </c>
      <c r="AP141" s="152" t="s">
        <v>119</v>
      </c>
      <c r="AQ141" s="153">
        <v>47212</v>
      </c>
      <c r="AR141" s="154">
        <v>216818.88</v>
      </c>
      <c r="AS141" s="155">
        <v>584.02</v>
      </c>
      <c r="AT141" s="155">
        <v>0</v>
      </c>
      <c r="AU141" s="154">
        <v>2796.96</v>
      </c>
      <c r="AV141" s="155">
        <v>69.87</v>
      </c>
      <c r="AW141" s="154">
        <v>3450.85</v>
      </c>
      <c r="AX141" s="156"/>
    </row>
    <row r="142" spans="1:50" ht="15.5" x14ac:dyDescent="0.35">
      <c r="A142" s="98">
        <f t="shared" si="36"/>
        <v>99</v>
      </c>
      <c r="B142" s="99">
        <f t="shared" ca="1" si="28"/>
        <v>49069</v>
      </c>
      <c r="C142" s="100">
        <f t="shared" si="25"/>
        <v>145555.55555555492</v>
      </c>
      <c r="D142" s="100">
        <f t="shared" si="29"/>
        <v>1586.5555555555486</v>
      </c>
      <c r="E142" s="100">
        <f t="shared" si="30"/>
        <v>147142.11111111048</v>
      </c>
      <c r="F142" s="100">
        <f t="shared" si="31"/>
        <v>555.55555555555554</v>
      </c>
      <c r="G142" s="100">
        <f t="shared" si="32"/>
        <v>2224.9119669789316</v>
      </c>
      <c r="H142" s="100">
        <f t="shared" si="33"/>
        <v>33.477777777777632</v>
      </c>
      <c r="I142" s="100">
        <f t="shared" si="26"/>
        <v>20</v>
      </c>
      <c r="J142" s="100">
        <f t="shared" si="34"/>
        <v>2278.3897447567092</v>
      </c>
      <c r="K142" s="101">
        <f t="shared" si="35"/>
        <v>144999.99999999936</v>
      </c>
      <c r="O142" s="118">
        <f t="shared" si="37"/>
        <v>16.666666666666664</v>
      </c>
      <c r="P142" s="119">
        <f t="shared" ca="1" si="27"/>
        <v>30</v>
      </c>
      <c r="Q142" s="120">
        <v>365</v>
      </c>
      <c r="S142" s="123">
        <v>71</v>
      </c>
      <c r="T142" s="123">
        <v>6.4554E-3</v>
      </c>
      <c r="U142" s="123" t="s">
        <v>82</v>
      </c>
      <c r="AA142" s="96">
        <f t="shared" si="21"/>
        <v>104</v>
      </c>
      <c r="AB142" s="97">
        <f t="shared" si="22"/>
        <v>16292.607327868618</v>
      </c>
      <c r="AC142" s="97">
        <f t="shared" si="23"/>
        <v>2277.7508558678205</v>
      </c>
      <c r="AE142" s="96">
        <f t="shared" si="24"/>
        <v>104</v>
      </c>
      <c r="AF142" s="97">
        <f>IFERROR(VLOOKUP(AE142,[1]Cálculos_PRICE!$A$32:$K$212,10,0),"")</f>
        <v>16292.607327868618</v>
      </c>
      <c r="AG142" s="97">
        <f>IFERROR(VLOOKUP(AE142,'Cálculos_CGI - SAC FIXA'!A140:K532,10,0),"")</f>
        <v>2277.7508558678205</v>
      </c>
      <c r="AH142" s="97">
        <f>IFERROR(VLOOKUP(AE142,[1]Cálculos_PRICE!$A$32:$K$212,6,0),"")</f>
        <v>5117.4567695508103</v>
      </c>
      <c r="AI142" s="97">
        <f>IFERROR(VLOOKUP(AE142,'Cálculos_CGI - SAC FIXA'!A140:K532,6,0),"")</f>
        <v>555.55555555555554</v>
      </c>
      <c r="AJ142" s="97">
        <f>IFERROR(VLOOKUP(AE142,[1]Cálculos_PRICE!$A$32:$K$240,11,0),"")</f>
        <v>727332.78486894292</v>
      </c>
      <c r="AK142" s="97">
        <f>IFERROR(VLOOKUP(AE142,'Cálculos_CGI - SAC FIXA'!A140:K532,11,0),"")</f>
        <v>142222.22222222155</v>
      </c>
      <c r="AN142" s="157">
        <f t="shared" si="20"/>
        <v>73976.64333333401</v>
      </c>
      <c r="AO142" s="147" t="s">
        <v>223</v>
      </c>
      <c r="AP142" s="147" t="s">
        <v>119</v>
      </c>
      <c r="AQ142" s="148">
        <v>47242</v>
      </c>
      <c r="AR142" s="149">
        <v>216234.86</v>
      </c>
      <c r="AS142" s="150">
        <v>591.54999999999995</v>
      </c>
      <c r="AT142" s="150">
        <v>0</v>
      </c>
      <c r="AU142" s="149">
        <v>2789.43</v>
      </c>
      <c r="AV142" s="150">
        <v>69.73</v>
      </c>
      <c r="AW142" s="149">
        <v>3450.71</v>
      </c>
      <c r="AX142" s="151"/>
    </row>
    <row r="143" spans="1:50" ht="15.5" x14ac:dyDescent="0.35">
      <c r="A143" s="98">
        <f t="shared" si="36"/>
        <v>100</v>
      </c>
      <c r="B143" s="99">
        <f t="shared" ca="1" si="28"/>
        <v>49100</v>
      </c>
      <c r="C143" s="100">
        <f t="shared" si="25"/>
        <v>144999.99999999936</v>
      </c>
      <c r="D143" s="100">
        <f t="shared" si="29"/>
        <v>1580.499999999993</v>
      </c>
      <c r="E143" s="100">
        <f t="shared" si="30"/>
        <v>146580.49999999936</v>
      </c>
      <c r="F143" s="100">
        <f t="shared" si="31"/>
        <v>555.55555555555554</v>
      </c>
      <c r="G143" s="100">
        <f t="shared" si="32"/>
        <v>2224.9119669789316</v>
      </c>
      <c r="H143" s="100">
        <f t="shared" si="33"/>
        <v>33.349999999999852</v>
      </c>
      <c r="I143" s="100">
        <f t="shared" si="26"/>
        <v>20</v>
      </c>
      <c r="J143" s="100">
        <f t="shared" si="34"/>
        <v>2278.2619669789315</v>
      </c>
      <c r="K143" s="101">
        <f t="shared" si="35"/>
        <v>144444.4444444438</v>
      </c>
      <c r="O143" s="118">
        <f t="shared" si="37"/>
        <v>16.666666666666664</v>
      </c>
      <c r="P143" s="119">
        <f t="shared" ca="1" si="27"/>
        <v>31</v>
      </c>
      <c r="Q143" s="120">
        <v>365</v>
      </c>
      <c r="S143" s="123">
        <v>72</v>
      </c>
      <c r="T143" s="123">
        <v>6.4554E-3</v>
      </c>
      <c r="U143" s="123" t="s">
        <v>82</v>
      </c>
      <c r="AA143" s="96">
        <f t="shared" si="21"/>
        <v>105</v>
      </c>
      <c r="AB143" s="97">
        <f t="shared" si="22"/>
        <v>16291.46920548307</v>
      </c>
      <c r="AC143" s="97">
        <f t="shared" si="23"/>
        <v>2277.6230780900423</v>
      </c>
      <c r="AE143" s="96">
        <f t="shared" si="24"/>
        <v>105</v>
      </c>
      <c r="AF143" s="97">
        <f>IFERROR(VLOOKUP(AE143,[1]Cálculos_PRICE!$A$32:$K$212,10,0),"")</f>
        <v>16291.46920548307</v>
      </c>
      <c r="AG143" s="97">
        <f>IFERROR(VLOOKUP(AE143,'Cálculos_CGI - SAC FIXA'!A141:K533,10,0),"")</f>
        <v>2277.6230780900423</v>
      </c>
      <c r="AH143" s="97">
        <f>IFERROR(VLOOKUP(AE143,[1]Cálculos_PRICE!$A$32:$K$212,6,0),"")</f>
        <v>5194.2186210940727</v>
      </c>
      <c r="AI143" s="97">
        <f>IFERROR(VLOOKUP(AE143,'Cálculos_CGI - SAC FIXA'!A141:K533,6,0),"")</f>
        <v>555.55555555555554</v>
      </c>
      <c r="AJ143" s="97">
        <f>IFERROR(VLOOKUP(AE143,[1]Cálculos_PRICE!$A$32:$K$240,11,0),"")</f>
        <v>722138.56624784879</v>
      </c>
      <c r="AK143" s="97">
        <f>IFERROR(VLOOKUP(AE143,'Cálculos_CGI - SAC FIXA'!A141:K533,11,0),"")</f>
        <v>141666.66666666599</v>
      </c>
      <c r="AN143" s="157">
        <f t="shared" si="20"/>
        <v>73933.018888889579</v>
      </c>
      <c r="AO143" s="152" t="s">
        <v>224</v>
      </c>
      <c r="AP143" s="152" t="s">
        <v>119</v>
      </c>
      <c r="AQ143" s="153">
        <v>47273</v>
      </c>
      <c r="AR143" s="154">
        <v>215643.31</v>
      </c>
      <c r="AS143" s="155">
        <v>599.17999999999995</v>
      </c>
      <c r="AT143" s="155">
        <v>0</v>
      </c>
      <c r="AU143" s="154">
        <v>2781.8</v>
      </c>
      <c r="AV143" s="155">
        <v>69.599999999999994</v>
      </c>
      <c r="AW143" s="154">
        <v>3450.58</v>
      </c>
      <c r="AX143" s="156"/>
    </row>
    <row r="144" spans="1:50" ht="15.5" x14ac:dyDescent="0.35">
      <c r="A144" s="98">
        <f t="shared" si="36"/>
        <v>101</v>
      </c>
      <c r="B144" s="99">
        <f t="shared" ca="1" si="28"/>
        <v>49130</v>
      </c>
      <c r="C144" s="100">
        <f t="shared" si="25"/>
        <v>144444.4444444438</v>
      </c>
      <c r="D144" s="100">
        <f t="shared" si="29"/>
        <v>1574.4444444444373</v>
      </c>
      <c r="E144" s="100">
        <f t="shared" si="30"/>
        <v>146018.88888888824</v>
      </c>
      <c r="F144" s="100">
        <f t="shared" si="31"/>
        <v>555.55555555555554</v>
      </c>
      <c r="G144" s="100">
        <f t="shared" si="32"/>
        <v>2224.9119669789316</v>
      </c>
      <c r="H144" s="100">
        <f t="shared" si="33"/>
        <v>33.222222222222072</v>
      </c>
      <c r="I144" s="100">
        <f t="shared" si="26"/>
        <v>20</v>
      </c>
      <c r="J144" s="100">
        <f t="shared" si="34"/>
        <v>2278.1341892011537</v>
      </c>
      <c r="K144" s="101">
        <f t="shared" si="35"/>
        <v>143888.88888888824</v>
      </c>
      <c r="O144" s="118">
        <f t="shared" si="37"/>
        <v>16.666666666666664</v>
      </c>
      <c r="P144" s="119">
        <f t="shared" ca="1" si="27"/>
        <v>30</v>
      </c>
      <c r="Q144" s="120">
        <v>365</v>
      </c>
      <c r="S144" s="123">
        <v>73</v>
      </c>
      <c r="T144" s="123">
        <v>6.4554E-3</v>
      </c>
      <c r="U144" s="123" t="s">
        <v>82</v>
      </c>
      <c r="AA144" s="96">
        <f t="shared" si="21"/>
        <v>106</v>
      </c>
      <c r="AB144" s="97">
        <f t="shared" si="22"/>
        <v>16290.314011261738</v>
      </c>
      <c r="AC144" s="97">
        <f t="shared" si="23"/>
        <v>2277.4953003122646</v>
      </c>
      <c r="AE144" s="96">
        <f t="shared" si="24"/>
        <v>106</v>
      </c>
      <c r="AF144" s="97">
        <f>IFERROR(VLOOKUP(AE144,[1]Cálculos_PRICE!$A$32:$K$212,10,0),"")</f>
        <v>16290.314011261738</v>
      </c>
      <c r="AG144" s="97">
        <f>IFERROR(VLOOKUP(AE144,'Cálculos_CGI - SAC FIXA'!A142:K534,10,0),"")</f>
        <v>2277.4953003122646</v>
      </c>
      <c r="AH144" s="97">
        <f>IFERROR(VLOOKUP(AE144,[1]Cálculos_PRICE!$A$32:$K$212,6,0),"")</f>
        <v>5272.1319004104844</v>
      </c>
      <c r="AI144" s="97">
        <f>IFERROR(VLOOKUP(AE144,'Cálculos_CGI - SAC FIXA'!A142:K534,6,0),"")</f>
        <v>555.55555555555554</v>
      </c>
      <c r="AJ144" s="97">
        <f>IFERROR(VLOOKUP(AE144,[1]Cálculos_PRICE!$A$32:$K$240,11,0),"")</f>
        <v>716866.43434743828</v>
      </c>
      <c r="AK144" s="97">
        <f>IFERROR(VLOOKUP(AE144,'Cálculos_CGI - SAC FIXA'!A142:K534,11,0),"")</f>
        <v>141111.11111111043</v>
      </c>
      <c r="AN144" s="157">
        <f t="shared" si="20"/>
        <v>73881.664444445138</v>
      </c>
      <c r="AO144" s="147" t="s">
        <v>225</v>
      </c>
      <c r="AP144" s="147" t="s">
        <v>119</v>
      </c>
      <c r="AQ144" s="148">
        <v>47303</v>
      </c>
      <c r="AR144" s="149">
        <v>215044.13</v>
      </c>
      <c r="AS144" s="150">
        <v>606.91</v>
      </c>
      <c r="AT144" s="150">
        <v>0</v>
      </c>
      <c r="AU144" s="149">
        <v>2774.07</v>
      </c>
      <c r="AV144" s="150">
        <v>69.459999999999994</v>
      </c>
      <c r="AW144" s="149">
        <v>3450.44</v>
      </c>
      <c r="AX144" s="151"/>
    </row>
    <row r="145" spans="1:50" ht="15.5" x14ac:dyDescent="0.35">
      <c r="A145" s="98">
        <f t="shared" si="36"/>
        <v>102</v>
      </c>
      <c r="B145" s="99">
        <f t="shared" ca="1" si="28"/>
        <v>49161</v>
      </c>
      <c r="C145" s="100">
        <f t="shared" si="25"/>
        <v>143888.88888888824</v>
      </c>
      <c r="D145" s="100">
        <f t="shared" si="29"/>
        <v>1568.3888888888819</v>
      </c>
      <c r="E145" s="100">
        <f t="shared" si="30"/>
        <v>145457.27777777711</v>
      </c>
      <c r="F145" s="100">
        <f t="shared" si="31"/>
        <v>555.55555555555554</v>
      </c>
      <c r="G145" s="100">
        <f t="shared" si="32"/>
        <v>2224.9119669789316</v>
      </c>
      <c r="H145" s="100">
        <f t="shared" si="33"/>
        <v>33.094444444444292</v>
      </c>
      <c r="I145" s="100">
        <f t="shared" si="26"/>
        <v>20</v>
      </c>
      <c r="J145" s="100">
        <f t="shared" si="34"/>
        <v>2278.006411423376</v>
      </c>
      <c r="K145" s="101">
        <f t="shared" si="35"/>
        <v>143333.33333333267</v>
      </c>
      <c r="O145" s="118">
        <f t="shared" si="37"/>
        <v>16.666666666666664</v>
      </c>
      <c r="P145" s="119">
        <f t="shared" ca="1" si="27"/>
        <v>31</v>
      </c>
      <c r="Q145" s="120">
        <v>365</v>
      </c>
      <c r="S145" s="123">
        <v>74</v>
      </c>
      <c r="T145" s="123">
        <v>6.4554E-3</v>
      </c>
      <c r="U145" s="123" t="s">
        <v>82</v>
      </c>
      <c r="AA145" s="96">
        <f t="shared" si="21"/>
        <v>107</v>
      </c>
      <c r="AB145" s="97">
        <f t="shared" si="22"/>
        <v>16289.141489127087</v>
      </c>
      <c r="AC145" s="97">
        <f t="shared" si="23"/>
        <v>2277.3675225344869</v>
      </c>
      <c r="AE145" s="96">
        <f t="shared" si="24"/>
        <v>107</v>
      </c>
      <c r="AF145" s="97">
        <f>IFERROR(VLOOKUP(AE145,[1]Cálculos_PRICE!$A$32:$K$212,10,0),"")</f>
        <v>16289.141489127087</v>
      </c>
      <c r="AG145" s="97">
        <f>IFERROR(VLOOKUP(AE145,'Cálculos_CGI - SAC FIXA'!A143:K535,10,0),"")</f>
        <v>2277.3675225344869</v>
      </c>
      <c r="AH145" s="97">
        <f>IFERROR(VLOOKUP(AE145,[1]Cálculos_PRICE!$A$32:$K$212,6,0),"")</f>
        <v>5351.213878916642</v>
      </c>
      <c r="AI145" s="97">
        <f>IFERROR(VLOOKUP(AE145,'Cálculos_CGI - SAC FIXA'!A143:K535,6,0),"")</f>
        <v>555.55555555555554</v>
      </c>
      <c r="AJ145" s="97">
        <f>IFERROR(VLOOKUP(AE145,[1]Cálculos_PRICE!$A$32:$K$240,11,0),"")</f>
        <v>711515.22046852158</v>
      </c>
      <c r="AK145" s="97">
        <f>IFERROR(VLOOKUP(AE145,'Cálculos_CGI - SAC FIXA'!A143:K535,11,0),"")</f>
        <v>140555.55555555486</v>
      </c>
      <c r="AN145" s="157">
        <f t="shared" si="20"/>
        <v>73822.480000000709</v>
      </c>
      <c r="AO145" s="152" t="s">
        <v>226</v>
      </c>
      <c r="AP145" s="152" t="s">
        <v>119</v>
      </c>
      <c r="AQ145" s="153">
        <v>47334</v>
      </c>
      <c r="AR145" s="154">
        <v>214437.22</v>
      </c>
      <c r="AS145" s="155">
        <v>614.74</v>
      </c>
      <c r="AT145" s="155">
        <v>0</v>
      </c>
      <c r="AU145" s="154">
        <v>2766.24</v>
      </c>
      <c r="AV145" s="155">
        <v>69.319999999999993</v>
      </c>
      <c r="AW145" s="154">
        <v>3450.3</v>
      </c>
      <c r="AX145" s="156"/>
    </row>
    <row r="146" spans="1:50" ht="15.5" x14ac:dyDescent="0.35">
      <c r="A146" s="98">
        <f t="shared" si="36"/>
        <v>103</v>
      </c>
      <c r="B146" s="99">
        <f t="shared" ca="1" si="28"/>
        <v>49192</v>
      </c>
      <c r="C146" s="100">
        <f t="shared" si="25"/>
        <v>143333.33333333267</v>
      </c>
      <c r="D146" s="100">
        <f t="shared" si="29"/>
        <v>1562.3333333333262</v>
      </c>
      <c r="E146" s="100">
        <f t="shared" si="30"/>
        <v>144895.66666666599</v>
      </c>
      <c r="F146" s="100">
        <f t="shared" si="31"/>
        <v>555.55555555555554</v>
      </c>
      <c r="G146" s="100">
        <f t="shared" si="32"/>
        <v>2224.9119669789316</v>
      </c>
      <c r="H146" s="100">
        <f t="shared" si="33"/>
        <v>32.966666666666519</v>
      </c>
      <c r="I146" s="100">
        <f t="shared" si="26"/>
        <v>20</v>
      </c>
      <c r="J146" s="100">
        <f t="shared" si="34"/>
        <v>2277.8786336455983</v>
      </c>
      <c r="K146" s="101">
        <f t="shared" si="35"/>
        <v>142777.77777777711</v>
      </c>
      <c r="O146" s="118">
        <f t="shared" si="37"/>
        <v>16.666666666666664</v>
      </c>
      <c r="P146" s="119">
        <f t="shared" ca="1" si="27"/>
        <v>31</v>
      </c>
      <c r="Q146" s="120">
        <v>365</v>
      </c>
      <c r="S146" s="123">
        <v>75</v>
      </c>
      <c r="T146" s="123">
        <v>6.4554E-3</v>
      </c>
      <c r="U146" s="123" t="s">
        <v>82</v>
      </c>
      <c r="AA146" s="96">
        <f t="shared" si="21"/>
        <v>108</v>
      </c>
      <c r="AB146" s="97">
        <f t="shared" si="22"/>
        <v>16287.951379160415</v>
      </c>
      <c r="AC146" s="97">
        <f t="shared" si="23"/>
        <v>2277.2397447567091</v>
      </c>
      <c r="AE146" s="96">
        <f t="shared" si="24"/>
        <v>108</v>
      </c>
      <c r="AF146" s="97">
        <f>IFERROR(VLOOKUP(AE146,[1]Cálculos_PRICE!$A$32:$K$212,10,0),"")</f>
        <v>16287.951379160415</v>
      </c>
      <c r="AG146" s="97">
        <f>IFERROR(VLOOKUP(AE146,'Cálculos_CGI - SAC FIXA'!A144:K536,10,0),"")</f>
        <v>2277.2397447567091</v>
      </c>
      <c r="AH146" s="97">
        <f>IFERROR(VLOOKUP(AE146,[1]Cálculos_PRICE!$A$32:$K$212,6,0),"")</f>
        <v>5431.482087100394</v>
      </c>
      <c r="AI146" s="97">
        <f>IFERROR(VLOOKUP(AE146,'Cálculos_CGI - SAC FIXA'!A144:K536,6,0),"")</f>
        <v>555.55555555555554</v>
      </c>
      <c r="AJ146" s="97">
        <f>IFERROR(VLOOKUP(AE146,[1]Cálculos_PRICE!$A$32:$K$240,11,0),"")</f>
        <v>706083.73838142119</v>
      </c>
      <c r="AK146" s="97">
        <f>IFERROR(VLOOKUP(AE146,'Cálculos_CGI - SAC FIXA'!A144:K536,11,0),"")</f>
        <v>139999.9999999993</v>
      </c>
      <c r="AN146" s="157">
        <f t="shared" si="20"/>
        <v>73755.365555556258</v>
      </c>
      <c r="AO146" s="147" t="s">
        <v>227</v>
      </c>
      <c r="AP146" s="147" t="s">
        <v>119</v>
      </c>
      <c r="AQ146" s="148">
        <v>47365</v>
      </c>
      <c r="AR146" s="149">
        <v>213822.48</v>
      </c>
      <c r="AS146" s="150">
        <v>622.66999999999996</v>
      </c>
      <c r="AT146" s="150">
        <v>0</v>
      </c>
      <c r="AU146" s="149">
        <v>2758.31</v>
      </c>
      <c r="AV146" s="150">
        <v>69.180000000000007</v>
      </c>
      <c r="AW146" s="149">
        <v>3450.16</v>
      </c>
      <c r="AX146" s="151"/>
    </row>
    <row r="147" spans="1:50" ht="15.5" x14ac:dyDescent="0.35">
      <c r="A147" s="98">
        <f t="shared" si="36"/>
        <v>104</v>
      </c>
      <c r="B147" s="99">
        <f t="shared" ca="1" si="28"/>
        <v>49222</v>
      </c>
      <c r="C147" s="100">
        <f t="shared" si="25"/>
        <v>142777.77777777711</v>
      </c>
      <c r="D147" s="100">
        <f t="shared" si="29"/>
        <v>1556.2777777777706</v>
      </c>
      <c r="E147" s="100">
        <f t="shared" si="30"/>
        <v>144334.05555555489</v>
      </c>
      <c r="F147" s="100">
        <f t="shared" si="31"/>
        <v>555.55555555555554</v>
      </c>
      <c r="G147" s="100">
        <f t="shared" si="32"/>
        <v>2224.9119669789316</v>
      </c>
      <c r="H147" s="100">
        <f t="shared" si="33"/>
        <v>32.838888888888739</v>
      </c>
      <c r="I147" s="100">
        <f t="shared" si="26"/>
        <v>20</v>
      </c>
      <c r="J147" s="100">
        <f t="shared" si="34"/>
        <v>2277.7508558678205</v>
      </c>
      <c r="K147" s="101">
        <f t="shared" si="35"/>
        <v>142222.22222222155</v>
      </c>
      <c r="O147" s="118">
        <f t="shared" si="37"/>
        <v>16.666666666666664</v>
      </c>
      <c r="P147" s="119">
        <f t="shared" ca="1" si="27"/>
        <v>30</v>
      </c>
      <c r="Q147" s="120">
        <v>365</v>
      </c>
      <c r="S147" s="123">
        <v>76</v>
      </c>
      <c r="T147" s="123">
        <v>1.1433E-2</v>
      </c>
      <c r="U147" s="123" t="s">
        <v>83</v>
      </c>
      <c r="AA147" s="96">
        <f t="shared" si="21"/>
        <v>109</v>
      </c>
      <c r="AB147" s="97">
        <f t="shared" si="22"/>
        <v>16286.743417544245</v>
      </c>
      <c r="AC147" s="97">
        <f t="shared" si="23"/>
        <v>2277.1119669789314</v>
      </c>
      <c r="AE147" s="96">
        <f t="shared" si="24"/>
        <v>109</v>
      </c>
      <c r="AF147" s="97">
        <f>IFERROR(VLOOKUP(AE147,[1]Cálculos_PRICE!$A$32:$K$212,10,0),"")</f>
        <v>16286.743417544245</v>
      </c>
      <c r="AG147" s="97">
        <f>IFERROR(VLOOKUP(AE147,'Cálculos_CGI - SAC FIXA'!A145:K537,10,0),"")</f>
        <v>2277.1119669789314</v>
      </c>
      <c r="AH147" s="97">
        <f>IFERROR(VLOOKUP(AE147,[1]Cálculos_PRICE!$A$32:$K$212,6,0),"")</f>
        <v>5512.9543184068989</v>
      </c>
      <c r="AI147" s="97">
        <f>IFERROR(VLOOKUP(AE147,'Cálculos_CGI - SAC FIXA'!A145:K537,6,0),"")</f>
        <v>555.55555555555554</v>
      </c>
      <c r="AJ147" s="97">
        <f>IFERROR(VLOOKUP(AE147,[1]Cálculos_PRICE!$A$32:$K$240,11,0),"")</f>
        <v>700570.78406301432</v>
      </c>
      <c r="AK147" s="97">
        <f>IFERROR(VLOOKUP(AE147,'Cálculos_CGI - SAC FIXA'!A145:K537,11,0),"")</f>
        <v>139444.44444444374</v>
      </c>
      <c r="AN147" s="157">
        <f t="shared" si="20"/>
        <v>73680.221111111809</v>
      </c>
      <c r="AO147" s="152" t="s">
        <v>228</v>
      </c>
      <c r="AP147" s="152" t="s">
        <v>119</v>
      </c>
      <c r="AQ147" s="153">
        <v>47395</v>
      </c>
      <c r="AR147" s="154">
        <v>213199.81</v>
      </c>
      <c r="AS147" s="155">
        <v>630.70000000000005</v>
      </c>
      <c r="AT147" s="155">
        <v>0</v>
      </c>
      <c r="AU147" s="154">
        <v>2750.28</v>
      </c>
      <c r="AV147" s="155">
        <v>69.040000000000006</v>
      </c>
      <c r="AW147" s="154">
        <v>3450.02</v>
      </c>
      <c r="AX147" s="156"/>
    </row>
    <row r="148" spans="1:50" ht="15.5" x14ac:dyDescent="0.35">
      <c r="A148" s="98">
        <f t="shared" si="36"/>
        <v>105</v>
      </c>
      <c r="B148" s="99">
        <f t="shared" ca="1" si="28"/>
        <v>49253</v>
      </c>
      <c r="C148" s="100">
        <f t="shared" si="25"/>
        <v>142222.22222222155</v>
      </c>
      <c r="D148" s="100">
        <f t="shared" si="29"/>
        <v>1550.2222222222149</v>
      </c>
      <c r="E148" s="100">
        <f t="shared" si="30"/>
        <v>143772.44444444377</v>
      </c>
      <c r="F148" s="100">
        <f t="shared" si="31"/>
        <v>555.55555555555554</v>
      </c>
      <c r="G148" s="100">
        <f t="shared" si="32"/>
        <v>2224.9119669789316</v>
      </c>
      <c r="H148" s="100">
        <f t="shared" si="33"/>
        <v>32.711111111110959</v>
      </c>
      <c r="I148" s="100">
        <f t="shared" si="26"/>
        <v>20</v>
      </c>
      <c r="J148" s="100">
        <f t="shared" si="34"/>
        <v>2277.6230780900423</v>
      </c>
      <c r="K148" s="101">
        <f t="shared" si="35"/>
        <v>141666.66666666599</v>
      </c>
      <c r="O148" s="118">
        <f t="shared" si="37"/>
        <v>16.666666666666664</v>
      </c>
      <c r="P148" s="119">
        <f t="shared" ca="1" si="27"/>
        <v>31</v>
      </c>
      <c r="Q148" s="120">
        <v>365</v>
      </c>
      <c r="S148" s="123">
        <v>77</v>
      </c>
      <c r="T148" s="123">
        <v>1.1433E-2</v>
      </c>
      <c r="U148" s="123" t="s">
        <v>83</v>
      </c>
      <c r="AA148" s="96">
        <f t="shared" si="21"/>
        <v>110</v>
      </c>
      <c r="AB148" s="97">
        <f t="shared" si="22"/>
        <v>16285.517336503832</v>
      </c>
      <c r="AC148" s="97">
        <f t="shared" si="23"/>
        <v>2276.9841892011536</v>
      </c>
      <c r="AE148" s="96">
        <f t="shared" si="24"/>
        <v>110</v>
      </c>
      <c r="AF148" s="97">
        <f>IFERROR(VLOOKUP(AE148,[1]Cálculos_PRICE!$A$32:$K$212,10,0),"")</f>
        <v>16285.517336503832</v>
      </c>
      <c r="AG148" s="97">
        <f>IFERROR(VLOOKUP(AE148,'Cálculos_CGI - SAC FIXA'!A146:K538,10,0),"")</f>
        <v>2276.9841892011536</v>
      </c>
      <c r="AH148" s="97">
        <f>IFERROR(VLOOKUP(AE148,[1]Cálculos_PRICE!$A$32:$K$212,6,0),"")</f>
        <v>5595.6486331830019</v>
      </c>
      <c r="AI148" s="97">
        <f>IFERROR(VLOOKUP(AE148,'Cálculos_CGI - SAC FIXA'!A146:K538,6,0),"")</f>
        <v>555.55555555555554</v>
      </c>
      <c r="AJ148" s="97">
        <f>IFERROR(VLOOKUP(AE148,[1]Cálculos_PRICE!$A$32:$K$240,11,0),"")</f>
        <v>694975.13542983134</v>
      </c>
      <c r="AK148" s="97">
        <f>IFERROR(VLOOKUP(AE148,'Cálculos_CGI - SAC FIXA'!A146:K538,11,0),"")</f>
        <v>138888.88888888818</v>
      </c>
      <c r="AN148" s="157">
        <f t="shared" si="20"/>
        <v>73596.936666667374</v>
      </c>
      <c r="AO148" s="147" t="s">
        <v>229</v>
      </c>
      <c r="AP148" s="147" t="s">
        <v>119</v>
      </c>
      <c r="AQ148" s="148">
        <v>47426</v>
      </c>
      <c r="AR148" s="149">
        <v>212569.11</v>
      </c>
      <c r="AS148" s="150">
        <v>638.84</v>
      </c>
      <c r="AT148" s="150">
        <v>0</v>
      </c>
      <c r="AU148" s="149">
        <v>2742.14</v>
      </c>
      <c r="AV148" s="150">
        <v>68.89</v>
      </c>
      <c r="AW148" s="149">
        <v>3449.87</v>
      </c>
      <c r="AX148" s="151"/>
    </row>
    <row r="149" spans="1:50" ht="15.5" x14ac:dyDescent="0.35">
      <c r="A149" s="98">
        <f t="shared" si="36"/>
        <v>106</v>
      </c>
      <c r="B149" s="99">
        <f t="shared" ca="1" si="28"/>
        <v>49283</v>
      </c>
      <c r="C149" s="100">
        <f t="shared" si="25"/>
        <v>141666.66666666599</v>
      </c>
      <c r="D149" s="100">
        <f t="shared" si="29"/>
        <v>1544.1666666666592</v>
      </c>
      <c r="E149" s="100">
        <f t="shared" si="30"/>
        <v>143210.83333333264</v>
      </c>
      <c r="F149" s="100">
        <f t="shared" si="31"/>
        <v>555.55555555555554</v>
      </c>
      <c r="G149" s="100">
        <f t="shared" si="32"/>
        <v>2224.9119669789316</v>
      </c>
      <c r="H149" s="100">
        <f t="shared" si="33"/>
        <v>32.583333333333179</v>
      </c>
      <c r="I149" s="100">
        <f t="shared" si="26"/>
        <v>20</v>
      </c>
      <c r="J149" s="100">
        <f t="shared" si="34"/>
        <v>2277.4953003122646</v>
      </c>
      <c r="K149" s="101">
        <f t="shared" si="35"/>
        <v>141111.11111111043</v>
      </c>
      <c r="O149" s="118">
        <f t="shared" si="37"/>
        <v>16.666666666666664</v>
      </c>
      <c r="P149" s="119">
        <f t="shared" ca="1" si="27"/>
        <v>30</v>
      </c>
      <c r="Q149" s="120">
        <v>365</v>
      </c>
      <c r="S149" s="123">
        <v>78</v>
      </c>
      <c r="T149" s="123">
        <v>1.1433E-2</v>
      </c>
      <c r="U149" s="123" t="s">
        <v>83</v>
      </c>
      <c r="AA149" s="96">
        <f t="shared" si="21"/>
        <v>111</v>
      </c>
      <c r="AB149" s="97">
        <f t="shared" si="22"/>
        <v>16284.272864247811</v>
      </c>
      <c r="AC149" s="97">
        <f t="shared" si="23"/>
        <v>2276.8564114233759</v>
      </c>
      <c r="AE149" s="96">
        <f t="shared" si="24"/>
        <v>111</v>
      </c>
      <c r="AF149" s="97">
        <f>IFERROR(VLOOKUP(AE149,[1]Cálculos_PRICE!$A$32:$K$212,10,0),"")</f>
        <v>16284.272864247811</v>
      </c>
      <c r="AG149" s="97">
        <f>IFERROR(VLOOKUP(AE149,'Cálculos_CGI - SAC FIXA'!A147:K539,10,0),"")</f>
        <v>2276.8564114233759</v>
      </c>
      <c r="AH149" s="97">
        <f>IFERROR(VLOOKUP(AE149,[1]Cálculos_PRICE!$A$32:$K$212,6,0),"")</f>
        <v>5679.5833626807471</v>
      </c>
      <c r="AI149" s="97">
        <f>IFERROR(VLOOKUP(AE149,'Cálculos_CGI - SAC FIXA'!A147:K539,6,0),"")</f>
        <v>555.55555555555554</v>
      </c>
      <c r="AJ149" s="97">
        <f>IFERROR(VLOOKUP(AE149,[1]Cálculos_PRICE!$A$32:$K$240,11,0),"")</f>
        <v>689295.55206715059</v>
      </c>
      <c r="AK149" s="97">
        <f>IFERROR(VLOOKUP(AE149,'Cálculos_CGI - SAC FIXA'!A147:K539,11,0),"")</f>
        <v>138333.33333333262</v>
      </c>
      <c r="AN149" s="157">
        <f t="shared" si="20"/>
        <v>73505.412222222949</v>
      </c>
      <c r="AO149" s="152" t="s">
        <v>230</v>
      </c>
      <c r="AP149" s="152" t="s">
        <v>119</v>
      </c>
      <c r="AQ149" s="153">
        <v>47456</v>
      </c>
      <c r="AR149" s="154">
        <v>211930.27</v>
      </c>
      <c r="AS149" s="155">
        <v>647.08000000000004</v>
      </c>
      <c r="AT149" s="155">
        <v>0</v>
      </c>
      <c r="AU149" s="154">
        <v>2733.9</v>
      </c>
      <c r="AV149" s="155">
        <v>68.739999999999995</v>
      </c>
      <c r="AW149" s="154">
        <v>3449.72</v>
      </c>
      <c r="AX149" s="156"/>
    </row>
    <row r="150" spans="1:50" ht="15.5" x14ac:dyDescent="0.35">
      <c r="A150" s="98">
        <f t="shared" si="36"/>
        <v>107</v>
      </c>
      <c r="B150" s="99">
        <f t="shared" ca="1" si="28"/>
        <v>49314</v>
      </c>
      <c r="C150" s="100">
        <f t="shared" si="25"/>
        <v>141111.11111111043</v>
      </c>
      <c r="D150" s="100">
        <f t="shared" si="29"/>
        <v>1538.1111111111036</v>
      </c>
      <c r="E150" s="100">
        <f t="shared" si="30"/>
        <v>142649.22222222152</v>
      </c>
      <c r="F150" s="100">
        <f t="shared" si="31"/>
        <v>555.55555555555554</v>
      </c>
      <c r="G150" s="100">
        <f t="shared" si="32"/>
        <v>2224.9119669789316</v>
      </c>
      <c r="H150" s="100">
        <f t="shared" si="33"/>
        <v>32.455555555555399</v>
      </c>
      <c r="I150" s="100">
        <f t="shared" si="26"/>
        <v>20</v>
      </c>
      <c r="J150" s="100">
        <f t="shared" si="34"/>
        <v>2277.3675225344869</v>
      </c>
      <c r="K150" s="101">
        <f t="shared" si="35"/>
        <v>140555.55555555486</v>
      </c>
      <c r="O150" s="118">
        <f t="shared" si="37"/>
        <v>16.666666666666664</v>
      </c>
      <c r="P150" s="119">
        <f t="shared" ca="1" si="27"/>
        <v>31</v>
      </c>
      <c r="Q150" s="120">
        <v>365</v>
      </c>
      <c r="S150" s="123">
        <v>79</v>
      </c>
      <c r="T150" s="123">
        <v>1.1433E-2</v>
      </c>
      <c r="U150" s="123" t="s">
        <v>83</v>
      </c>
      <c r="AA150" s="96">
        <f t="shared" si="21"/>
        <v>112</v>
      </c>
      <c r="AB150" s="97">
        <f t="shared" si="22"/>
        <v>16283.009724907952</v>
      </c>
      <c r="AC150" s="97">
        <f t="shared" si="23"/>
        <v>2276.7286336455982</v>
      </c>
      <c r="AE150" s="96">
        <f t="shared" si="24"/>
        <v>112</v>
      </c>
      <c r="AF150" s="97">
        <f>IFERROR(VLOOKUP(AE150,[1]Cálculos_PRICE!$A$32:$K$212,10,0),"")</f>
        <v>16283.009724907952</v>
      </c>
      <c r="AG150" s="97">
        <f>IFERROR(VLOOKUP(AE150,'Cálculos_CGI - SAC FIXA'!A148:K540,10,0),"")</f>
        <v>2276.7286336455982</v>
      </c>
      <c r="AH150" s="97">
        <f>IFERROR(VLOOKUP(AE150,[1]Cálculos_PRICE!$A$32:$K$212,6,0),"")</f>
        <v>5764.7771131209574</v>
      </c>
      <c r="AI150" s="97">
        <f>IFERROR(VLOOKUP(AE150,'Cálculos_CGI - SAC FIXA'!A148:K540,6,0),"")</f>
        <v>555.55555555555554</v>
      </c>
      <c r="AJ150" s="97">
        <f>IFERROR(VLOOKUP(AE150,[1]Cálculos_PRICE!$A$32:$K$240,11,0),"")</f>
        <v>683530.77495402959</v>
      </c>
      <c r="AK150" s="97">
        <f>IFERROR(VLOOKUP(AE150,'Cálculos_CGI - SAC FIXA'!A148:K540,11,0),"")</f>
        <v>137777.77777777705</v>
      </c>
      <c r="AN150" s="157">
        <f t="shared" si="20"/>
        <v>73405.537777778518</v>
      </c>
      <c r="AO150" s="147" t="s">
        <v>231</v>
      </c>
      <c r="AP150" s="147" t="s">
        <v>119</v>
      </c>
      <c r="AQ150" s="148">
        <v>47487</v>
      </c>
      <c r="AR150" s="149">
        <v>211283.19</v>
      </c>
      <c r="AS150" s="150">
        <v>655.43</v>
      </c>
      <c r="AT150" s="150">
        <v>0</v>
      </c>
      <c r="AU150" s="149">
        <v>2725.55</v>
      </c>
      <c r="AV150" s="150">
        <v>68.599999999999994</v>
      </c>
      <c r="AW150" s="149">
        <v>3449.58</v>
      </c>
      <c r="AX150" s="151"/>
    </row>
    <row r="151" spans="1:50" ht="15.5" x14ac:dyDescent="0.35">
      <c r="A151" s="98">
        <f t="shared" si="36"/>
        <v>108</v>
      </c>
      <c r="B151" s="99">
        <f t="shared" ca="1" si="28"/>
        <v>49345</v>
      </c>
      <c r="C151" s="100">
        <f t="shared" si="25"/>
        <v>140555.55555555486</v>
      </c>
      <c r="D151" s="100">
        <f t="shared" si="29"/>
        <v>1532.0555555555479</v>
      </c>
      <c r="E151" s="100">
        <f t="shared" si="30"/>
        <v>142087.61111111043</v>
      </c>
      <c r="F151" s="100">
        <f t="shared" si="31"/>
        <v>555.55555555555554</v>
      </c>
      <c r="G151" s="100">
        <f t="shared" si="32"/>
        <v>2224.9119669789316</v>
      </c>
      <c r="H151" s="100">
        <f t="shared" si="33"/>
        <v>32.327777777777619</v>
      </c>
      <c r="I151" s="100">
        <f t="shared" si="26"/>
        <v>20</v>
      </c>
      <c r="J151" s="100">
        <f t="shared" si="34"/>
        <v>2277.2397447567091</v>
      </c>
      <c r="K151" s="101">
        <f t="shared" si="35"/>
        <v>139999.9999999993</v>
      </c>
      <c r="O151" s="118">
        <f t="shared" si="37"/>
        <v>16.666666666666664</v>
      </c>
      <c r="P151" s="119">
        <f t="shared" ca="1" si="27"/>
        <v>31</v>
      </c>
      <c r="Q151" s="120">
        <v>365</v>
      </c>
      <c r="S151" s="123">
        <v>80</v>
      </c>
      <c r="T151" s="123">
        <v>1.1433E-2</v>
      </c>
      <c r="U151" s="123" t="s">
        <v>83</v>
      </c>
      <c r="AA151" s="96">
        <f t="shared" si="21"/>
        <v>113</v>
      </c>
      <c r="AB151" s="97">
        <f t="shared" si="22"/>
        <v>16281.727638477993</v>
      </c>
      <c r="AC151" s="97">
        <f t="shared" si="23"/>
        <v>2276.6008558678204</v>
      </c>
      <c r="AE151" s="96">
        <f t="shared" si="24"/>
        <v>113</v>
      </c>
      <c r="AF151" s="97">
        <f>IFERROR(VLOOKUP(AE151,[1]Cálculos_PRICE!$A$32:$K$212,10,0),"")</f>
        <v>16281.727638477993</v>
      </c>
      <c r="AG151" s="97">
        <f>IFERROR(VLOOKUP(AE151,'Cálculos_CGI - SAC FIXA'!A149:K541,10,0),"")</f>
        <v>2276.6008558678204</v>
      </c>
      <c r="AH151" s="97">
        <f>IFERROR(VLOOKUP(AE151,[1]Cálculos_PRICE!$A$32:$K$212,6,0),"")</f>
        <v>5851.2487698177738</v>
      </c>
      <c r="AI151" s="97">
        <f>IFERROR(VLOOKUP(AE151,'Cálculos_CGI - SAC FIXA'!A149:K541,6,0),"")</f>
        <v>555.55555555555554</v>
      </c>
      <c r="AJ151" s="97">
        <f>IFERROR(VLOOKUP(AE151,[1]Cálculos_PRICE!$A$32:$K$240,11,0),"")</f>
        <v>677679.52618421183</v>
      </c>
      <c r="AK151" s="97">
        <f>IFERROR(VLOOKUP(AE151,'Cálculos_CGI - SAC FIXA'!A149:K541,11,0),"")</f>
        <v>137222.22222222149</v>
      </c>
      <c r="AN151" s="157">
        <f t="shared" si="20"/>
        <v>73297.213333334075</v>
      </c>
      <c r="AO151" s="152" t="s">
        <v>232</v>
      </c>
      <c r="AP151" s="152" t="s">
        <v>119</v>
      </c>
      <c r="AQ151" s="153">
        <v>47518</v>
      </c>
      <c r="AR151" s="154">
        <v>210627.76</v>
      </c>
      <c r="AS151" s="155">
        <v>663.88</v>
      </c>
      <c r="AT151" s="155">
        <v>0</v>
      </c>
      <c r="AU151" s="154">
        <v>2717.1</v>
      </c>
      <c r="AV151" s="155">
        <v>68.44</v>
      </c>
      <c r="AW151" s="154">
        <v>3449.42</v>
      </c>
      <c r="AX151" s="156"/>
    </row>
    <row r="152" spans="1:50" ht="15.5" x14ac:dyDescent="0.35">
      <c r="A152" s="98">
        <f t="shared" si="36"/>
        <v>109</v>
      </c>
      <c r="B152" s="99">
        <f t="shared" ca="1" si="28"/>
        <v>49373</v>
      </c>
      <c r="C152" s="100">
        <f t="shared" si="25"/>
        <v>139999.9999999993</v>
      </c>
      <c r="D152" s="100">
        <f t="shared" si="29"/>
        <v>1525.9999999999923</v>
      </c>
      <c r="E152" s="100">
        <f t="shared" si="30"/>
        <v>141525.9999999993</v>
      </c>
      <c r="F152" s="100">
        <f t="shared" si="31"/>
        <v>555.55555555555554</v>
      </c>
      <c r="G152" s="100">
        <f t="shared" si="32"/>
        <v>2224.9119669789316</v>
      </c>
      <c r="H152" s="100">
        <f t="shared" si="33"/>
        <v>32.199999999999839</v>
      </c>
      <c r="I152" s="100">
        <f t="shared" si="26"/>
        <v>20</v>
      </c>
      <c r="J152" s="100">
        <f t="shared" si="34"/>
        <v>2277.1119669789314</v>
      </c>
      <c r="K152" s="101">
        <f t="shared" si="35"/>
        <v>139444.44444444374</v>
      </c>
      <c r="O152" s="118">
        <f t="shared" si="37"/>
        <v>16.666666666666664</v>
      </c>
      <c r="P152" s="119">
        <f t="shared" ca="1" si="27"/>
        <v>28</v>
      </c>
      <c r="Q152" s="120">
        <v>365</v>
      </c>
      <c r="AA152" s="96">
        <f t="shared" si="21"/>
        <v>114</v>
      </c>
      <c r="AB152" s="97">
        <f t="shared" si="22"/>
        <v>16280.426320751585</v>
      </c>
      <c r="AC152" s="97">
        <f t="shared" si="23"/>
        <v>2276.4730780900427</v>
      </c>
      <c r="AE152" s="96">
        <f t="shared" si="24"/>
        <v>114</v>
      </c>
      <c r="AF152" s="97">
        <f>IFERROR(VLOOKUP(AE152,[1]Cálculos_PRICE!$A$32:$K$212,10,0),"")</f>
        <v>16280.426320751585</v>
      </c>
      <c r="AG152" s="97">
        <f>IFERROR(VLOOKUP(AE152,'Cálculos_CGI - SAC FIXA'!A150:K542,10,0),"")</f>
        <v>2276.4730780900427</v>
      </c>
      <c r="AH152" s="97">
        <f>IFERROR(VLOOKUP(AE152,[1]Cálculos_PRICE!$A$32:$K$212,6,0),"")</f>
        <v>5939.0175013650387</v>
      </c>
      <c r="AI152" s="97">
        <f>IFERROR(VLOOKUP(AE152,'Cálculos_CGI - SAC FIXA'!A150:K542,6,0),"")</f>
        <v>555.55555555555554</v>
      </c>
      <c r="AJ152" s="97">
        <f>IFERROR(VLOOKUP(AE152,[1]Cálculos_PRICE!$A$32:$K$240,11,0),"")</f>
        <v>671740.50868284679</v>
      </c>
      <c r="AK152" s="97">
        <f>IFERROR(VLOOKUP(AE152,'Cálculos_CGI - SAC FIXA'!A150:K542,11,0),"")</f>
        <v>136666.66666666593</v>
      </c>
      <c r="AN152" s="157">
        <f t="shared" si="20"/>
        <v>73180.318888889626</v>
      </c>
      <c r="AO152" s="147" t="s">
        <v>233</v>
      </c>
      <c r="AP152" s="147" t="s">
        <v>119</v>
      </c>
      <c r="AQ152" s="148">
        <v>47546</v>
      </c>
      <c r="AR152" s="149">
        <v>209963.88</v>
      </c>
      <c r="AS152" s="150">
        <v>672.45</v>
      </c>
      <c r="AT152" s="150">
        <v>0</v>
      </c>
      <c r="AU152" s="149">
        <v>2708.53</v>
      </c>
      <c r="AV152" s="150">
        <v>68.290000000000006</v>
      </c>
      <c r="AW152" s="149">
        <v>3449.27</v>
      </c>
      <c r="AX152" s="151"/>
    </row>
    <row r="153" spans="1:50" ht="15.5" x14ac:dyDescent="0.35">
      <c r="A153" s="98">
        <f t="shared" si="36"/>
        <v>110</v>
      </c>
      <c r="B153" s="99">
        <f t="shared" ca="1" si="28"/>
        <v>49404</v>
      </c>
      <c r="C153" s="100">
        <f t="shared" si="25"/>
        <v>139444.44444444374</v>
      </c>
      <c r="D153" s="100">
        <f t="shared" si="29"/>
        <v>1519.9444444444368</v>
      </c>
      <c r="E153" s="100">
        <f t="shared" si="30"/>
        <v>140964.38888888818</v>
      </c>
      <c r="F153" s="100">
        <f t="shared" si="31"/>
        <v>555.55555555555554</v>
      </c>
      <c r="G153" s="100">
        <f t="shared" si="32"/>
        <v>2224.9119669789316</v>
      </c>
      <c r="H153" s="100">
        <f t="shared" si="33"/>
        <v>32.072222222222059</v>
      </c>
      <c r="I153" s="100">
        <f t="shared" si="26"/>
        <v>20</v>
      </c>
      <c r="J153" s="100">
        <f t="shared" si="34"/>
        <v>2276.9841892011536</v>
      </c>
      <c r="K153" s="101">
        <f t="shared" si="35"/>
        <v>138888.88888888818</v>
      </c>
      <c r="O153" s="118">
        <f t="shared" si="37"/>
        <v>16.666666666666664</v>
      </c>
      <c r="P153" s="119">
        <f t="shared" ca="1" si="27"/>
        <v>31</v>
      </c>
      <c r="Q153" s="120">
        <v>365</v>
      </c>
      <c r="AA153" s="96">
        <f t="shared" si="21"/>
        <v>115</v>
      </c>
      <c r="AB153" s="97">
        <f t="shared" si="22"/>
        <v>16279.105483259282</v>
      </c>
      <c r="AC153" s="97">
        <f t="shared" si="23"/>
        <v>2276.345300312265</v>
      </c>
      <c r="AE153" s="96">
        <f t="shared" si="24"/>
        <v>115</v>
      </c>
      <c r="AF153" s="97">
        <f>IFERROR(VLOOKUP(AE153,[1]Cálculos_PRICE!$A$32:$K$212,10,0),"")</f>
        <v>16279.105483259282</v>
      </c>
      <c r="AG153" s="97">
        <f>IFERROR(VLOOKUP(AE153,'Cálculos_CGI - SAC FIXA'!A151:K543,10,0),"")</f>
        <v>2276.345300312265</v>
      </c>
      <c r="AH153" s="97">
        <f>IFERROR(VLOOKUP(AE153,[1]Cálculos_PRICE!$A$32:$K$212,6,0),"")</f>
        <v>6028.1027638855157</v>
      </c>
      <c r="AI153" s="97">
        <f>IFERROR(VLOOKUP(AE153,'Cálculos_CGI - SAC FIXA'!A151:K543,6,0),"")</f>
        <v>555.55555555555554</v>
      </c>
      <c r="AJ153" s="97">
        <f>IFERROR(VLOOKUP(AE153,[1]Cálculos_PRICE!$A$32:$K$240,11,0),"")</f>
        <v>665712.40591896127</v>
      </c>
      <c r="AK153" s="97">
        <f>IFERROR(VLOOKUP(AE153,'Cálculos_CGI - SAC FIXA'!A151:K543,11,0),"")</f>
        <v>136111.11111111037</v>
      </c>
      <c r="AN153" s="157">
        <f t="shared" si="20"/>
        <v>73054.754444445192</v>
      </c>
      <c r="AO153" s="152" t="s">
        <v>234</v>
      </c>
      <c r="AP153" s="152" t="s">
        <v>119</v>
      </c>
      <c r="AQ153" s="153">
        <v>47577</v>
      </c>
      <c r="AR153" s="154">
        <v>209291.43</v>
      </c>
      <c r="AS153" s="155">
        <v>681.12</v>
      </c>
      <c r="AT153" s="155">
        <v>0</v>
      </c>
      <c r="AU153" s="154">
        <v>2699.86</v>
      </c>
      <c r="AV153" s="155">
        <v>68.14</v>
      </c>
      <c r="AW153" s="154">
        <v>3449.12</v>
      </c>
      <c r="AX153" s="156"/>
    </row>
    <row r="154" spans="1:50" ht="15.5" x14ac:dyDescent="0.35">
      <c r="A154" s="98">
        <f t="shared" si="36"/>
        <v>111</v>
      </c>
      <c r="B154" s="99">
        <f t="shared" ca="1" si="28"/>
        <v>49434</v>
      </c>
      <c r="C154" s="100">
        <f t="shared" si="25"/>
        <v>138888.88888888818</v>
      </c>
      <c r="D154" s="100">
        <f t="shared" si="29"/>
        <v>1513.8888888888812</v>
      </c>
      <c r="E154" s="100">
        <f t="shared" si="30"/>
        <v>140402.77777777705</v>
      </c>
      <c r="F154" s="100">
        <f t="shared" si="31"/>
        <v>555.55555555555554</v>
      </c>
      <c r="G154" s="100">
        <f t="shared" si="32"/>
        <v>2224.9119669789316</v>
      </c>
      <c r="H154" s="100">
        <f t="shared" si="33"/>
        <v>31.944444444444283</v>
      </c>
      <c r="I154" s="100">
        <f t="shared" si="26"/>
        <v>20</v>
      </c>
      <c r="J154" s="100">
        <f t="shared" si="34"/>
        <v>2276.8564114233759</v>
      </c>
      <c r="K154" s="101">
        <f t="shared" si="35"/>
        <v>138333.33333333262</v>
      </c>
      <c r="O154" s="118">
        <f t="shared" si="37"/>
        <v>16.666666666666664</v>
      </c>
      <c r="P154" s="119">
        <f t="shared" ca="1" si="27"/>
        <v>30</v>
      </c>
      <c r="Q154" s="120">
        <v>365</v>
      </c>
      <c r="AA154" s="96">
        <f t="shared" si="21"/>
        <v>116</v>
      </c>
      <c r="AB154" s="97">
        <f t="shared" si="22"/>
        <v>16277.764833204594</v>
      </c>
      <c r="AC154" s="97">
        <f t="shared" si="23"/>
        <v>2276.2175225344868</v>
      </c>
      <c r="AE154" s="96">
        <f t="shared" si="24"/>
        <v>116</v>
      </c>
      <c r="AF154" s="97">
        <f>IFERROR(VLOOKUP(AE154,[1]Cálculos_PRICE!$A$32:$K$212,10,0),"")</f>
        <v>16277.764833204594</v>
      </c>
      <c r="AG154" s="97">
        <f>IFERROR(VLOOKUP(AE154,'Cálculos_CGI - SAC FIXA'!A152:K544,10,0),"")</f>
        <v>2276.2175225344868</v>
      </c>
      <c r="AH154" s="97">
        <f>IFERROR(VLOOKUP(AE154,[1]Cálculos_PRICE!$A$32:$K$212,6,0),"")</f>
        <v>6118.5243053437971</v>
      </c>
      <c r="AI154" s="97">
        <f>IFERROR(VLOOKUP(AE154,'Cálculos_CGI - SAC FIXA'!A152:K544,6,0),"")</f>
        <v>555.55555555555554</v>
      </c>
      <c r="AJ154" s="97">
        <f>IFERROR(VLOOKUP(AE154,[1]Cálculos_PRICE!$A$32:$K$240,11,0),"")</f>
        <v>659593.88161361753</v>
      </c>
      <c r="AK154" s="97">
        <f>IFERROR(VLOOKUP(AE154,'Cálculos_CGI - SAC FIXA'!A152:K544,11,0),"")</f>
        <v>135555.55555555481</v>
      </c>
      <c r="AN154" s="157">
        <f t="shared" si="20"/>
        <v>72920.400000000751</v>
      </c>
      <c r="AO154" s="147" t="s">
        <v>235</v>
      </c>
      <c r="AP154" s="147" t="s">
        <v>119</v>
      </c>
      <c r="AQ154" s="148">
        <v>47607</v>
      </c>
      <c r="AR154" s="149">
        <v>208610.31</v>
      </c>
      <c r="AS154" s="150">
        <v>689.91</v>
      </c>
      <c r="AT154" s="150">
        <v>0</v>
      </c>
      <c r="AU154" s="149">
        <v>2691.07</v>
      </c>
      <c r="AV154" s="150">
        <v>67.98</v>
      </c>
      <c r="AW154" s="149">
        <v>3448.96</v>
      </c>
      <c r="AX154" s="151"/>
    </row>
    <row r="155" spans="1:50" ht="15.5" x14ac:dyDescent="0.35">
      <c r="A155" s="98">
        <f t="shared" si="36"/>
        <v>112</v>
      </c>
      <c r="B155" s="99">
        <f t="shared" ca="1" si="28"/>
        <v>49465</v>
      </c>
      <c r="C155" s="100">
        <f t="shared" si="25"/>
        <v>138333.33333333262</v>
      </c>
      <c r="D155" s="100">
        <f t="shared" si="29"/>
        <v>1507.8333333333255</v>
      </c>
      <c r="E155" s="100">
        <f t="shared" si="30"/>
        <v>139841.16666666593</v>
      </c>
      <c r="F155" s="100">
        <f t="shared" si="31"/>
        <v>555.55555555555554</v>
      </c>
      <c r="G155" s="100">
        <f t="shared" si="32"/>
        <v>2224.9119669789316</v>
      </c>
      <c r="H155" s="100">
        <f t="shared" si="33"/>
        <v>31.816666666666503</v>
      </c>
      <c r="I155" s="100">
        <f t="shared" si="26"/>
        <v>20</v>
      </c>
      <c r="J155" s="100">
        <f t="shared" si="34"/>
        <v>2276.7286336455982</v>
      </c>
      <c r="K155" s="101">
        <f t="shared" si="35"/>
        <v>137777.77777777705</v>
      </c>
      <c r="O155" s="118">
        <f t="shared" si="37"/>
        <v>16.666666666666664</v>
      </c>
      <c r="P155" s="119">
        <f t="shared" ca="1" si="27"/>
        <v>31</v>
      </c>
      <c r="Q155" s="120">
        <v>365</v>
      </c>
      <c r="AA155" s="96">
        <f t="shared" si="21"/>
        <v>117</v>
      </c>
      <c r="AB155" s="97">
        <f t="shared" si="22"/>
        <v>16276.404073399086</v>
      </c>
      <c r="AC155" s="97">
        <f t="shared" si="23"/>
        <v>2276.089744756709</v>
      </c>
      <c r="AE155" s="96">
        <f t="shared" si="24"/>
        <v>117</v>
      </c>
      <c r="AF155" s="97">
        <f>IFERROR(VLOOKUP(AE155,[1]Cálculos_PRICE!$A$32:$K$212,10,0),"")</f>
        <v>16276.404073399086</v>
      </c>
      <c r="AG155" s="97">
        <f>IFERROR(VLOOKUP(AE155,'Cálculos_CGI - SAC FIXA'!A153:K545,10,0),"")</f>
        <v>2276.089744756709</v>
      </c>
      <c r="AH155" s="97">
        <f>IFERROR(VLOOKUP(AE155,[1]Cálculos_PRICE!$A$32:$K$212,6,0),"")</f>
        <v>6210.3021699239544</v>
      </c>
      <c r="AI155" s="97">
        <f>IFERROR(VLOOKUP(AE155,'Cálculos_CGI - SAC FIXA'!A153:K545,6,0),"")</f>
        <v>555.55555555555554</v>
      </c>
      <c r="AJ155" s="97">
        <f>IFERROR(VLOOKUP(AE155,[1]Cálculos_PRICE!$A$32:$K$240,11,0),"")</f>
        <v>653383.57944369363</v>
      </c>
      <c r="AK155" s="97">
        <f>IFERROR(VLOOKUP(AE155,'Cálculos_CGI - SAC FIXA'!A153:K545,11,0),"")</f>
        <v>134999.99999999924</v>
      </c>
      <c r="AN155" s="157">
        <f t="shared" si="20"/>
        <v>72777.145555556315</v>
      </c>
      <c r="AO155" s="152" t="s">
        <v>236</v>
      </c>
      <c r="AP155" s="152" t="s">
        <v>119</v>
      </c>
      <c r="AQ155" s="153">
        <v>47638</v>
      </c>
      <c r="AR155" s="154">
        <v>207920.4</v>
      </c>
      <c r="AS155" s="155">
        <v>698.81</v>
      </c>
      <c r="AT155" s="155">
        <v>0</v>
      </c>
      <c r="AU155" s="154">
        <v>2682.17</v>
      </c>
      <c r="AV155" s="155">
        <v>67.819999999999993</v>
      </c>
      <c r="AW155" s="154">
        <v>3448.8</v>
      </c>
      <c r="AX155" s="156"/>
    </row>
    <row r="156" spans="1:50" ht="15.5" x14ac:dyDescent="0.35">
      <c r="A156" s="98">
        <f t="shared" si="36"/>
        <v>113</v>
      </c>
      <c r="B156" s="99">
        <f t="shared" ca="1" si="28"/>
        <v>49495</v>
      </c>
      <c r="C156" s="100">
        <f t="shared" si="25"/>
        <v>137777.77777777705</v>
      </c>
      <c r="D156" s="100">
        <f t="shared" si="29"/>
        <v>1501.7777777777699</v>
      </c>
      <c r="E156" s="100">
        <f t="shared" si="30"/>
        <v>139279.55555555483</v>
      </c>
      <c r="F156" s="100">
        <f t="shared" si="31"/>
        <v>555.55555555555554</v>
      </c>
      <c r="G156" s="100">
        <f t="shared" si="32"/>
        <v>2224.9119669789316</v>
      </c>
      <c r="H156" s="100">
        <f t="shared" si="33"/>
        <v>31.688888888888723</v>
      </c>
      <c r="I156" s="100">
        <f t="shared" si="26"/>
        <v>20</v>
      </c>
      <c r="J156" s="100">
        <f t="shared" si="34"/>
        <v>2276.6008558678204</v>
      </c>
      <c r="K156" s="101">
        <f t="shared" si="35"/>
        <v>137222.22222222149</v>
      </c>
      <c r="O156" s="118">
        <f t="shared" si="37"/>
        <v>16.666666666666664</v>
      </c>
      <c r="P156" s="119">
        <f t="shared" ca="1" si="27"/>
        <v>30</v>
      </c>
      <c r="Q156" s="120">
        <v>365</v>
      </c>
      <c r="AA156" s="96">
        <f t="shared" si="21"/>
        <v>118</v>
      </c>
      <c r="AB156" s="97">
        <f t="shared" si="22"/>
        <v>16275.022902196493</v>
      </c>
      <c r="AC156" s="97">
        <f t="shared" si="23"/>
        <v>2275.9619669789313</v>
      </c>
      <c r="AE156" s="96">
        <f t="shared" si="24"/>
        <v>118</v>
      </c>
      <c r="AF156" s="97">
        <f>IFERROR(VLOOKUP(AE156,[1]Cálculos_PRICE!$A$32:$K$212,10,0),"")</f>
        <v>16275.022902196493</v>
      </c>
      <c r="AG156" s="97">
        <f>IFERROR(VLOOKUP(AE156,'Cálculos_CGI - SAC FIXA'!A154:K546,10,0),"")</f>
        <v>2275.9619669789313</v>
      </c>
      <c r="AH156" s="97">
        <f>IFERROR(VLOOKUP(AE156,[1]Cálculos_PRICE!$A$32:$K$212,6,0),"")</f>
        <v>6303.456702472813</v>
      </c>
      <c r="AI156" s="97">
        <f>IFERROR(VLOOKUP(AE156,'Cálculos_CGI - SAC FIXA'!A154:K546,6,0),"")</f>
        <v>555.55555555555554</v>
      </c>
      <c r="AJ156" s="97">
        <f>IFERROR(VLOOKUP(AE156,[1]Cálculos_PRICE!$A$32:$K$240,11,0),"")</f>
        <v>647080.12274122087</v>
      </c>
      <c r="AK156" s="97">
        <f>IFERROR(VLOOKUP(AE156,'Cálculos_CGI - SAC FIXA'!A154:K546,11,0),"")</f>
        <v>134444.44444444368</v>
      </c>
      <c r="AN156" s="157">
        <f t="shared" si="20"/>
        <v>72624.88111111187</v>
      </c>
      <c r="AO156" s="147" t="s">
        <v>237</v>
      </c>
      <c r="AP156" s="147" t="s">
        <v>119</v>
      </c>
      <c r="AQ156" s="148">
        <v>47668</v>
      </c>
      <c r="AR156" s="149">
        <v>207221.59</v>
      </c>
      <c r="AS156" s="150">
        <v>707.82</v>
      </c>
      <c r="AT156" s="150">
        <v>0</v>
      </c>
      <c r="AU156" s="149">
        <v>2673.16</v>
      </c>
      <c r="AV156" s="150">
        <v>67.66</v>
      </c>
      <c r="AW156" s="149">
        <v>3448.64</v>
      </c>
      <c r="AX156" s="151"/>
    </row>
    <row r="157" spans="1:50" ht="15.5" x14ac:dyDescent="0.35">
      <c r="A157" s="98">
        <f t="shared" si="36"/>
        <v>114</v>
      </c>
      <c r="B157" s="99">
        <f t="shared" ca="1" si="28"/>
        <v>49526</v>
      </c>
      <c r="C157" s="100">
        <f t="shared" si="25"/>
        <v>137222.22222222149</v>
      </c>
      <c r="D157" s="100">
        <f t="shared" si="29"/>
        <v>1495.7222222222142</v>
      </c>
      <c r="E157" s="100">
        <f t="shared" si="30"/>
        <v>138717.94444444371</v>
      </c>
      <c r="F157" s="100">
        <f t="shared" si="31"/>
        <v>555.55555555555554</v>
      </c>
      <c r="G157" s="100">
        <f t="shared" si="32"/>
        <v>2224.9119669789316</v>
      </c>
      <c r="H157" s="100">
        <f t="shared" si="33"/>
        <v>31.561111111110943</v>
      </c>
      <c r="I157" s="100">
        <f t="shared" si="26"/>
        <v>20</v>
      </c>
      <c r="J157" s="100">
        <f t="shared" si="34"/>
        <v>2276.4730780900427</v>
      </c>
      <c r="K157" s="101">
        <f t="shared" si="35"/>
        <v>136666.66666666593</v>
      </c>
      <c r="O157" s="118">
        <f t="shared" si="37"/>
        <v>16.666666666666664</v>
      </c>
      <c r="P157" s="119">
        <f t="shared" ca="1" si="27"/>
        <v>31</v>
      </c>
      <c r="Q157" s="120">
        <v>365</v>
      </c>
      <c r="AA157" s="96">
        <f t="shared" si="21"/>
        <v>119</v>
      </c>
      <c r="AB157" s="97">
        <f t="shared" si="22"/>
        <v>16273.621013425864</v>
      </c>
      <c r="AC157" s="97">
        <f t="shared" si="23"/>
        <v>2275.8341892011535</v>
      </c>
      <c r="AE157" s="96">
        <f t="shared" si="24"/>
        <v>119</v>
      </c>
      <c r="AF157" s="97">
        <f>IFERROR(VLOOKUP(AE157,[1]Cálculos_PRICE!$A$32:$K$212,10,0),"")</f>
        <v>16273.621013425864</v>
      </c>
      <c r="AG157" s="97">
        <f>IFERROR(VLOOKUP(AE157,'Cálculos_CGI - SAC FIXA'!A155:K547,10,0),"")</f>
        <v>2275.8341892011535</v>
      </c>
      <c r="AH157" s="97">
        <f>IFERROR(VLOOKUP(AE157,[1]Cálculos_PRICE!$A$32:$K$212,6,0),"")</f>
        <v>6398.0085530099041</v>
      </c>
      <c r="AI157" s="97">
        <f>IFERROR(VLOOKUP(AE157,'Cálculos_CGI - SAC FIXA'!A155:K547,6,0),"")</f>
        <v>555.55555555555554</v>
      </c>
      <c r="AJ157" s="97">
        <f>IFERROR(VLOOKUP(AE157,[1]Cálculos_PRICE!$A$32:$K$240,11,0),"")</f>
        <v>640682.11418821092</v>
      </c>
      <c r="AK157" s="97">
        <f>IFERROR(VLOOKUP(AE157,'Cálculos_CGI - SAC FIXA'!A155:K547,11,0),"")</f>
        <v>133888.88888888812</v>
      </c>
      <c r="AN157" s="157">
        <f t="shared" si="20"/>
        <v>72463.48666666745</v>
      </c>
      <c r="AO157" s="152" t="s">
        <v>238</v>
      </c>
      <c r="AP157" s="152" t="s">
        <v>119</v>
      </c>
      <c r="AQ157" s="153">
        <v>47699</v>
      </c>
      <c r="AR157" s="154">
        <v>206513.77</v>
      </c>
      <c r="AS157" s="155">
        <v>716.95</v>
      </c>
      <c r="AT157" s="155">
        <v>0</v>
      </c>
      <c r="AU157" s="154">
        <v>2664.03</v>
      </c>
      <c r="AV157" s="155">
        <v>67.5</v>
      </c>
      <c r="AW157" s="154">
        <v>3448.48</v>
      </c>
      <c r="AX157" s="156"/>
    </row>
    <row r="158" spans="1:50" ht="15.5" x14ac:dyDescent="0.35">
      <c r="A158" s="98">
        <f t="shared" si="36"/>
        <v>115</v>
      </c>
      <c r="B158" s="99">
        <f t="shared" ca="1" si="28"/>
        <v>49557</v>
      </c>
      <c r="C158" s="100">
        <f t="shared" si="25"/>
        <v>136666.66666666593</v>
      </c>
      <c r="D158" s="100">
        <f t="shared" si="29"/>
        <v>1489.6666666666586</v>
      </c>
      <c r="E158" s="100">
        <f t="shared" si="30"/>
        <v>138156.33333333259</v>
      </c>
      <c r="F158" s="100">
        <f t="shared" si="31"/>
        <v>555.55555555555554</v>
      </c>
      <c r="G158" s="100">
        <f t="shared" si="32"/>
        <v>2224.9119669789316</v>
      </c>
      <c r="H158" s="100">
        <f t="shared" si="33"/>
        <v>31.433333333333163</v>
      </c>
      <c r="I158" s="100">
        <f t="shared" si="26"/>
        <v>20</v>
      </c>
      <c r="J158" s="100">
        <f t="shared" si="34"/>
        <v>2276.345300312265</v>
      </c>
      <c r="K158" s="101">
        <f t="shared" si="35"/>
        <v>136111.11111111037</v>
      </c>
      <c r="O158" s="118">
        <f t="shared" si="37"/>
        <v>16.666666666666664</v>
      </c>
      <c r="P158" s="119">
        <f t="shared" ca="1" si="27"/>
        <v>31</v>
      </c>
      <c r="Q158" s="120">
        <v>365</v>
      </c>
      <c r="AA158" s="96">
        <f t="shared" si="21"/>
        <v>120</v>
      </c>
      <c r="AB158" s="97">
        <f t="shared" si="22"/>
        <v>16272.198096323675</v>
      </c>
      <c r="AC158" s="97">
        <f t="shared" si="23"/>
        <v>2275.7064114233758</v>
      </c>
      <c r="AE158" s="96">
        <f t="shared" si="24"/>
        <v>120</v>
      </c>
      <c r="AF158" s="97">
        <f>IFERROR(VLOOKUP(AE158,[1]Cálculos_PRICE!$A$32:$K$212,10,0),"")</f>
        <v>16272.198096323675</v>
      </c>
      <c r="AG158" s="97">
        <f>IFERROR(VLOOKUP(AE158,'Cálculos_CGI - SAC FIXA'!A156:K548,10,0),"")</f>
        <v>2275.7064114233758</v>
      </c>
      <c r="AH158" s="97">
        <f>IFERROR(VLOOKUP(AE158,[1]Cálculos_PRICE!$A$32:$K$212,6,0),"")</f>
        <v>6493.9786813050523</v>
      </c>
      <c r="AI158" s="97">
        <f>IFERROR(VLOOKUP(AE158,'Cálculos_CGI - SAC FIXA'!A156:K548,6,0),"")</f>
        <v>555.55555555555554</v>
      </c>
      <c r="AJ158" s="97">
        <f>IFERROR(VLOOKUP(AE158,[1]Cálculos_PRICE!$A$32:$K$240,11,0),"")</f>
        <v>634188.13550690585</v>
      </c>
      <c r="AK158" s="97">
        <f>IFERROR(VLOOKUP(AE158,'Cálculos_CGI - SAC FIXA'!A156:K548,11,0),"")</f>
        <v>133333.33333333256</v>
      </c>
      <c r="AN158" s="157">
        <f t="shared" si="20"/>
        <v>72292.842222223</v>
      </c>
      <c r="AO158" s="147" t="s">
        <v>239</v>
      </c>
      <c r="AP158" s="147" t="s">
        <v>119</v>
      </c>
      <c r="AQ158" s="148">
        <v>47730</v>
      </c>
      <c r="AR158" s="149">
        <v>205796.82</v>
      </c>
      <c r="AS158" s="150">
        <v>726.2</v>
      </c>
      <c r="AT158" s="150">
        <v>0</v>
      </c>
      <c r="AU158" s="149">
        <v>2654.78</v>
      </c>
      <c r="AV158" s="150">
        <v>67.33</v>
      </c>
      <c r="AW158" s="149">
        <v>3448.31</v>
      </c>
      <c r="AX158" s="151"/>
    </row>
    <row r="159" spans="1:50" ht="15.5" x14ac:dyDescent="0.35">
      <c r="A159" s="98">
        <f t="shared" si="36"/>
        <v>116</v>
      </c>
      <c r="B159" s="99">
        <f t="shared" ca="1" si="28"/>
        <v>49587</v>
      </c>
      <c r="C159" s="100">
        <f t="shared" si="25"/>
        <v>136111.11111111037</v>
      </c>
      <c r="D159" s="100">
        <f t="shared" si="29"/>
        <v>1483.6111111111029</v>
      </c>
      <c r="E159" s="100">
        <f t="shared" si="30"/>
        <v>137594.72222222146</v>
      </c>
      <c r="F159" s="100">
        <f t="shared" si="31"/>
        <v>555.55555555555554</v>
      </c>
      <c r="G159" s="100">
        <f t="shared" si="32"/>
        <v>2224.9119669789316</v>
      </c>
      <c r="H159" s="100">
        <f t="shared" si="33"/>
        <v>31.305555555555387</v>
      </c>
      <c r="I159" s="100">
        <f t="shared" si="26"/>
        <v>20</v>
      </c>
      <c r="J159" s="100">
        <f t="shared" si="34"/>
        <v>2276.2175225344868</v>
      </c>
      <c r="K159" s="101">
        <f t="shared" si="35"/>
        <v>135555.55555555481</v>
      </c>
      <c r="O159" s="118">
        <f t="shared" si="37"/>
        <v>16.666666666666664</v>
      </c>
      <c r="P159" s="119">
        <f t="shared" ca="1" si="27"/>
        <v>30</v>
      </c>
      <c r="Q159" s="120">
        <v>365</v>
      </c>
      <c r="AA159" s="96">
        <f t="shared" si="21"/>
        <v>121</v>
      </c>
      <c r="AB159" s="97">
        <f t="shared" si="22"/>
        <v>16270.753835464953</v>
      </c>
      <c r="AC159" s="97">
        <f t="shared" si="23"/>
        <v>2275.5786336455981</v>
      </c>
      <c r="AE159" s="96">
        <f t="shared" si="24"/>
        <v>121</v>
      </c>
      <c r="AF159" s="97">
        <f>IFERROR(VLOOKUP(AE159,[1]Cálculos_PRICE!$A$32:$K$212,10,0),"")</f>
        <v>16270.753835464953</v>
      </c>
      <c r="AG159" s="97">
        <f>IFERROR(VLOOKUP(AE159,'Cálculos_CGI - SAC FIXA'!A157:K549,10,0),"")</f>
        <v>2275.5786336455981</v>
      </c>
      <c r="AH159" s="97">
        <f>IFERROR(VLOOKUP(AE159,[1]Cálculos_PRICE!$A$32:$K$212,6,0),"")</f>
        <v>6591.3883615246286</v>
      </c>
      <c r="AI159" s="97">
        <f>IFERROR(VLOOKUP(AE159,'Cálculos_CGI - SAC FIXA'!A157:K549,6,0),"")</f>
        <v>555.55555555555554</v>
      </c>
      <c r="AJ159" s="97">
        <f>IFERROR(VLOOKUP(AE159,[1]Cálculos_PRICE!$A$32:$K$240,11,0),"")</f>
        <v>627596.74714538117</v>
      </c>
      <c r="AK159" s="97">
        <f>IFERROR(VLOOKUP(AE159,'Cálculos_CGI - SAC FIXA'!A157:K549,11,0),"")</f>
        <v>132777.777777777</v>
      </c>
      <c r="AN159" s="157">
        <f t="shared" si="20"/>
        <v>72112.827777778555</v>
      </c>
      <c r="AO159" s="152" t="s">
        <v>240</v>
      </c>
      <c r="AP159" s="152" t="s">
        <v>119</v>
      </c>
      <c r="AQ159" s="153">
        <v>47760</v>
      </c>
      <c r="AR159" s="154">
        <v>205070.62</v>
      </c>
      <c r="AS159" s="155">
        <v>735.57</v>
      </c>
      <c r="AT159" s="155">
        <v>0</v>
      </c>
      <c r="AU159" s="154">
        <v>2645.41</v>
      </c>
      <c r="AV159" s="155">
        <v>67.17</v>
      </c>
      <c r="AW159" s="154">
        <v>3448.15</v>
      </c>
      <c r="AX159" s="156"/>
    </row>
    <row r="160" spans="1:50" ht="15.5" x14ac:dyDescent="0.35">
      <c r="A160" s="98">
        <f t="shared" si="36"/>
        <v>117</v>
      </c>
      <c r="B160" s="99">
        <f t="shared" ca="1" si="28"/>
        <v>49618</v>
      </c>
      <c r="C160" s="100">
        <f t="shared" si="25"/>
        <v>135555.55555555481</v>
      </c>
      <c r="D160" s="100">
        <f t="shared" si="29"/>
        <v>1477.5555555555475</v>
      </c>
      <c r="E160" s="100">
        <f t="shared" si="30"/>
        <v>137033.11111111037</v>
      </c>
      <c r="F160" s="100">
        <f t="shared" si="31"/>
        <v>555.55555555555554</v>
      </c>
      <c r="G160" s="100">
        <f t="shared" si="32"/>
        <v>2224.9119669789316</v>
      </c>
      <c r="H160" s="100">
        <f t="shared" si="33"/>
        <v>31.177777777777607</v>
      </c>
      <c r="I160" s="100">
        <f t="shared" si="26"/>
        <v>20</v>
      </c>
      <c r="J160" s="100">
        <f t="shared" si="34"/>
        <v>2276.089744756709</v>
      </c>
      <c r="K160" s="101">
        <f t="shared" si="35"/>
        <v>134999.99999999924</v>
      </c>
      <c r="O160" s="118">
        <f t="shared" si="37"/>
        <v>16.666666666666664</v>
      </c>
      <c r="P160" s="119">
        <f t="shared" ca="1" si="27"/>
        <v>31</v>
      </c>
      <c r="Q160" s="120">
        <v>365</v>
      </c>
      <c r="AA160" s="96">
        <f t="shared" si="21"/>
        <v>122</v>
      </c>
      <c r="AB160" s="97">
        <f t="shared" si="22"/>
        <v>16269.287910693349</v>
      </c>
      <c r="AC160" s="97">
        <f t="shared" si="23"/>
        <v>2275.4508558678203</v>
      </c>
      <c r="AE160" s="96">
        <f t="shared" si="24"/>
        <v>122</v>
      </c>
      <c r="AF160" s="97">
        <f>IFERROR(VLOOKUP(AE160,[1]Cálculos_PRICE!$A$32:$K$212,10,0),"")</f>
        <v>16269.287910693349</v>
      </c>
      <c r="AG160" s="97">
        <f>IFERROR(VLOOKUP(AE160,'Cálculos_CGI - SAC FIXA'!A158:K550,10,0),"")</f>
        <v>2275.4508558678203</v>
      </c>
      <c r="AH160" s="97">
        <f>IFERROR(VLOOKUP(AE160,[1]Cálculos_PRICE!$A$32:$K$212,6,0),"")</f>
        <v>6690.2591869475</v>
      </c>
      <c r="AI160" s="97">
        <f>IFERROR(VLOOKUP(AE160,'Cálculos_CGI - SAC FIXA'!A158:K550,6,0),"")</f>
        <v>555.55555555555554</v>
      </c>
      <c r="AJ160" s="97">
        <f>IFERROR(VLOOKUP(AE160,[1]Cálculos_PRICE!$A$32:$K$240,11,0),"")</f>
        <v>620906.48795843369</v>
      </c>
      <c r="AK160" s="97">
        <f>IFERROR(VLOOKUP(AE160,'Cálculos_CGI - SAC FIXA'!A158:K550,11,0),"")</f>
        <v>132222.22222222143</v>
      </c>
      <c r="AN160" s="157">
        <f t="shared" si="20"/>
        <v>71923.32333333412</v>
      </c>
      <c r="AO160" s="147" t="s">
        <v>241</v>
      </c>
      <c r="AP160" s="147" t="s">
        <v>119</v>
      </c>
      <c r="AQ160" s="148">
        <v>47791</v>
      </c>
      <c r="AR160" s="149">
        <v>204335.05</v>
      </c>
      <c r="AS160" s="150">
        <v>745.06</v>
      </c>
      <c r="AT160" s="150">
        <v>0</v>
      </c>
      <c r="AU160" s="149">
        <v>2635.92</v>
      </c>
      <c r="AV160" s="150">
        <v>67</v>
      </c>
      <c r="AW160" s="149">
        <v>3447.98</v>
      </c>
      <c r="AX160" s="151"/>
    </row>
    <row r="161" spans="1:50" ht="15.5" x14ac:dyDescent="0.35">
      <c r="A161" s="98">
        <f t="shared" si="36"/>
        <v>118</v>
      </c>
      <c r="B161" s="99">
        <f t="shared" ca="1" si="28"/>
        <v>49648</v>
      </c>
      <c r="C161" s="100">
        <f t="shared" si="25"/>
        <v>134999.99999999924</v>
      </c>
      <c r="D161" s="100">
        <f t="shared" si="29"/>
        <v>1471.4999999999918</v>
      </c>
      <c r="E161" s="100">
        <f t="shared" si="30"/>
        <v>136471.49999999924</v>
      </c>
      <c r="F161" s="100">
        <f t="shared" si="31"/>
        <v>555.55555555555554</v>
      </c>
      <c r="G161" s="100">
        <f t="shared" si="32"/>
        <v>2224.9119669789316</v>
      </c>
      <c r="H161" s="100">
        <f t="shared" si="33"/>
        <v>31.049999999999827</v>
      </c>
      <c r="I161" s="100">
        <f t="shared" si="26"/>
        <v>20</v>
      </c>
      <c r="J161" s="100">
        <f t="shared" si="34"/>
        <v>2275.9619669789313</v>
      </c>
      <c r="K161" s="101">
        <f t="shared" si="35"/>
        <v>134444.44444444368</v>
      </c>
      <c r="O161" s="118">
        <f t="shared" si="37"/>
        <v>16.666666666666664</v>
      </c>
      <c r="P161" s="119">
        <f t="shared" ca="1" si="27"/>
        <v>30</v>
      </c>
      <c r="Q161" s="120">
        <v>365</v>
      </c>
      <c r="AA161" s="96">
        <f t="shared" si="21"/>
        <v>123</v>
      </c>
      <c r="AB161" s="97">
        <f t="shared" si="22"/>
        <v>16267.799997050171</v>
      </c>
      <c r="AC161" s="97">
        <f t="shared" si="23"/>
        <v>2275.3230780900426</v>
      </c>
      <c r="AE161" s="96">
        <f t="shared" si="24"/>
        <v>123</v>
      </c>
      <c r="AF161" s="97">
        <f>IFERROR(VLOOKUP(AE161,[1]Cálculos_PRICE!$A$32:$K$212,10,0),"")</f>
        <v>16267.799997050171</v>
      </c>
      <c r="AG161" s="97">
        <f>IFERROR(VLOOKUP(AE161,'Cálculos_CGI - SAC FIXA'!A159:K551,10,0),"")</f>
        <v>2275.3230780900426</v>
      </c>
      <c r="AH161" s="97">
        <f>IFERROR(VLOOKUP(AE161,[1]Cálculos_PRICE!$A$32:$K$212,6,0),"")</f>
        <v>6790.6130747517109</v>
      </c>
      <c r="AI161" s="97">
        <f>IFERROR(VLOOKUP(AE161,'Cálculos_CGI - SAC FIXA'!A159:K551,6,0),"")</f>
        <v>555.55555555555554</v>
      </c>
      <c r="AJ161" s="97">
        <f>IFERROR(VLOOKUP(AE161,[1]Cálculos_PRICE!$A$32:$K$240,11,0),"")</f>
        <v>614115.874883682</v>
      </c>
      <c r="AK161" s="97">
        <f>IFERROR(VLOOKUP(AE161,'Cálculos_CGI - SAC FIXA'!A159:K551,11,0),"")</f>
        <v>131666.66666666587</v>
      </c>
      <c r="AN161" s="157">
        <f t="shared" si="20"/>
        <v>71724.208888889698</v>
      </c>
      <c r="AO161" s="152" t="s">
        <v>242</v>
      </c>
      <c r="AP161" s="152" t="s">
        <v>119</v>
      </c>
      <c r="AQ161" s="153">
        <v>47821</v>
      </c>
      <c r="AR161" s="154">
        <v>203589.99</v>
      </c>
      <c r="AS161" s="155">
        <v>754.67</v>
      </c>
      <c r="AT161" s="155">
        <v>0</v>
      </c>
      <c r="AU161" s="154">
        <v>2626.31</v>
      </c>
      <c r="AV161" s="155">
        <v>66.83</v>
      </c>
      <c r="AW161" s="154">
        <v>3447.81</v>
      </c>
      <c r="AX161" s="156"/>
    </row>
    <row r="162" spans="1:50" ht="15.5" x14ac:dyDescent="0.35">
      <c r="A162" s="98">
        <f t="shared" si="36"/>
        <v>119</v>
      </c>
      <c r="B162" s="99">
        <f t="shared" ca="1" si="28"/>
        <v>49679</v>
      </c>
      <c r="C162" s="100">
        <f t="shared" si="25"/>
        <v>134444.44444444368</v>
      </c>
      <c r="D162" s="100">
        <f t="shared" si="29"/>
        <v>1465.4444444444362</v>
      </c>
      <c r="E162" s="100">
        <f t="shared" si="30"/>
        <v>135909.88888888812</v>
      </c>
      <c r="F162" s="100">
        <f t="shared" si="31"/>
        <v>555.55555555555554</v>
      </c>
      <c r="G162" s="100">
        <f t="shared" si="32"/>
        <v>2224.9119669789316</v>
      </c>
      <c r="H162" s="100">
        <f t="shared" si="33"/>
        <v>30.922222222222047</v>
      </c>
      <c r="I162" s="100">
        <f t="shared" si="26"/>
        <v>20</v>
      </c>
      <c r="J162" s="100">
        <f t="shared" si="34"/>
        <v>2275.8341892011535</v>
      </c>
      <c r="K162" s="101">
        <f t="shared" si="35"/>
        <v>133888.88888888812</v>
      </c>
      <c r="O162" s="118">
        <f t="shared" si="37"/>
        <v>16.666666666666664</v>
      </c>
      <c r="P162" s="119">
        <f t="shared" ca="1" si="27"/>
        <v>31</v>
      </c>
      <c r="Q162" s="120">
        <v>365</v>
      </c>
      <c r="AA162" s="96">
        <f t="shared" si="21"/>
        <v>124</v>
      </c>
      <c r="AB162" s="97">
        <f t="shared" si="22"/>
        <v>16266.289764702347</v>
      </c>
      <c r="AC162" s="97">
        <f t="shared" si="23"/>
        <v>2275.1953003122649</v>
      </c>
      <c r="AE162" s="96">
        <f t="shared" si="24"/>
        <v>124</v>
      </c>
      <c r="AF162" s="97">
        <f>IFERROR(VLOOKUP(AE162,[1]Cálculos_PRICE!$A$32:$K$212,10,0),"")</f>
        <v>16266.289764702347</v>
      </c>
      <c r="AG162" s="97">
        <f>IFERROR(VLOOKUP(AE162,'Cálculos_CGI - SAC FIXA'!A160:K552,10,0),"")</f>
        <v>2275.1953003122649</v>
      </c>
      <c r="AH162" s="97">
        <f>IFERROR(VLOOKUP(AE162,[1]Cálculos_PRICE!$A$32:$K$212,6,0),"")</f>
        <v>6892.4722708729878</v>
      </c>
      <c r="AI162" s="97">
        <f>IFERROR(VLOOKUP(AE162,'Cálculos_CGI - SAC FIXA'!A160:K552,6,0),"")</f>
        <v>555.55555555555554</v>
      </c>
      <c r="AJ162" s="97">
        <f>IFERROR(VLOOKUP(AE162,[1]Cálculos_PRICE!$A$32:$K$240,11,0),"")</f>
        <v>607223.40261280898</v>
      </c>
      <c r="AK162" s="97">
        <f>IFERROR(VLOOKUP(AE162,'Cálculos_CGI - SAC FIXA'!A160:K552,11,0),"")</f>
        <v>131111.11111111031</v>
      </c>
      <c r="AN162" s="157">
        <f t="shared" si="20"/>
        <v>71515.364444445266</v>
      </c>
      <c r="AO162" s="147" t="s">
        <v>243</v>
      </c>
      <c r="AP162" s="147" t="s">
        <v>119</v>
      </c>
      <c r="AQ162" s="148">
        <v>47852</v>
      </c>
      <c r="AR162" s="149">
        <v>202835.32</v>
      </c>
      <c r="AS162" s="150">
        <v>764.4</v>
      </c>
      <c r="AT162" s="150">
        <v>0</v>
      </c>
      <c r="AU162" s="149">
        <v>2616.58</v>
      </c>
      <c r="AV162" s="150">
        <v>66.650000000000006</v>
      </c>
      <c r="AW162" s="149">
        <v>3447.63</v>
      </c>
      <c r="AX162" s="151"/>
    </row>
    <row r="163" spans="1:50" ht="15.5" x14ac:dyDescent="0.35">
      <c r="A163" s="98">
        <f t="shared" si="36"/>
        <v>120</v>
      </c>
      <c r="B163" s="99">
        <f t="shared" ca="1" si="28"/>
        <v>49710</v>
      </c>
      <c r="C163" s="100">
        <f t="shared" si="25"/>
        <v>133888.88888888812</v>
      </c>
      <c r="D163" s="100">
        <f t="shared" si="29"/>
        <v>1459.3888888888805</v>
      </c>
      <c r="E163" s="100">
        <f t="shared" si="30"/>
        <v>135348.277777777</v>
      </c>
      <c r="F163" s="100">
        <f t="shared" si="31"/>
        <v>555.55555555555554</v>
      </c>
      <c r="G163" s="100">
        <f t="shared" si="32"/>
        <v>2224.9119669789316</v>
      </c>
      <c r="H163" s="100">
        <f t="shared" si="33"/>
        <v>30.794444444444267</v>
      </c>
      <c r="I163" s="100">
        <f t="shared" si="26"/>
        <v>20</v>
      </c>
      <c r="J163" s="100">
        <f t="shared" si="34"/>
        <v>2275.7064114233758</v>
      </c>
      <c r="K163" s="101">
        <f t="shared" si="35"/>
        <v>133333.33333333256</v>
      </c>
      <c r="O163" s="118">
        <f t="shared" si="37"/>
        <v>16.666666666666664</v>
      </c>
      <c r="P163" s="119">
        <f t="shared" ca="1" si="27"/>
        <v>31</v>
      </c>
      <c r="Q163" s="120">
        <v>365</v>
      </c>
      <c r="AA163" s="96">
        <f t="shared" si="21"/>
        <v>125</v>
      </c>
      <c r="AB163" s="97">
        <f t="shared" si="22"/>
        <v>16264.756878869306</v>
      </c>
      <c r="AC163" s="97">
        <f t="shared" si="23"/>
        <v>2275.0675225344871</v>
      </c>
      <c r="AE163" s="96">
        <f t="shared" si="24"/>
        <v>125</v>
      </c>
      <c r="AF163" s="97">
        <f>IFERROR(VLOOKUP(AE163,[1]Cálculos_PRICE!$A$32:$K$212,10,0),"")</f>
        <v>16264.756878869306</v>
      </c>
      <c r="AG163" s="97">
        <f>IFERROR(VLOOKUP(AE163,'Cálculos_CGI - SAC FIXA'!A161:K553,10,0),"")</f>
        <v>2275.0675225344871</v>
      </c>
      <c r="AH163" s="97">
        <f>IFERROR(VLOOKUP(AE163,[1]Cálculos_PRICE!$A$32:$K$212,6,0),"")</f>
        <v>6995.859354936083</v>
      </c>
      <c r="AI163" s="97">
        <f>IFERROR(VLOOKUP(AE163,'Cálculos_CGI - SAC FIXA'!A161:K553,6,0),"")</f>
        <v>555.55555555555554</v>
      </c>
      <c r="AJ163" s="97">
        <f>IFERROR(VLOOKUP(AE163,[1]Cálculos_PRICE!$A$32:$K$240,11,0),"")</f>
        <v>600227.54325787292</v>
      </c>
      <c r="AK163" s="97">
        <f>IFERROR(VLOOKUP(AE163,'Cálculos_CGI - SAC FIXA'!A161:K553,11,0),"")</f>
        <v>130555.55555555475</v>
      </c>
      <c r="AN163" s="157">
        <f t="shared" si="20"/>
        <v>71296.650000000809</v>
      </c>
      <c r="AO163" s="152" t="s">
        <v>244</v>
      </c>
      <c r="AP163" s="152" t="s">
        <v>119</v>
      </c>
      <c r="AQ163" s="153">
        <v>47883</v>
      </c>
      <c r="AR163" s="154">
        <v>202070.92</v>
      </c>
      <c r="AS163" s="155">
        <v>774.27</v>
      </c>
      <c r="AT163" s="155">
        <v>0</v>
      </c>
      <c r="AU163" s="154">
        <v>2606.71</v>
      </c>
      <c r="AV163" s="155">
        <v>66.48</v>
      </c>
      <c r="AW163" s="154">
        <v>3447.46</v>
      </c>
      <c r="AX163" s="156"/>
    </row>
    <row r="164" spans="1:50" ht="15.5" x14ac:dyDescent="0.35">
      <c r="A164" s="98">
        <f t="shared" si="36"/>
        <v>121</v>
      </c>
      <c r="B164" s="99">
        <f t="shared" ca="1" si="28"/>
        <v>49739</v>
      </c>
      <c r="C164" s="100">
        <f t="shared" si="25"/>
        <v>133333.33333333256</v>
      </c>
      <c r="D164" s="100">
        <f t="shared" si="29"/>
        <v>1453.3333333333248</v>
      </c>
      <c r="E164" s="100">
        <f t="shared" si="30"/>
        <v>134786.66666666587</v>
      </c>
      <c r="F164" s="100">
        <f t="shared" si="31"/>
        <v>555.55555555555554</v>
      </c>
      <c r="G164" s="100">
        <f t="shared" si="32"/>
        <v>2224.9119669789316</v>
      </c>
      <c r="H164" s="100">
        <f t="shared" si="33"/>
        <v>30.66666666666649</v>
      </c>
      <c r="I164" s="100">
        <f t="shared" si="26"/>
        <v>20</v>
      </c>
      <c r="J164" s="100">
        <f t="shared" si="34"/>
        <v>2275.5786336455981</v>
      </c>
      <c r="K164" s="101">
        <f t="shared" si="35"/>
        <v>132777.777777777</v>
      </c>
      <c r="O164" s="118">
        <f t="shared" si="37"/>
        <v>16.666666666666664</v>
      </c>
      <c r="P164" s="119">
        <f t="shared" ca="1" si="27"/>
        <v>29</v>
      </c>
      <c r="Q164" s="120">
        <v>365</v>
      </c>
      <c r="AA164" s="96">
        <f t="shared" si="21"/>
        <v>126</v>
      </c>
      <c r="AB164" s="97">
        <f t="shared" si="22"/>
        <v>16263.200999748768</v>
      </c>
      <c r="AC164" s="97">
        <f t="shared" si="23"/>
        <v>2274.9397447567089</v>
      </c>
      <c r="AE164" s="96">
        <f t="shared" si="24"/>
        <v>126</v>
      </c>
      <c r="AF164" s="97">
        <f>IFERROR(VLOOKUP(AE164,[1]Cálculos_PRICE!$A$32:$K$212,10,0),"")</f>
        <v>16263.200999748768</v>
      </c>
      <c r="AG164" s="97">
        <f>IFERROR(VLOOKUP(AE164,'Cálculos_CGI - SAC FIXA'!A162:K554,10,0),"")</f>
        <v>2274.9397447567089</v>
      </c>
      <c r="AH164" s="97">
        <f>IFERROR(VLOOKUP(AE164,[1]Cálculos_PRICE!$A$32:$K$212,6,0),"")</f>
        <v>7100.7972452601225</v>
      </c>
      <c r="AI164" s="97">
        <f>IFERROR(VLOOKUP(AE164,'Cálculos_CGI - SAC FIXA'!A162:K554,6,0),"")</f>
        <v>555.55555555555554</v>
      </c>
      <c r="AJ164" s="97">
        <f>IFERROR(VLOOKUP(AE164,[1]Cálculos_PRICE!$A$32:$K$240,11,0),"")</f>
        <v>593126.74601261283</v>
      </c>
      <c r="AK164" s="97">
        <f>IFERROR(VLOOKUP(AE164,'Cálculos_CGI - SAC FIXA'!A162:K554,11,0),"")</f>
        <v>129999.99999999919</v>
      </c>
      <c r="AN164" s="157">
        <f t="shared" si="20"/>
        <v>71067.955555556371</v>
      </c>
      <c r="AO164" s="147" t="s">
        <v>245</v>
      </c>
      <c r="AP164" s="147" t="s">
        <v>119</v>
      </c>
      <c r="AQ164" s="148">
        <v>47911</v>
      </c>
      <c r="AR164" s="149">
        <v>201296.65</v>
      </c>
      <c r="AS164" s="150">
        <v>784.25</v>
      </c>
      <c r="AT164" s="150">
        <v>0</v>
      </c>
      <c r="AU164" s="149">
        <v>2596.73</v>
      </c>
      <c r="AV164" s="150">
        <v>66.3</v>
      </c>
      <c r="AW164" s="149">
        <v>3447.28</v>
      </c>
      <c r="AX164" s="151"/>
    </row>
    <row r="165" spans="1:50" ht="15.5" x14ac:dyDescent="0.35">
      <c r="A165" s="98">
        <f t="shared" si="36"/>
        <v>122</v>
      </c>
      <c r="B165" s="99">
        <f t="shared" ca="1" si="28"/>
        <v>49770</v>
      </c>
      <c r="C165" s="100">
        <f t="shared" si="25"/>
        <v>132777.777777777</v>
      </c>
      <c r="D165" s="100">
        <f t="shared" si="29"/>
        <v>1447.2777777777692</v>
      </c>
      <c r="E165" s="100">
        <f t="shared" si="30"/>
        <v>134225.05555555478</v>
      </c>
      <c r="F165" s="100">
        <f t="shared" si="31"/>
        <v>555.55555555555554</v>
      </c>
      <c r="G165" s="100">
        <f t="shared" si="32"/>
        <v>2224.9119669789316</v>
      </c>
      <c r="H165" s="100">
        <f t="shared" si="33"/>
        <v>30.53888888888871</v>
      </c>
      <c r="I165" s="100">
        <f t="shared" si="26"/>
        <v>20</v>
      </c>
      <c r="J165" s="100">
        <f t="shared" si="34"/>
        <v>2275.4508558678203</v>
      </c>
      <c r="K165" s="101">
        <f t="shared" si="35"/>
        <v>132222.22222222143</v>
      </c>
      <c r="O165" s="118">
        <f t="shared" si="37"/>
        <v>16.666666666666664</v>
      </c>
      <c r="P165" s="119">
        <f t="shared" ca="1" si="27"/>
        <v>31</v>
      </c>
      <c r="Q165" s="120">
        <v>365</v>
      </c>
      <c r="AA165" s="96">
        <f t="shared" si="21"/>
        <v>127</v>
      </c>
      <c r="AB165" s="97">
        <f t="shared" si="22"/>
        <v>16261.621782441422</v>
      </c>
      <c r="AC165" s="97">
        <f t="shared" si="23"/>
        <v>2274.8119669789312</v>
      </c>
      <c r="AE165" s="96">
        <f t="shared" si="24"/>
        <v>127</v>
      </c>
      <c r="AF165" s="97">
        <f>IFERROR(VLOOKUP(AE165,[1]Cálculos_PRICE!$A$32:$K$212,10,0),"")</f>
        <v>16261.621782441422</v>
      </c>
      <c r="AG165" s="97">
        <f>IFERROR(VLOOKUP(AE165,'Cálculos_CGI - SAC FIXA'!A163:K555,10,0),"")</f>
        <v>2274.8119669789312</v>
      </c>
      <c r="AH165" s="97">
        <f>IFERROR(VLOOKUP(AE165,[1]Cálculos_PRICE!$A$32:$K$212,6,0),"")</f>
        <v>7207.3092039390249</v>
      </c>
      <c r="AI165" s="97">
        <f>IFERROR(VLOOKUP(AE165,'Cálculos_CGI - SAC FIXA'!A163:K555,6,0),"")</f>
        <v>555.55555555555554</v>
      </c>
      <c r="AJ165" s="97">
        <f>IFERROR(VLOOKUP(AE165,[1]Cálculos_PRICE!$A$32:$K$240,11,0),"")</f>
        <v>585919.43680867378</v>
      </c>
      <c r="AK165" s="97">
        <f>IFERROR(VLOOKUP(AE165,'Cálculos_CGI - SAC FIXA'!A163:K555,11,0),"")</f>
        <v>129444.44444444362</v>
      </c>
      <c r="AN165" s="157">
        <f t="shared" si="20"/>
        <v>70829.141111111938</v>
      </c>
      <c r="AO165" s="152" t="s">
        <v>246</v>
      </c>
      <c r="AP165" s="152" t="s">
        <v>119</v>
      </c>
      <c r="AQ165" s="153">
        <v>47942</v>
      </c>
      <c r="AR165" s="154">
        <v>200512.4</v>
      </c>
      <c r="AS165" s="155">
        <v>794.37</v>
      </c>
      <c r="AT165" s="155">
        <v>0</v>
      </c>
      <c r="AU165" s="154">
        <v>2586.61</v>
      </c>
      <c r="AV165" s="155">
        <v>66.12</v>
      </c>
      <c r="AW165" s="154">
        <v>3447.1</v>
      </c>
      <c r="AX165" s="156"/>
    </row>
    <row r="166" spans="1:50" ht="15.5" x14ac:dyDescent="0.35">
      <c r="A166" s="98">
        <f t="shared" si="36"/>
        <v>123</v>
      </c>
      <c r="B166" s="99">
        <f t="shared" ca="1" si="28"/>
        <v>49800</v>
      </c>
      <c r="C166" s="100">
        <f t="shared" si="25"/>
        <v>132222.22222222143</v>
      </c>
      <c r="D166" s="100">
        <f t="shared" si="29"/>
        <v>1441.2222222222135</v>
      </c>
      <c r="E166" s="100">
        <f t="shared" si="30"/>
        <v>133663.44444444365</v>
      </c>
      <c r="F166" s="100">
        <f t="shared" si="31"/>
        <v>555.55555555555554</v>
      </c>
      <c r="G166" s="100">
        <f t="shared" si="32"/>
        <v>2224.9119669789316</v>
      </c>
      <c r="H166" s="100">
        <f t="shared" si="33"/>
        <v>30.41111111111093</v>
      </c>
      <c r="I166" s="100">
        <f t="shared" si="26"/>
        <v>20</v>
      </c>
      <c r="J166" s="100">
        <f t="shared" si="34"/>
        <v>2275.3230780900426</v>
      </c>
      <c r="K166" s="101">
        <f t="shared" si="35"/>
        <v>131666.66666666587</v>
      </c>
      <c r="O166" s="118">
        <f t="shared" si="37"/>
        <v>16.666666666666664</v>
      </c>
      <c r="P166" s="119">
        <f t="shared" ca="1" si="27"/>
        <v>30</v>
      </c>
      <c r="Q166" s="120">
        <v>365</v>
      </c>
      <c r="AA166" s="96">
        <f t="shared" si="21"/>
        <v>128</v>
      </c>
      <c r="AB166" s="97">
        <f t="shared" si="22"/>
        <v>16260.018876874467</v>
      </c>
      <c r="AC166" s="97">
        <f t="shared" si="23"/>
        <v>2274.6841892011535</v>
      </c>
      <c r="AE166" s="96">
        <f t="shared" si="24"/>
        <v>128</v>
      </c>
      <c r="AF166" s="97">
        <f>IFERROR(VLOOKUP(AE166,[1]Cálculos_PRICE!$A$32:$K$212,10,0),"")</f>
        <v>16260.018876874467</v>
      </c>
      <c r="AG166" s="97">
        <f>IFERROR(VLOOKUP(AE166,'Cálculos_CGI - SAC FIXA'!A164:K556,10,0),"")</f>
        <v>2274.6841892011535</v>
      </c>
      <c r="AH166" s="97">
        <f>IFERROR(VLOOKUP(AE166,[1]Cálculos_PRICE!$A$32:$K$212,6,0),"")</f>
        <v>7315.418841998111</v>
      </c>
      <c r="AI166" s="97">
        <f>IFERROR(VLOOKUP(AE166,'Cálculos_CGI - SAC FIXA'!A164:K556,6,0),"")</f>
        <v>555.55555555555554</v>
      </c>
      <c r="AJ166" s="97">
        <f>IFERROR(VLOOKUP(AE166,[1]Cálculos_PRICE!$A$32:$K$240,11,0),"")</f>
        <v>578604.01796667569</v>
      </c>
      <c r="AK166" s="97">
        <f>IFERROR(VLOOKUP(AE166,'Cálculos_CGI - SAC FIXA'!A164:K556,11,0),"")</f>
        <v>128888.88888888806</v>
      </c>
      <c r="AN166" s="157">
        <f t="shared" ref="AN166:AN229" si="38">AR167-K172</f>
        <v>70580.076666667504</v>
      </c>
      <c r="AO166" s="147" t="s">
        <v>247</v>
      </c>
      <c r="AP166" s="147" t="s">
        <v>119</v>
      </c>
      <c r="AQ166" s="148">
        <v>47972</v>
      </c>
      <c r="AR166" s="149">
        <v>199718.03</v>
      </c>
      <c r="AS166" s="150">
        <v>804.62</v>
      </c>
      <c r="AT166" s="150">
        <v>0</v>
      </c>
      <c r="AU166" s="149">
        <v>2576.36</v>
      </c>
      <c r="AV166" s="150">
        <v>65.94</v>
      </c>
      <c r="AW166" s="149">
        <v>3446.92</v>
      </c>
      <c r="AX166" s="151"/>
    </row>
    <row r="167" spans="1:50" ht="15.5" x14ac:dyDescent="0.35">
      <c r="A167" s="98">
        <f t="shared" si="36"/>
        <v>124</v>
      </c>
      <c r="B167" s="99">
        <f t="shared" ca="1" si="28"/>
        <v>49831</v>
      </c>
      <c r="C167" s="100">
        <f t="shared" si="25"/>
        <v>131666.66666666587</v>
      </c>
      <c r="D167" s="100">
        <f t="shared" si="29"/>
        <v>1435.1666666666581</v>
      </c>
      <c r="E167" s="100">
        <f t="shared" si="30"/>
        <v>133101.83333333253</v>
      </c>
      <c r="F167" s="100">
        <f t="shared" si="31"/>
        <v>555.55555555555554</v>
      </c>
      <c r="G167" s="100">
        <f t="shared" si="32"/>
        <v>2224.9119669789316</v>
      </c>
      <c r="H167" s="100">
        <f t="shared" si="33"/>
        <v>30.28333333333315</v>
      </c>
      <c r="I167" s="100">
        <f t="shared" si="26"/>
        <v>20</v>
      </c>
      <c r="J167" s="100">
        <f t="shared" si="34"/>
        <v>2275.1953003122649</v>
      </c>
      <c r="K167" s="101">
        <f t="shared" si="35"/>
        <v>131111.11111111031</v>
      </c>
      <c r="O167" s="118">
        <f t="shared" si="37"/>
        <v>16.666666666666664</v>
      </c>
      <c r="P167" s="119">
        <f t="shared" ca="1" si="27"/>
        <v>31</v>
      </c>
      <c r="Q167" s="120">
        <v>365</v>
      </c>
      <c r="AA167" s="96">
        <f t="shared" ref="AA167:AA230" si="39">A172</f>
        <v>129</v>
      </c>
      <c r="AB167" s="97">
        <f t="shared" ref="AB167:AB230" si="40">IF($AA$36=1,VLOOKUP(AA167,$AE$38:$AK$218,6,0),IF($AA$36=2,VLOOKUP(AA167,$AE$38:$AK$218,4,0),VLOOKUP(AA167,$AE$38:$AK$218,2,0)))</f>
        <v>16258.391927724006</v>
      </c>
      <c r="AC167" s="97">
        <f t="shared" si="23"/>
        <v>2274.5564114233757</v>
      </c>
      <c r="AE167" s="96">
        <f t="shared" si="24"/>
        <v>129</v>
      </c>
      <c r="AF167" s="97">
        <f>IFERROR(VLOOKUP(AE167,[1]Cálculos_PRICE!$A$32:$K$212,10,0),"")</f>
        <v>16258.391927724006</v>
      </c>
      <c r="AG167" s="97">
        <f>IFERROR(VLOOKUP(AE167,'Cálculos_CGI - SAC FIXA'!A165:K557,10,0),"")</f>
        <v>2274.5564114233757</v>
      </c>
      <c r="AH167" s="97">
        <f>IFERROR(VLOOKUP(AE167,[1]Cálculos_PRICE!$A$32:$K$212,6,0),"")</f>
        <v>7425.1501246280823</v>
      </c>
      <c r="AI167" s="97">
        <f>IFERROR(VLOOKUP(AE167,'Cálculos_CGI - SAC FIXA'!A165:K557,6,0),"")</f>
        <v>555.55555555555554</v>
      </c>
      <c r="AJ167" s="97">
        <f>IFERROR(VLOOKUP(AE167,[1]Cálculos_PRICE!$A$32:$K$240,11,0),"")</f>
        <v>571178.86784204759</v>
      </c>
      <c r="AK167" s="97">
        <f>IFERROR(VLOOKUP(AE167,'Cálculos_CGI - SAC FIXA'!A165:K557,11,0),"")</f>
        <v>128333.3333333325</v>
      </c>
      <c r="AN167" s="157">
        <f t="shared" si="38"/>
        <v>70320.632222223066</v>
      </c>
      <c r="AO167" s="152" t="s">
        <v>248</v>
      </c>
      <c r="AP167" s="152" t="s">
        <v>119</v>
      </c>
      <c r="AQ167" s="153">
        <v>48003</v>
      </c>
      <c r="AR167" s="154">
        <v>198913.41</v>
      </c>
      <c r="AS167" s="155">
        <v>815</v>
      </c>
      <c r="AT167" s="155">
        <v>0</v>
      </c>
      <c r="AU167" s="154">
        <v>2565.98</v>
      </c>
      <c r="AV167" s="155">
        <v>65.75</v>
      </c>
      <c r="AW167" s="154">
        <v>3446.73</v>
      </c>
      <c r="AX167" s="156"/>
    </row>
    <row r="168" spans="1:50" ht="15.5" x14ac:dyDescent="0.35">
      <c r="A168" s="98">
        <f t="shared" si="36"/>
        <v>125</v>
      </c>
      <c r="B168" s="99">
        <f t="shared" ca="1" si="28"/>
        <v>49861</v>
      </c>
      <c r="C168" s="100">
        <f t="shared" si="25"/>
        <v>131111.11111111031</v>
      </c>
      <c r="D168" s="100">
        <f t="shared" si="29"/>
        <v>1429.1111111111024</v>
      </c>
      <c r="E168" s="100">
        <f t="shared" si="30"/>
        <v>132540.2222222214</v>
      </c>
      <c r="F168" s="100">
        <f t="shared" si="31"/>
        <v>555.55555555555554</v>
      </c>
      <c r="G168" s="100">
        <f t="shared" si="32"/>
        <v>2224.9119669789316</v>
      </c>
      <c r="H168" s="100">
        <f t="shared" si="33"/>
        <v>30.15555555555537</v>
      </c>
      <c r="I168" s="100">
        <f t="shared" si="26"/>
        <v>20</v>
      </c>
      <c r="J168" s="100">
        <f t="shared" si="34"/>
        <v>2275.0675225344871</v>
      </c>
      <c r="K168" s="101">
        <f t="shared" si="35"/>
        <v>130555.55555555475</v>
      </c>
      <c r="O168" s="118">
        <f t="shared" si="37"/>
        <v>16.666666666666664</v>
      </c>
      <c r="P168" s="119">
        <f t="shared" ca="1" si="27"/>
        <v>30</v>
      </c>
      <c r="Q168" s="120">
        <v>365</v>
      </c>
      <c r="AA168" s="96">
        <f t="shared" si="39"/>
        <v>130</v>
      </c>
      <c r="AB168" s="97">
        <f t="shared" si="40"/>
        <v>16256.740574336289</v>
      </c>
      <c r="AC168" s="97">
        <f t="shared" ref="AC168:AC231" si="41">IF($AA$36=1,VLOOKUP(AA168,$AE$38:$AK$278,7,0),IF($AA$36=2,VLOOKUP(AA168,$AE$38:$AK$278,5,0),VLOOKUP(AA168,$AE$38:$AK$278,3,0)))</f>
        <v>2274.428633645598</v>
      </c>
      <c r="AE168" s="96">
        <f t="shared" ref="AE168:AE231" si="42">AA168</f>
        <v>130</v>
      </c>
      <c r="AF168" s="97">
        <f>IFERROR(VLOOKUP(AE168,[1]Cálculos_PRICE!$A$32:$K$212,10,0),"")</f>
        <v>16256.740574336289</v>
      </c>
      <c r="AG168" s="97">
        <f>IFERROR(VLOOKUP(AE168,'Cálculos_CGI - SAC FIXA'!A166:K558,10,0),"")</f>
        <v>2274.428633645598</v>
      </c>
      <c r="AH168" s="97">
        <f>IFERROR(VLOOKUP(AE168,[1]Cálculos_PRICE!$A$32:$K$212,6,0),"")</f>
        <v>7536.5273764975027</v>
      </c>
      <c r="AI168" s="97">
        <f>IFERROR(VLOOKUP(AE168,'Cálculos_CGI - SAC FIXA'!A166:K558,6,0),"")</f>
        <v>555.55555555555554</v>
      </c>
      <c r="AJ168" s="97">
        <f>IFERROR(VLOOKUP(AE168,[1]Cálculos_PRICE!$A$32:$K$240,11,0),"")</f>
        <v>563642.34046555008</v>
      </c>
      <c r="AK168" s="97">
        <f>IFERROR(VLOOKUP(AE168,'Cálculos_CGI - SAC FIXA'!A166:K558,11,0),"")</f>
        <v>127777.77777777694</v>
      </c>
      <c r="AN168" s="157">
        <f t="shared" si="38"/>
        <v>70050.677777778619</v>
      </c>
      <c r="AO168" s="147" t="s">
        <v>249</v>
      </c>
      <c r="AP168" s="147" t="s">
        <v>119</v>
      </c>
      <c r="AQ168" s="148">
        <v>48033</v>
      </c>
      <c r="AR168" s="149">
        <v>198098.41</v>
      </c>
      <c r="AS168" s="150">
        <v>825.51</v>
      </c>
      <c r="AT168" s="150">
        <v>0</v>
      </c>
      <c r="AU168" s="149">
        <v>2555.4699999999998</v>
      </c>
      <c r="AV168" s="150">
        <v>65.56</v>
      </c>
      <c r="AW168" s="149">
        <v>3446.54</v>
      </c>
      <c r="AX168" s="151"/>
    </row>
    <row r="169" spans="1:50" ht="15.5" x14ac:dyDescent="0.35">
      <c r="A169" s="98">
        <f t="shared" si="36"/>
        <v>126</v>
      </c>
      <c r="B169" s="99">
        <f t="shared" ca="1" si="28"/>
        <v>49892</v>
      </c>
      <c r="C169" s="100">
        <f t="shared" si="25"/>
        <v>130555.55555555475</v>
      </c>
      <c r="D169" s="100">
        <f t="shared" si="29"/>
        <v>1423.0555555555468</v>
      </c>
      <c r="E169" s="100">
        <f t="shared" si="30"/>
        <v>131978.61111111028</v>
      </c>
      <c r="F169" s="100">
        <f t="shared" si="31"/>
        <v>555.55555555555554</v>
      </c>
      <c r="G169" s="100">
        <f t="shared" si="32"/>
        <v>2224.9119669789316</v>
      </c>
      <c r="H169" s="100">
        <f t="shared" si="33"/>
        <v>30.027777777777594</v>
      </c>
      <c r="I169" s="100">
        <f t="shared" si="26"/>
        <v>20</v>
      </c>
      <c r="J169" s="100">
        <f t="shared" si="34"/>
        <v>2274.9397447567089</v>
      </c>
      <c r="K169" s="101">
        <f t="shared" si="35"/>
        <v>129999.99999999919</v>
      </c>
      <c r="O169" s="118">
        <f t="shared" si="37"/>
        <v>16.666666666666664</v>
      </c>
      <c r="P169" s="119">
        <f t="shared" ca="1" si="27"/>
        <v>31</v>
      </c>
      <c r="Q169" s="120">
        <v>365</v>
      </c>
      <c r="AA169" s="96">
        <f t="shared" si="39"/>
        <v>131</v>
      </c>
      <c r="AB169" s="97">
        <f t="shared" si="40"/>
        <v>16255.064450647755</v>
      </c>
      <c r="AC169" s="97">
        <f t="shared" si="41"/>
        <v>2274.3008558678202</v>
      </c>
      <c r="AE169" s="96">
        <f t="shared" si="42"/>
        <v>131</v>
      </c>
      <c r="AF169" s="97">
        <f>IFERROR(VLOOKUP(AE169,[1]Cálculos_PRICE!$A$32:$K$212,10,0),"")</f>
        <v>16255.064450647755</v>
      </c>
      <c r="AG169" s="97">
        <f>IFERROR(VLOOKUP(AE169,'Cálculos_CGI - SAC FIXA'!A167:K559,10,0),"")</f>
        <v>2274.3008558678202</v>
      </c>
      <c r="AH169" s="97">
        <f>IFERROR(VLOOKUP(AE169,[1]Cálculos_PRICE!$A$32:$K$212,6,0),"")</f>
        <v>7649.5752871449658</v>
      </c>
      <c r="AI169" s="97">
        <f>IFERROR(VLOOKUP(AE169,'Cálculos_CGI - SAC FIXA'!A167:K559,6,0),"")</f>
        <v>555.55555555555554</v>
      </c>
      <c r="AJ169" s="97">
        <f>IFERROR(VLOOKUP(AE169,[1]Cálculos_PRICE!$A$32:$K$240,11,0),"")</f>
        <v>555992.7651784051</v>
      </c>
      <c r="AK169" s="97">
        <f>IFERROR(VLOOKUP(AE169,'Cálculos_CGI - SAC FIXA'!A167:K559,11,0),"")</f>
        <v>127222.22222222137</v>
      </c>
      <c r="AN169" s="157">
        <f t="shared" si="38"/>
        <v>69770.073333334178</v>
      </c>
      <c r="AO169" s="152" t="s">
        <v>250</v>
      </c>
      <c r="AP169" s="152" t="s">
        <v>119</v>
      </c>
      <c r="AQ169" s="153">
        <v>48064</v>
      </c>
      <c r="AR169" s="154">
        <v>197272.9</v>
      </c>
      <c r="AS169" s="155">
        <v>836.16</v>
      </c>
      <c r="AT169" s="155">
        <v>0</v>
      </c>
      <c r="AU169" s="154">
        <v>2544.8200000000002</v>
      </c>
      <c r="AV169" s="155">
        <v>65.37</v>
      </c>
      <c r="AW169" s="154">
        <v>3446.35</v>
      </c>
      <c r="AX169" s="156"/>
    </row>
    <row r="170" spans="1:50" ht="15.5" x14ac:dyDescent="0.35">
      <c r="A170" s="98">
        <f t="shared" si="36"/>
        <v>127</v>
      </c>
      <c r="B170" s="99">
        <f t="shared" ca="1" si="28"/>
        <v>49923</v>
      </c>
      <c r="C170" s="100">
        <f t="shared" si="25"/>
        <v>129999.99999999919</v>
      </c>
      <c r="D170" s="100">
        <f t="shared" si="29"/>
        <v>1416.9999999999911</v>
      </c>
      <c r="E170" s="100">
        <f t="shared" si="30"/>
        <v>131416.99999999919</v>
      </c>
      <c r="F170" s="100">
        <f t="shared" si="31"/>
        <v>555.55555555555554</v>
      </c>
      <c r="G170" s="100">
        <f t="shared" si="32"/>
        <v>2224.9119669789316</v>
      </c>
      <c r="H170" s="100">
        <f t="shared" si="33"/>
        <v>29.899999999999814</v>
      </c>
      <c r="I170" s="100">
        <f t="shared" si="26"/>
        <v>20</v>
      </c>
      <c r="J170" s="100">
        <f t="shared" si="34"/>
        <v>2274.8119669789312</v>
      </c>
      <c r="K170" s="101">
        <f t="shared" si="35"/>
        <v>129444.44444444362</v>
      </c>
      <c r="O170" s="118">
        <f t="shared" si="37"/>
        <v>16.666666666666664</v>
      </c>
      <c r="P170" s="119">
        <f t="shared" ca="1" si="27"/>
        <v>31</v>
      </c>
      <c r="Q170" s="120">
        <v>365</v>
      </c>
      <c r="AA170" s="96">
        <f t="shared" si="39"/>
        <v>132</v>
      </c>
      <c r="AB170" s="97">
        <f t="shared" si="40"/>
        <v>16253.363185103894</v>
      </c>
      <c r="AC170" s="97">
        <f t="shared" si="41"/>
        <v>2274.1730780900425</v>
      </c>
      <c r="AE170" s="96">
        <f t="shared" si="42"/>
        <v>132</v>
      </c>
      <c r="AF170" s="97">
        <f>IFERROR(VLOOKUP(AE170,[1]Cálculos_PRICE!$A$32:$K$212,10,0),"")</f>
        <v>16253.363185103894</v>
      </c>
      <c r="AG170" s="97">
        <f>IFERROR(VLOOKUP(AE170,'Cálculos_CGI - SAC FIXA'!A168:K560,10,0),"")</f>
        <v>2274.1730780900425</v>
      </c>
      <c r="AH170" s="97">
        <f>IFERROR(VLOOKUP(AE170,[1]Cálculos_PRICE!$A$32:$K$212,6,0),"")</f>
        <v>7764.3189164521409</v>
      </c>
      <c r="AI170" s="97">
        <f>IFERROR(VLOOKUP(AE170,'Cálculos_CGI - SAC FIXA'!A168:K560,6,0),"")</f>
        <v>555.55555555555554</v>
      </c>
      <c r="AJ170" s="97">
        <f>IFERROR(VLOOKUP(AE170,[1]Cálculos_PRICE!$A$32:$K$240,11,0),"")</f>
        <v>548228.44626195298</v>
      </c>
      <c r="AK170" s="97">
        <f>IFERROR(VLOOKUP(AE170,'Cálculos_CGI - SAC FIXA'!A168:K560,11,0),"")</f>
        <v>126666.66666666581</v>
      </c>
      <c r="AN170" s="157">
        <f t="shared" si="38"/>
        <v>69478.678888889757</v>
      </c>
      <c r="AO170" s="147" t="s">
        <v>251</v>
      </c>
      <c r="AP170" s="147" t="s">
        <v>119</v>
      </c>
      <c r="AQ170" s="148">
        <v>48095</v>
      </c>
      <c r="AR170" s="149">
        <v>196436.74</v>
      </c>
      <c r="AS170" s="150">
        <v>846.95</v>
      </c>
      <c r="AT170" s="150">
        <v>0</v>
      </c>
      <c r="AU170" s="149">
        <v>2534.0300000000002</v>
      </c>
      <c r="AV170" s="150">
        <v>65.180000000000007</v>
      </c>
      <c r="AW170" s="149">
        <v>3446.16</v>
      </c>
      <c r="AX170" s="151"/>
    </row>
    <row r="171" spans="1:50" ht="15.5" x14ac:dyDescent="0.35">
      <c r="A171" s="98">
        <f t="shared" si="36"/>
        <v>128</v>
      </c>
      <c r="B171" s="99">
        <f t="shared" ca="1" si="28"/>
        <v>49953</v>
      </c>
      <c r="C171" s="100">
        <f t="shared" si="25"/>
        <v>129444.44444444362</v>
      </c>
      <c r="D171" s="100">
        <f t="shared" si="29"/>
        <v>1410.9444444444355</v>
      </c>
      <c r="E171" s="100">
        <f t="shared" si="30"/>
        <v>130855.38888888806</v>
      </c>
      <c r="F171" s="100">
        <f t="shared" si="31"/>
        <v>555.55555555555554</v>
      </c>
      <c r="G171" s="100">
        <f t="shared" si="32"/>
        <v>2224.9119669789316</v>
      </c>
      <c r="H171" s="100">
        <f t="shared" si="33"/>
        <v>29.772222222222034</v>
      </c>
      <c r="I171" s="100">
        <f t="shared" si="26"/>
        <v>20</v>
      </c>
      <c r="J171" s="100">
        <f t="shared" si="34"/>
        <v>2274.6841892011535</v>
      </c>
      <c r="K171" s="101">
        <f t="shared" si="35"/>
        <v>128888.88888888806</v>
      </c>
      <c r="O171" s="118">
        <f t="shared" si="37"/>
        <v>16.666666666666664</v>
      </c>
      <c r="P171" s="119">
        <f t="shared" ca="1" si="27"/>
        <v>30</v>
      </c>
      <c r="Q171" s="120">
        <v>365</v>
      </c>
      <c r="AA171" s="96">
        <f t="shared" si="39"/>
        <v>133</v>
      </c>
      <c r="AB171" s="97">
        <f t="shared" si="40"/>
        <v>16251.636400576876</v>
      </c>
      <c r="AC171" s="97">
        <f t="shared" si="41"/>
        <v>2274.0453003122648</v>
      </c>
      <c r="AE171" s="96">
        <f t="shared" si="42"/>
        <v>133</v>
      </c>
      <c r="AF171" s="97">
        <f>IFERROR(VLOOKUP(AE171,[1]Cálculos_PRICE!$A$32:$K$212,10,0),"")</f>
        <v>16251.636400576876</v>
      </c>
      <c r="AG171" s="97">
        <f>IFERROR(VLOOKUP(AE171,'Cálculos_CGI - SAC FIXA'!A169:K561,10,0),"")</f>
        <v>2274.0453003122648</v>
      </c>
      <c r="AH171" s="97">
        <f>IFERROR(VLOOKUP(AE171,[1]Cálculos_PRICE!$A$32:$K$212,6,0),"")</f>
        <v>7880.7837001989228</v>
      </c>
      <c r="AI171" s="97">
        <f>IFERROR(VLOOKUP(AE171,'Cálculos_CGI - SAC FIXA'!A169:K561,6,0),"")</f>
        <v>555.55555555555554</v>
      </c>
      <c r="AJ171" s="97">
        <f>IFERROR(VLOOKUP(AE171,[1]Cálculos_PRICE!$A$32:$K$240,11,0),"")</f>
        <v>540347.66256175411</v>
      </c>
      <c r="AK171" s="97">
        <f>IFERROR(VLOOKUP(AE171,'Cálculos_CGI - SAC FIXA'!A169:K561,11,0),"")</f>
        <v>126111.11111111025</v>
      </c>
      <c r="AN171" s="157">
        <f t="shared" si="38"/>
        <v>69176.364444445324</v>
      </c>
      <c r="AO171" s="152" t="s">
        <v>252</v>
      </c>
      <c r="AP171" s="152" t="s">
        <v>119</v>
      </c>
      <c r="AQ171" s="153">
        <v>48125</v>
      </c>
      <c r="AR171" s="154">
        <v>195589.79</v>
      </c>
      <c r="AS171" s="155">
        <v>857.87</v>
      </c>
      <c r="AT171" s="155">
        <v>0</v>
      </c>
      <c r="AU171" s="154">
        <v>2523.11</v>
      </c>
      <c r="AV171" s="155">
        <v>64.989999999999995</v>
      </c>
      <c r="AW171" s="154">
        <v>3445.97</v>
      </c>
      <c r="AX171" s="156"/>
    </row>
    <row r="172" spans="1:50" ht="15.5" x14ac:dyDescent="0.35">
      <c r="A172" s="98">
        <f t="shared" si="36"/>
        <v>129</v>
      </c>
      <c r="B172" s="99">
        <f t="shared" ca="1" si="28"/>
        <v>49984</v>
      </c>
      <c r="C172" s="100">
        <f t="shared" ref="C172:C235" si="43">IF(A172="","",K171)</f>
        <v>128888.88888888806</v>
      </c>
      <c r="D172" s="100">
        <f t="shared" si="29"/>
        <v>1404.8888888888798</v>
      </c>
      <c r="E172" s="100">
        <f t="shared" si="30"/>
        <v>130293.77777777694</v>
      </c>
      <c r="F172" s="100">
        <f t="shared" si="31"/>
        <v>555.55555555555554</v>
      </c>
      <c r="G172" s="100">
        <f t="shared" si="32"/>
        <v>2224.9119669789316</v>
      </c>
      <c r="H172" s="100">
        <f t="shared" si="33"/>
        <v>29.644444444444254</v>
      </c>
      <c r="I172" s="100">
        <f t="shared" ref="I172:I235" si="44">IF(A172="","",IF(K171="","",IF(K171=0,"",$J$28*$I$14)))</f>
        <v>20</v>
      </c>
      <c r="J172" s="100">
        <f t="shared" si="34"/>
        <v>2274.5564114233757</v>
      </c>
      <c r="K172" s="101">
        <f t="shared" si="35"/>
        <v>128333.3333333325</v>
      </c>
      <c r="O172" s="118">
        <f t="shared" si="37"/>
        <v>16.666666666666664</v>
      </c>
      <c r="P172" s="119">
        <f t="shared" ref="P172:P235" ca="1" si="45">IF($A172&lt;=$I$18,B172-B171,)</f>
        <v>31</v>
      </c>
      <c r="Q172" s="120">
        <v>365</v>
      </c>
      <c r="AA172" s="96">
        <f t="shared" si="39"/>
        <v>134</v>
      </c>
      <c r="AB172" s="97">
        <f t="shared" si="40"/>
        <v>16249.88371428195</v>
      </c>
      <c r="AC172" s="97">
        <f t="shared" si="41"/>
        <v>2273.917522534487</v>
      </c>
      <c r="AE172" s="96">
        <f t="shared" si="42"/>
        <v>134</v>
      </c>
      <c r="AF172" s="97">
        <f>IFERROR(VLOOKUP(AE172,[1]Cálculos_PRICE!$A$32:$K$212,10,0),"")</f>
        <v>16249.88371428195</v>
      </c>
      <c r="AG172" s="97">
        <f>IFERROR(VLOOKUP(AE172,'Cálculos_CGI - SAC FIXA'!A170:K562,10,0),"")</f>
        <v>2273.917522534487</v>
      </c>
      <c r="AH172" s="97">
        <f>IFERROR(VLOOKUP(AE172,[1]Cálculos_PRICE!$A$32:$K$212,6,0),"")</f>
        <v>7998.9954557019055</v>
      </c>
      <c r="AI172" s="97">
        <f>IFERROR(VLOOKUP(AE172,'Cálculos_CGI - SAC FIXA'!A170:K562,6,0),"")</f>
        <v>555.55555555555554</v>
      </c>
      <c r="AJ172" s="97">
        <f>IFERROR(VLOOKUP(AE172,[1]Cálculos_PRICE!$A$32:$K$240,11,0),"")</f>
        <v>532348.66710605216</v>
      </c>
      <c r="AK172" s="97">
        <f>IFERROR(VLOOKUP(AE172,'Cálculos_CGI - SAC FIXA'!A170:K562,11,0),"")</f>
        <v>125555.55555555469</v>
      </c>
      <c r="AN172" s="157">
        <f t="shared" si="38"/>
        <v>68862.980000000884</v>
      </c>
      <c r="AO172" s="147" t="s">
        <v>253</v>
      </c>
      <c r="AP172" s="147" t="s">
        <v>119</v>
      </c>
      <c r="AQ172" s="148">
        <v>48156</v>
      </c>
      <c r="AR172" s="149">
        <v>194731.92</v>
      </c>
      <c r="AS172" s="150">
        <v>868.94</v>
      </c>
      <c r="AT172" s="150">
        <v>0</v>
      </c>
      <c r="AU172" s="149">
        <v>2512.04</v>
      </c>
      <c r="AV172" s="150">
        <v>64.790000000000006</v>
      </c>
      <c r="AW172" s="149">
        <v>3445.77</v>
      </c>
      <c r="AX172" s="151"/>
    </row>
    <row r="173" spans="1:50" ht="15.5" x14ac:dyDescent="0.35">
      <c r="A173" s="98">
        <f t="shared" si="36"/>
        <v>130</v>
      </c>
      <c r="B173" s="99">
        <f t="shared" ref="B173:B236" ca="1" si="46">IFERROR(IF(A173&lt;=$I$18,DATE(YEAR($B$44),MONTH($B$44)+A172,DAY($B$44)),"-"),"")</f>
        <v>50014</v>
      </c>
      <c r="C173" s="100">
        <f t="shared" si="43"/>
        <v>128333.3333333325</v>
      </c>
      <c r="D173" s="100">
        <f t="shared" ref="D173:D236" si="47">C173*$I$20</f>
        <v>1398.8333333333242</v>
      </c>
      <c r="E173" s="100">
        <f t="shared" ref="E173:E236" si="48">IFERROR(C173+D173,"")</f>
        <v>129732.16666666583</v>
      </c>
      <c r="F173" s="100">
        <f t="shared" ref="F173:F236" si="49">$I$13/$I$18</f>
        <v>555.55555555555554</v>
      </c>
      <c r="G173" s="100">
        <f t="shared" ref="G173:G236" si="50">IF(A173="","",PMT($I$20,$I$18,$C$44)*-1)</f>
        <v>2224.9119669789316</v>
      </c>
      <c r="H173" s="100">
        <f t="shared" ref="H173:H236" si="51">C173*$J$27</f>
        <v>29.516666666666477</v>
      </c>
      <c r="I173" s="100">
        <f t="shared" si="44"/>
        <v>20</v>
      </c>
      <c r="J173" s="100">
        <f t="shared" ref="J173:J236" si="52">IFERROR(SUM(I173+H173+G173),"")</f>
        <v>2274.428633645598</v>
      </c>
      <c r="K173" s="101">
        <f t="shared" ref="K173:K236" si="53">C173-F173</f>
        <v>127777.77777777694</v>
      </c>
      <c r="O173" s="118">
        <f t="shared" si="37"/>
        <v>16.666666666666664</v>
      </c>
      <c r="P173" s="119">
        <f t="shared" ca="1" si="45"/>
        <v>30</v>
      </c>
      <c r="Q173" s="120">
        <v>365</v>
      </c>
      <c r="AA173" s="96">
        <f t="shared" si="39"/>
        <v>135</v>
      </c>
      <c r="AB173" s="97">
        <f t="shared" si="40"/>
        <v>16248.104737692604</v>
      </c>
      <c r="AC173" s="97">
        <f t="shared" si="41"/>
        <v>2273.7897447567093</v>
      </c>
      <c r="AE173" s="96">
        <f t="shared" si="42"/>
        <v>135</v>
      </c>
      <c r="AF173" s="97">
        <f>IFERROR(VLOOKUP(AE173,[1]Cálculos_PRICE!$A$32:$K$212,10,0),"")</f>
        <v>16248.104737692604</v>
      </c>
      <c r="AG173" s="97">
        <f>IFERROR(VLOOKUP(AE173,'Cálculos_CGI - SAC FIXA'!A171:K563,10,0),"")</f>
        <v>2273.7897447567093</v>
      </c>
      <c r="AH173" s="97">
        <f>IFERROR(VLOOKUP(AE173,[1]Cálculos_PRICE!$A$32:$K$212,6,0),"")</f>
        <v>8118.9803875374346</v>
      </c>
      <c r="AI173" s="97">
        <f>IFERROR(VLOOKUP(AE173,'Cálculos_CGI - SAC FIXA'!A171:K563,6,0),"")</f>
        <v>555.55555555555554</v>
      </c>
      <c r="AJ173" s="97">
        <f>IFERROR(VLOOKUP(AE173,[1]Cálculos_PRICE!$A$32:$K$240,11,0),"")</f>
        <v>524229.68671851471</v>
      </c>
      <c r="AK173" s="97">
        <f>IFERROR(VLOOKUP(AE173,'Cálculos_CGI - SAC FIXA'!A171:K563,11,0),"")</f>
        <v>124999.99999999913</v>
      </c>
      <c r="AN173" s="157">
        <f t="shared" si="38"/>
        <v>68538.385555556422</v>
      </c>
      <c r="AO173" s="152" t="s">
        <v>254</v>
      </c>
      <c r="AP173" s="152" t="s">
        <v>119</v>
      </c>
      <c r="AQ173" s="153">
        <v>48186</v>
      </c>
      <c r="AR173" s="154">
        <v>193862.98</v>
      </c>
      <c r="AS173" s="155">
        <v>880.15</v>
      </c>
      <c r="AT173" s="155">
        <v>0</v>
      </c>
      <c r="AU173" s="154">
        <v>2500.83</v>
      </c>
      <c r="AV173" s="155">
        <v>64.59</v>
      </c>
      <c r="AW173" s="154">
        <v>3445.57</v>
      </c>
      <c r="AX173" s="156"/>
    </row>
    <row r="174" spans="1:50" ht="15.5" x14ac:dyDescent="0.35">
      <c r="A174" s="98">
        <f t="shared" ref="A174:A237" si="54">IF(IF(AND(A173&gt;0,A173&lt;$I$18),A173+1,0)=0,"",IF(AND(A173&gt;0,A173&lt;$I$18),A173+1,0))</f>
        <v>131</v>
      </c>
      <c r="B174" s="99">
        <f t="shared" ca="1" si="46"/>
        <v>50045</v>
      </c>
      <c r="C174" s="100">
        <f t="shared" si="43"/>
        <v>127777.77777777694</v>
      </c>
      <c r="D174" s="100">
        <f t="shared" si="47"/>
        <v>1392.7777777777685</v>
      </c>
      <c r="E174" s="100">
        <f t="shared" si="48"/>
        <v>129170.5555555547</v>
      </c>
      <c r="F174" s="100">
        <f t="shared" si="49"/>
        <v>555.55555555555554</v>
      </c>
      <c r="G174" s="100">
        <f t="shared" si="50"/>
        <v>2224.9119669789316</v>
      </c>
      <c r="H174" s="100">
        <f t="shared" si="51"/>
        <v>29.388888888888697</v>
      </c>
      <c r="I174" s="100">
        <f t="shared" si="44"/>
        <v>20</v>
      </c>
      <c r="J174" s="100">
        <f t="shared" si="52"/>
        <v>2274.3008558678202</v>
      </c>
      <c r="K174" s="101">
        <f t="shared" si="53"/>
        <v>127222.22222222137</v>
      </c>
      <c r="O174" s="118">
        <f t="shared" si="37"/>
        <v>16.666666666666664</v>
      </c>
      <c r="P174" s="119">
        <f t="shared" ca="1" si="45"/>
        <v>31</v>
      </c>
      <c r="Q174" s="120">
        <v>365</v>
      </c>
      <c r="AA174" s="96">
        <f t="shared" si="39"/>
        <v>136</v>
      </c>
      <c r="AB174" s="97">
        <f t="shared" si="40"/>
        <v>16246.299076454414</v>
      </c>
      <c r="AC174" s="97">
        <f t="shared" si="41"/>
        <v>2273.6619669789316</v>
      </c>
      <c r="AE174" s="96">
        <f t="shared" si="42"/>
        <v>136</v>
      </c>
      <c r="AF174" s="97">
        <f>IFERROR(VLOOKUP(AE174,[1]Cálculos_PRICE!$A$32:$K$212,10,0),"")</f>
        <v>16246.299076454414</v>
      </c>
      <c r="AG174" s="97">
        <f>IFERROR(VLOOKUP(AE174,'Cálculos_CGI - SAC FIXA'!A172:K564,10,0),"")</f>
        <v>2273.6619669789316</v>
      </c>
      <c r="AH174" s="97">
        <f>IFERROR(VLOOKUP(AE174,[1]Cálculos_PRICE!$A$32:$K$212,6,0),"")</f>
        <v>8240.7650933504956</v>
      </c>
      <c r="AI174" s="97">
        <f>IFERROR(VLOOKUP(AE174,'Cálculos_CGI - SAC FIXA'!A172:K564,6,0),"")</f>
        <v>555.55555555555554</v>
      </c>
      <c r="AJ174" s="97">
        <f>IFERROR(VLOOKUP(AE174,[1]Cálculos_PRICE!$A$32:$K$240,11,0),"")</f>
        <v>515988.92162516422</v>
      </c>
      <c r="AK174" s="97">
        <f>IFERROR(VLOOKUP(AE174,'Cálculos_CGI - SAC FIXA'!A172:K564,11,0),"")</f>
        <v>124444.44444444356</v>
      </c>
      <c r="AN174" s="157">
        <f t="shared" si="38"/>
        <v>68202.441111111984</v>
      </c>
      <c r="AO174" s="147" t="s">
        <v>255</v>
      </c>
      <c r="AP174" s="147" t="s">
        <v>119</v>
      </c>
      <c r="AQ174" s="148">
        <v>48217</v>
      </c>
      <c r="AR174" s="149">
        <v>192982.83</v>
      </c>
      <c r="AS174" s="150">
        <v>891.5</v>
      </c>
      <c r="AT174" s="150">
        <v>0</v>
      </c>
      <c r="AU174" s="149">
        <v>2489.48</v>
      </c>
      <c r="AV174" s="150">
        <v>64.39</v>
      </c>
      <c r="AW174" s="149">
        <v>3445.37</v>
      </c>
      <c r="AX174" s="151"/>
    </row>
    <row r="175" spans="1:50" ht="15.5" x14ac:dyDescent="0.35">
      <c r="A175" s="98">
        <f t="shared" si="54"/>
        <v>132</v>
      </c>
      <c r="B175" s="99">
        <f t="shared" ca="1" si="46"/>
        <v>50076</v>
      </c>
      <c r="C175" s="100">
        <f t="shared" si="43"/>
        <v>127222.22222222137</v>
      </c>
      <c r="D175" s="100">
        <f t="shared" si="47"/>
        <v>1386.7222222222131</v>
      </c>
      <c r="E175" s="100">
        <f t="shared" si="48"/>
        <v>128608.94444444359</v>
      </c>
      <c r="F175" s="100">
        <f t="shared" si="49"/>
        <v>555.55555555555554</v>
      </c>
      <c r="G175" s="100">
        <f t="shared" si="50"/>
        <v>2224.9119669789316</v>
      </c>
      <c r="H175" s="100">
        <f t="shared" si="51"/>
        <v>29.261111111110917</v>
      </c>
      <c r="I175" s="100">
        <f t="shared" si="44"/>
        <v>20</v>
      </c>
      <c r="J175" s="100">
        <f t="shared" si="52"/>
        <v>2274.1730780900425</v>
      </c>
      <c r="K175" s="101">
        <f t="shared" si="53"/>
        <v>126666.66666666581</v>
      </c>
      <c r="O175" s="118">
        <f t="shared" si="37"/>
        <v>16.666666666666664</v>
      </c>
      <c r="P175" s="119">
        <f t="shared" ca="1" si="45"/>
        <v>31</v>
      </c>
      <c r="Q175" s="120">
        <v>365</v>
      </c>
      <c r="AA175" s="96">
        <f t="shared" si="39"/>
        <v>137</v>
      </c>
      <c r="AB175" s="97">
        <f t="shared" si="40"/>
        <v>16244.466330297653</v>
      </c>
      <c r="AC175" s="97">
        <f t="shared" si="41"/>
        <v>2273.5341892011534</v>
      </c>
      <c r="AE175" s="96">
        <f t="shared" si="42"/>
        <v>137</v>
      </c>
      <c r="AF175" s="97">
        <f>IFERROR(VLOOKUP(AE175,[1]Cálculos_PRICE!$A$32:$K$212,10,0),"")</f>
        <v>16244.466330297653</v>
      </c>
      <c r="AG175" s="97">
        <f>IFERROR(VLOOKUP(AE175,'Cálculos_CGI - SAC FIXA'!A173:K565,10,0),"")</f>
        <v>2273.5341892011534</v>
      </c>
      <c r="AH175" s="97">
        <f>IFERROR(VLOOKUP(AE175,[1]Cálculos_PRICE!$A$32:$K$212,6,0),"")</f>
        <v>8364.3765697507533</v>
      </c>
      <c r="AI175" s="97">
        <f>IFERROR(VLOOKUP(AE175,'Cálculos_CGI - SAC FIXA'!A173:K565,6,0),"")</f>
        <v>555.55555555555554</v>
      </c>
      <c r="AJ175" s="97">
        <f>IFERROR(VLOOKUP(AE175,[1]Cálculos_PRICE!$A$32:$K$240,11,0),"")</f>
        <v>507624.54505541344</v>
      </c>
      <c r="AK175" s="97">
        <f>IFERROR(VLOOKUP(AE175,'Cálculos_CGI - SAC FIXA'!A173:K565,11,0),"")</f>
        <v>123888.888888888</v>
      </c>
      <c r="AN175" s="157">
        <f t="shared" si="38"/>
        <v>67854.996666667546</v>
      </c>
      <c r="AO175" s="152" t="s">
        <v>256</v>
      </c>
      <c r="AP175" s="152" t="s">
        <v>119</v>
      </c>
      <c r="AQ175" s="153">
        <v>48248</v>
      </c>
      <c r="AR175" s="154">
        <v>192091.33</v>
      </c>
      <c r="AS175" s="155">
        <v>903</v>
      </c>
      <c r="AT175" s="155">
        <v>0</v>
      </c>
      <c r="AU175" s="154">
        <v>2477.98</v>
      </c>
      <c r="AV175" s="155">
        <v>64.180000000000007</v>
      </c>
      <c r="AW175" s="154">
        <v>3445.16</v>
      </c>
      <c r="AX175" s="156"/>
    </row>
    <row r="176" spans="1:50" ht="15.5" x14ac:dyDescent="0.35">
      <c r="A176" s="98">
        <f t="shared" si="54"/>
        <v>133</v>
      </c>
      <c r="B176" s="99">
        <f t="shared" ca="1" si="46"/>
        <v>50104</v>
      </c>
      <c r="C176" s="100">
        <f t="shared" si="43"/>
        <v>126666.66666666581</v>
      </c>
      <c r="D176" s="100">
        <f t="shared" si="47"/>
        <v>1380.6666666666574</v>
      </c>
      <c r="E176" s="100">
        <f t="shared" si="48"/>
        <v>128047.33333333247</v>
      </c>
      <c r="F176" s="100">
        <f t="shared" si="49"/>
        <v>555.55555555555554</v>
      </c>
      <c r="G176" s="100">
        <f t="shared" si="50"/>
        <v>2224.9119669789316</v>
      </c>
      <c r="H176" s="100">
        <f t="shared" si="51"/>
        <v>29.133333333333137</v>
      </c>
      <c r="I176" s="100">
        <f t="shared" si="44"/>
        <v>20</v>
      </c>
      <c r="J176" s="100">
        <f t="shared" si="52"/>
        <v>2274.0453003122648</v>
      </c>
      <c r="K176" s="101">
        <f t="shared" si="53"/>
        <v>126111.11111111025</v>
      </c>
      <c r="O176" s="118">
        <f t="shared" si="37"/>
        <v>16.666666666666664</v>
      </c>
      <c r="P176" s="119">
        <f t="shared" ca="1" si="45"/>
        <v>28</v>
      </c>
      <c r="Q176" s="120">
        <v>365</v>
      </c>
      <c r="AA176" s="96">
        <f t="shared" si="39"/>
        <v>138</v>
      </c>
      <c r="AB176" s="97">
        <f t="shared" si="40"/>
        <v>16242.606092948541</v>
      </c>
      <c r="AC176" s="97">
        <f t="shared" si="41"/>
        <v>2273.4064114233756</v>
      </c>
      <c r="AE176" s="96">
        <f t="shared" si="42"/>
        <v>138</v>
      </c>
      <c r="AF176" s="97">
        <f>IFERROR(VLOOKUP(AE176,[1]Cálculos_PRICE!$A$32:$K$212,10,0),"")</f>
        <v>16242.606092948541</v>
      </c>
      <c r="AG176" s="97">
        <f>IFERROR(VLOOKUP(AE176,'Cálculos_CGI - SAC FIXA'!A174:K566,10,0),"")</f>
        <v>2273.4064114233756</v>
      </c>
      <c r="AH176" s="97">
        <f>IFERROR(VLOOKUP(AE176,[1]Cálculos_PRICE!$A$32:$K$212,6,0),"")</f>
        <v>8489.8422182970153</v>
      </c>
      <c r="AI176" s="97">
        <f>IFERROR(VLOOKUP(AE176,'Cálculos_CGI - SAC FIXA'!A174:K566,6,0),"")</f>
        <v>555.55555555555554</v>
      </c>
      <c r="AJ176" s="97">
        <f>IFERROR(VLOOKUP(AE176,[1]Cálculos_PRICE!$A$32:$K$240,11,0),"")</f>
        <v>499134.70283711643</v>
      </c>
      <c r="AK176" s="97">
        <f>IFERROR(VLOOKUP(AE176,'Cálculos_CGI - SAC FIXA'!A174:K566,11,0),"")</f>
        <v>123333.33333333244</v>
      </c>
      <c r="AN176" s="157">
        <f t="shared" si="38"/>
        <v>67495.902222223114</v>
      </c>
      <c r="AO176" s="147" t="s">
        <v>257</v>
      </c>
      <c r="AP176" s="147" t="s">
        <v>119</v>
      </c>
      <c r="AQ176" s="148">
        <v>48277</v>
      </c>
      <c r="AR176" s="149">
        <v>191188.33</v>
      </c>
      <c r="AS176" s="150">
        <v>914.65</v>
      </c>
      <c r="AT176" s="150">
        <v>0</v>
      </c>
      <c r="AU176" s="149">
        <v>2466.33</v>
      </c>
      <c r="AV176" s="150">
        <v>63.97</v>
      </c>
      <c r="AW176" s="149">
        <v>3444.95</v>
      </c>
      <c r="AX176" s="151"/>
    </row>
    <row r="177" spans="1:50" ht="15.5" x14ac:dyDescent="0.35">
      <c r="A177" s="98">
        <f t="shared" si="54"/>
        <v>134</v>
      </c>
      <c r="B177" s="99">
        <f t="shared" ca="1" si="46"/>
        <v>50135</v>
      </c>
      <c r="C177" s="100">
        <f t="shared" si="43"/>
        <v>126111.11111111025</v>
      </c>
      <c r="D177" s="100">
        <f t="shared" si="47"/>
        <v>1374.6111111111018</v>
      </c>
      <c r="E177" s="100">
        <f t="shared" si="48"/>
        <v>127485.72222222135</v>
      </c>
      <c r="F177" s="100">
        <f t="shared" si="49"/>
        <v>555.55555555555554</v>
      </c>
      <c r="G177" s="100">
        <f t="shared" si="50"/>
        <v>2224.9119669789316</v>
      </c>
      <c r="H177" s="100">
        <f t="shared" si="51"/>
        <v>29.005555555555357</v>
      </c>
      <c r="I177" s="100">
        <f t="shared" si="44"/>
        <v>20</v>
      </c>
      <c r="J177" s="100">
        <f t="shared" si="52"/>
        <v>2273.917522534487</v>
      </c>
      <c r="K177" s="101">
        <f t="shared" si="53"/>
        <v>125555.55555555469</v>
      </c>
      <c r="O177" s="118">
        <f t="shared" si="37"/>
        <v>16.666666666666664</v>
      </c>
      <c r="P177" s="119">
        <f t="shared" ca="1" si="45"/>
        <v>31</v>
      </c>
      <c r="Q177" s="120">
        <v>365</v>
      </c>
      <c r="AA177" s="96">
        <f t="shared" si="39"/>
        <v>139</v>
      </c>
      <c r="AB177" s="97">
        <f t="shared" si="40"/>
        <v>16240.717952039191</v>
      </c>
      <c r="AC177" s="97">
        <f t="shared" si="41"/>
        <v>2273.2786336455979</v>
      </c>
      <c r="AE177" s="96">
        <f t="shared" si="42"/>
        <v>139</v>
      </c>
      <c r="AF177" s="97">
        <f>IFERROR(VLOOKUP(AE177,[1]Cálculos_PRICE!$A$32:$K$212,10,0),"")</f>
        <v>16240.717952039191</v>
      </c>
      <c r="AG177" s="97">
        <f>IFERROR(VLOOKUP(AE177,'Cálculos_CGI - SAC FIXA'!A175:K567,10,0),"")</f>
        <v>2273.2786336455979</v>
      </c>
      <c r="AH177" s="97">
        <f>IFERROR(VLOOKUP(AE177,[1]Cálculos_PRICE!$A$32:$K$212,6,0),"")</f>
        <v>8617.1898515714711</v>
      </c>
      <c r="AI177" s="97">
        <f>IFERROR(VLOOKUP(AE177,'Cálculos_CGI - SAC FIXA'!A175:K567,6,0),"")</f>
        <v>555.55555555555554</v>
      </c>
      <c r="AJ177" s="97">
        <f>IFERROR(VLOOKUP(AE177,[1]Cálculos_PRICE!$A$32:$K$240,11,0),"")</f>
        <v>490517.51298554498</v>
      </c>
      <c r="AK177" s="97">
        <f>IFERROR(VLOOKUP(AE177,'Cálculos_CGI - SAC FIXA'!A175:K567,11,0),"")</f>
        <v>122777.77777777688</v>
      </c>
      <c r="AN177" s="157">
        <f t="shared" si="38"/>
        <v>67125.007777778694</v>
      </c>
      <c r="AO177" s="152" t="s">
        <v>258</v>
      </c>
      <c r="AP177" s="152" t="s">
        <v>119</v>
      </c>
      <c r="AQ177" s="153">
        <v>48308</v>
      </c>
      <c r="AR177" s="154">
        <v>190273.68</v>
      </c>
      <c r="AS177" s="155">
        <v>926.45</v>
      </c>
      <c r="AT177" s="155">
        <v>0</v>
      </c>
      <c r="AU177" s="154">
        <v>2454.5300000000002</v>
      </c>
      <c r="AV177" s="155">
        <v>63.76</v>
      </c>
      <c r="AW177" s="154">
        <v>3444.74</v>
      </c>
      <c r="AX177" s="156"/>
    </row>
    <row r="178" spans="1:50" ht="15.5" x14ac:dyDescent="0.35">
      <c r="A178" s="98">
        <f t="shared" si="54"/>
        <v>135</v>
      </c>
      <c r="B178" s="99">
        <f t="shared" ca="1" si="46"/>
        <v>50165</v>
      </c>
      <c r="C178" s="100">
        <f t="shared" si="43"/>
        <v>125555.55555555469</v>
      </c>
      <c r="D178" s="100">
        <f t="shared" si="47"/>
        <v>1368.5555555555461</v>
      </c>
      <c r="E178" s="100">
        <f t="shared" si="48"/>
        <v>126924.11111111024</v>
      </c>
      <c r="F178" s="100">
        <f t="shared" si="49"/>
        <v>555.55555555555554</v>
      </c>
      <c r="G178" s="100">
        <f t="shared" si="50"/>
        <v>2224.9119669789316</v>
      </c>
      <c r="H178" s="100">
        <f t="shared" si="51"/>
        <v>28.877777777777581</v>
      </c>
      <c r="I178" s="100">
        <f t="shared" si="44"/>
        <v>20</v>
      </c>
      <c r="J178" s="100">
        <f t="shared" si="52"/>
        <v>2273.7897447567093</v>
      </c>
      <c r="K178" s="101">
        <f t="shared" si="53"/>
        <v>124999.99999999913</v>
      </c>
      <c r="O178" s="118">
        <f t="shared" si="37"/>
        <v>16.666666666666664</v>
      </c>
      <c r="P178" s="119">
        <f t="shared" ca="1" si="45"/>
        <v>30</v>
      </c>
      <c r="Q178" s="120">
        <v>365</v>
      </c>
      <c r="AA178" s="96">
        <f t="shared" si="39"/>
        <v>140</v>
      </c>
      <c r="AB178" s="97">
        <f t="shared" si="40"/>
        <v>16238.801489016201</v>
      </c>
      <c r="AC178" s="97">
        <f t="shared" si="41"/>
        <v>2273.1508558678202</v>
      </c>
      <c r="AE178" s="96">
        <f t="shared" si="42"/>
        <v>140</v>
      </c>
      <c r="AF178" s="97">
        <f>IFERROR(VLOOKUP(AE178,[1]Cálculos_PRICE!$A$32:$K$212,10,0),"")</f>
        <v>16238.801489016201</v>
      </c>
      <c r="AG178" s="97">
        <f>IFERROR(VLOOKUP(AE178,'Cálculos_CGI - SAC FIXA'!A176:K568,10,0),"")</f>
        <v>2273.1508558678202</v>
      </c>
      <c r="AH178" s="97">
        <f>IFERROR(VLOOKUP(AE178,[1]Cálculos_PRICE!$A$32:$K$212,6,0),"")</f>
        <v>8746.4476993450426</v>
      </c>
      <c r="AI178" s="97">
        <f>IFERROR(VLOOKUP(AE178,'Cálculos_CGI - SAC FIXA'!A176:K568,6,0),"")</f>
        <v>555.55555555555554</v>
      </c>
      <c r="AJ178" s="97">
        <f>IFERROR(VLOOKUP(AE178,[1]Cálculos_PRICE!$A$32:$K$240,11,0),"")</f>
        <v>481771.06528619991</v>
      </c>
      <c r="AK178" s="97">
        <f>IFERROR(VLOOKUP(AE178,'Cálculos_CGI - SAC FIXA'!A176:K568,11,0),"")</f>
        <v>122222.22222222132</v>
      </c>
      <c r="AN178" s="157">
        <f t="shared" si="38"/>
        <v>66742.163333334232</v>
      </c>
      <c r="AO178" s="147" t="s">
        <v>259</v>
      </c>
      <c r="AP178" s="147" t="s">
        <v>119</v>
      </c>
      <c r="AQ178" s="148">
        <v>48338</v>
      </c>
      <c r="AR178" s="149">
        <v>189347.23</v>
      </c>
      <c r="AS178" s="150">
        <v>938.4</v>
      </c>
      <c r="AT178" s="150">
        <v>0</v>
      </c>
      <c r="AU178" s="149">
        <v>2442.58</v>
      </c>
      <c r="AV178" s="150">
        <v>63.55</v>
      </c>
      <c r="AW178" s="149">
        <v>3444.53</v>
      </c>
      <c r="AX178" s="151"/>
    </row>
    <row r="179" spans="1:50" ht="15.5" x14ac:dyDescent="0.35">
      <c r="A179" s="98">
        <f t="shared" si="54"/>
        <v>136</v>
      </c>
      <c r="B179" s="99">
        <f t="shared" ca="1" si="46"/>
        <v>50196</v>
      </c>
      <c r="C179" s="100">
        <f t="shared" si="43"/>
        <v>124999.99999999913</v>
      </c>
      <c r="D179" s="100">
        <f t="shared" si="47"/>
        <v>1362.4999999999905</v>
      </c>
      <c r="E179" s="100">
        <f t="shared" si="48"/>
        <v>126362.49999999911</v>
      </c>
      <c r="F179" s="100">
        <f t="shared" si="49"/>
        <v>555.55555555555554</v>
      </c>
      <c r="G179" s="100">
        <f t="shared" si="50"/>
        <v>2224.9119669789316</v>
      </c>
      <c r="H179" s="100">
        <f t="shared" si="51"/>
        <v>28.749999999999801</v>
      </c>
      <c r="I179" s="100">
        <f t="shared" si="44"/>
        <v>20</v>
      </c>
      <c r="J179" s="100">
        <f t="shared" si="52"/>
        <v>2273.6619669789316</v>
      </c>
      <c r="K179" s="101">
        <f t="shared" si="53"/>
        <v>124444.44444444356</v>
      </c>
      <c r="O179" s="118">
        <f t="shared" si="37"/>
        <v>16.666666666666664</v>
      </c>
      <c r="P179" s="119">
        <f t="shared" ca="1" si="45"/>
        <v>31</v>
      </c>
      <c r="Q179" s="120">
        <v>365</v>
      </c>
      <c r="AA179" s="96">
        <f t="shared" si="39"/>
        <v>141</v>
      </c>
      <c r="AB179" s="97">
        <f t="shared" si="40"/>
        <v>16236.856279047868</v>
      </c>
      <c r="AC179" s="97">
        <f t="shared" si="41"/>
        <v>2273.0230780900424</v>
      </c>
      <c r="AE179" s="96">
        <f t="shared" si="42"/>
        <v>141</v>
      </c>
      <c r="AF179" s="97">
        <f>IFERROR(VLOOKUP(AE179,[1]Cálculos_PRICE!$A$32:$K$212,10,0),"")</f>
        <v>16236.856279047868</v>
      </c>
      <c r="AG179" s="97">
        <f>IFERROR(VLOOKUP(AE179,'Cálculos_CGI - SAC FIXA'!A177:K569,10,0),"")</f>
        <v>2273.0230780900424</v>
      </c>
      <c r="AH179" s="97">
        <f>IFERROR(VLOOKUP(AE179,[1]Cálculos_PRICE!$A$32:$K$212,6,0),"")</f>
        <v>8877.6444148352184</v>
      </c>
      <c r="AI179" s="97">
        <f>IFERROR(VLOOKUP(AE179,'Cálculos_CGI - SAC FIXA'!A177:K569,6,0),"")</f>
        <v>555.55555555555554</v>
      </c>
      <c r="AJ179" s="97">
        <f>IFERROR(VLOOKUP(AE179,[1]Cálculos_PRICE!$A$32:$K$240,11,0),"")</f>
        <v>472893.42087136471</v>
      </c>
      <c r="AK179" s="97">
        <f>IFERROR(VLOOKUP(AE179,'Cálculos_CGI - SAC FIXA'!A177:K569,11,0),"")</f>
        <v>121666.66666666575</v>
      </c>
      <c r="AN179" s="157">
        <f t="shared" si="38"/>
        <v>66347.208888889814</v>
      </c>
      <c r="AO179" s="152" t="s">
        <v>260</v>
      </c>
      <c r="AP179" s="152" t="s">
        <v>119</v>
      </c>
      <c r="AQ179" s="153">
        <v>48369</v>
      </c>
      <c r="AR179" s="154">
        <v>188408.83</v>
      </c>
      <c r="AS179" s="155">
        <v>950.51</v>
      </c>
      <c r="AT179" s="155">
        <v>0</v>
      </c>
      <c r="AU179" s="154">
        <v>2430.4699999999998</v>
      </c>
      <c r="AV179" s="155">
        <v>63.33</v>
      </c>
      <c r="AW179" s="154">
        <v>3444.31</v>
      </c>
      <c r="AX179" s="156"/>
    </row>
    <row r="180" spans="1:50" ht="15.5" x14ac:dyDescent="0.35">
      <c r="A180" s="98">
        <f t="shared" si="54"/>
        <v>137</v>
      </c>
      <c r="B180" s="99">
        <f t="shared" ca="1" si="46"/>
        <v>50226</v>
      </c>
      <c r="C180" s="100">
        <f t="shared" si="43"/>
        <v>124444.44444444356</v>
      </c>
      <c r="D180" s="100">
        <f t="shared" si="47"/>
        <v>1356.4444444444348</v>
      </c>
      <c r="E180" s="100">
        <f t="shared" si="48"/>
        <v>125800.888888888</v>
      </c>
      <c r="F180" s="100">
        <f t="shared" si="49"/>
        <v>555.55555555555554</v>
      </c>
      <c r="G180" s="100">
        <f t="shared" si="50"/>
        <v>2224.9119669789316</v>
      </c>
      <c r="H180" s="100">
        <f t="shared" si="51"/>
        <v>28.622222222222021</v>
      </c>
      <c r="I180" s="100">
        <f t="shared" si="44"/>
        <v>20</v>
      </c>
      <c r="J180" s="100">
        <f t="shared" si="52"/>
        <v>2273.5341892011534</v>
      </c>
      <c r="K180" s="101">
        <f t="shared" si="53"/>
        <v>123888.888888888</v>
      </c>
      <c r="O180" s="118">
        <f t="shared" si="37"/>
        <v>16.666666666666664</v>
      </c>
      <c r="P180" s="119">
        <f t="shared" ca="1" si="45"/>
        <v>30</v>
      </c>
      <c r="Q180" s="120">
        <v>365</v>
      </c>
      <c r="AA180" s="96">
        <f t="shared" si="39"/>
        <v>142</v>
      </c>
      <c r="AB180" s="97">
        <f t="shared" si="40"/>
        <v>16234.881890930008</v>
      </c>
      <c r="AC180" s="97">
        <f t="shared" si="41"/>
        <v>2272.8953003122647</v>
      </c>
      <c r="AE180" s="96">
        <f t="shared" si="42"/>
        <v>142</v>
      </c>
      <c r="AF180" s="97">
        <f>IFERROR(VLOOKUP(AE180,[1]Cálculos_PRICE!$A$32:$K$212,10,0),"")</f>
        <v>16234.881890930008</v>
      </c>
      <c r="AG180" s="97">
        <f>IFERROR(VLOOKUP(AE180,'Cálculos_CGI - SAC FIXA'!A178:K570,10,0),"")</f>
        <v>2272.8953003122647</v>
      </c>
      <c r="AH180" s="97">
        <f>IFERROR(VLOOKUP(AE180,[1]Cálculos_PRICE!$A$32:$K$212,6,0),"")</f>
        <v>9010.8090810577451</v>
      </c>
      <c r="AI180" s="97">
        <f>IFERROR(VLOOKUP(AE180,'Cálculos_CGI - SAC FIXA'!A178:K570,6,0),"")</f>
        <v>555.55555555555554</v>
      </c>
      <c r="AJ180" s="97">
        <f>IFERROR(VLOOKUP(AE180,[1]Cálculos_PRICE!$A$32:$K$240,11,0),"")</f>
        <v>463882.61179030698</v>
      </c>
      <c r="AK180" s="97">
        <f>IFERROR(VLOOKUP(AE180,'Cálculos_CGI - SAC FIXA'!A178:K570,11,0),"")</f>
        <v>121111.11111111019</v>
      </c>
      <c r="AN180" s="157">
        <f t="shared" si="38"/>
        <v>65939.994444445358</v>
      </c>
      <c r="AO180" s="147" t="s">
        <v>261</v>
      </c>
      <c r="AP180" s="147" t="s">
        <v>119</v>
      </c>
      <c r="AQ180" s="148">
        <v>48399</v>
      </c>
      <c r="AR180" s="149">
        <v>187458.32</v>
      </c>
      <c r="AS180" s="150">
        <v>962.77</v>
      </c>
      <c r="AT180" s="150">
        <v>0</v>
      </c>
      <c r="AU180" s="149">
        <v>2418.21</v>
      </c>
      <c r="AV180" s="150">
        <v>63.12</v>
      </c>
      <c r="AW180" s="149">
        <v>3444.1</v>
      </c>
      <c r="AX180" s="151"/>
    </row>
    <row r="181" spans="1:50" ht="15.5" x14ac:dyDescent="0.35">
      <c r="A181" s="98">
        <f t="shared" si="54"/>
        <v>138</v>
      </c>
      <c r="B181" s="99">
        <f t="shared" ca="1" si="46"/>
        <v>50257</v>
      </c>
      <c r="C181" s="100">
        <f t="shared" si="43"/>
        <v>123888.888888888</v>
      </c>
      <c r="D181" s="100">
        <f t="shared" si="47"/>
        <v>1350.3888888888791</v>
      </c>
      <c r="E181" s="100">
        <f t="shared" si="48"/>
        <v>125239.27777777688</v>
      </c>
      <c r="F181" s="100">
        <f t="shared" si="49"/>
        <v>555.55555555555554</v>
      </c>
      <c r="G181" s="100">
        <f t="shared" si="50"/>
        <v>2224.9119669789316</v>
      </c>
      <c r="H181" s="100">
        <f t="shared" si="51"/>
        <v>28.494444444444241</v>
      </c>
      <c r="I181" s="100">
        <f t="shared" si="44"/>
        <v>20</v>
      </c>
      <c r="J181" s="100">
        <f t="shared" si="52"/>
        <v>2273.4064114233756</v>
      </c>
      <c r="K181" s="101">
        <f t="shared" si="53"/>
        <v>123333.33333333244</v>
      </c>
      <c r="O181" s="118">
        <f t="shared" si="37"/>
        <v>16.666666666666664</v>
      </c>
      <c r="P181" s="119">
        <f t="shared" ca="1" si="45"/>
        <v>31</v>
      </c>
      <c r="Q181" s="120">
        <v>365</v>
      </c>
      <c r="AA181" s="96">
        <f t="shared" si="39"/>
        <v>143</v>
      </c>
      <c r="AB181" s="97">
        <f t="shared" si="40"/>
        <v>16232.877886990382</v>
      </c>
      <c r="AC181" s="97">
        <f t="shared" si="41"/>
        <v>2272.7675225344869</v>
      </c>
      <c r="AE181" s="96">
        <f t="shared" si="42"/>
        <v>143</v>
      </c>
      <c r="AF181" s="97">
        <f>IFERROR(VLOOKUP(AE181,[1]Cálculos_PRICE!$A$32:$K$212,10,0),"")</f>
        <v>16232.877886990382</v>
      </c>
      <c r="AG181" s="97">
        <f>IFERROR(VLOOKUP(AE181,'Cálculos_CGI - SAC FIXA'!A179:K571,10,0),"")</f>
        <v>2272.7675225344869</v>
      </c>
      <c r="AH181" s="97">
        <f>IFERROR(VLOOKUP(AE181,[1]Cálculos_PRICE!$A$32:$K$212,6,0),"")</f>
        <v>9145.9712172736108</v>
      </c>
      <c r="AI181" s="97">
        <f>IFERROR(VLOOKUP(AE181,'Cálculos_CGI - SAC FIXA'!A179:K571,6,0),"")</f>
        <v>555.55555555555554</v>
      </c>
      <c r="AJ181" s="97">
        <f>IFERROR(VLOOKUP(AE181,[1]Cálculos_PRICE!$A$32:$K$240,11,0),"")</f>
        <v>454736.64057303336</v>
      </c>
      <c r="AK181" s="97">
        <f>IFERROR(VLOOKUP(AE181,'Cálculos_CGI - SAC FIXA'!A179:K571,11,0),"")</f>
        <v>120555.55555555463</v>
      </c>
      <c r="AN181" s="157">
        <f t="shared" si="38"/>
        <v>65520.360000000917</v>
      </c>
      <c r="AO181" s="152" t="s">
        <v>262</v>
      </c>
      <c r="AP181" s="152" t="s">
        <v>119</v>
      </c>
      <c r="AQ181" s="153">
        <v>48430</v>
      </c>
      <c r="AR181" s="154">
        <v>186495.55</v>
      </c>
      <c r="AS181" s="155">
        <v>975.19</v>
      </c>
      <c r="AT181" s="155">
        <v>0</v>
      </c>
      <c r="AU181" s="154">
        <v>2405.79</v>
      </c>
      <c r="AV181" s="155">
        <v>62.89</v>
      </c>
      <c r="AW181" s="154">
        <v>3443.87</v>
      </c>
      <c r="AX181" s="156"/>
    </row>
    <row r="182" spans="1:50" ht="15.5" x14ac:dyDescent="0.35">
      <c r="A182" s="98">
        <f t="shared" si="54"/>
        <v>139</v>
      </c>
      <c r="B182" s="99">
        <f t="shared" ca="1" si="46"/>
        <v>50288</v>
      </c>
      <c r="C182" s="100">
        <f t="shared" si="43"/>
        <v>123333.33333333244</v>
      </c>
      <c r="D182" s="100">
        <f t="shared" si="47"/>
        <v>1344.3333333333237</v>
      </c>
      <c r="E182" s="100">
        <f t="shared" si="48"/>
        <v>124677.66666666577</v>
      </c>
      <c r="F182" s="100">
        <f t="shared" si="49"/>
        <v>555.55555555555554</v>
      </c>
      <c r="G182" s="100">
        <f t="shared" si="50"/>
        <v>2224.9119669789316</v>
      </c>
      <c r="H182" s="100">
        <f t="shared" si="51"/>
        <v>28.366666666666461</v>
      </c>
      <c r="I182" s="100">
        <f t="shared" si="44"/>
        <v>20</v>
      </c>
      <c r="J182" s="100">
        <f t="shared" si="52"/>
        <v>2273.2786336455979</v>
      </c>
      <c r="K182" s="101">
        <f t="shared" si="53"/>
        <v>122777.77777777688</v>
      </c>
      <c r="O182" s="118">
        <f t="shared" si="37"/>
        <v>16.666666666666664</v>
      </c>
      <c r="P182" s="119">
        <f t="shared" ca="1" si="45"/>
        <v>31</v>
      </c>
      <c r="Q182" s="120">
        <v>365</v>
      </c>
      <c r="AA182" s="96">
        <f t="shared" si="39"/>
        <v>144</v>
      </c>
      <c r="AB182" s="97">
        <f t="shared" si="40"/>
        <v>16230.843822991659</v>
      </c>
      <c r="AC182" s="97">
        <f t="shared" si="41"/>
        <v>2272.6397447567092</v>
      </c>
      <c r="AE182" s="96">
        <f t="shared" si="42"/>
        <v>144</v>
      </c>
      <c r="AF182" s="97">
        <f>IFERROR(VLOOKUP(AE182,[1]Cálculos_PRICE!$A$32:$K$212,10,0),"")</f>
        <v>16230.843822991659</v>
      </c>
      <c r="AG182" s="97">
        <f>IFERROR(VLOOKUP(AE182,'Cálculos_CGI - SAC FIXA'!A180:K572,10,0),"")</f>
        <v>2272.6397447567092</v>
      </c>
      <c r="AH182" s="97">
        <f>IFERROR(VLOOKUP(AE182,[1]Cálculos_PRICE!$A$32:$K$212,6,0),"")</f>
        <v>9283.1607855327165</v>
      </c>
      <c r="AI182" s="97">
        <f>IFERROR(VLOOKUP(AE182,'Cálculos_CGI - SAC FIXA'!A180:K572,6,0),"")</f>
        <v>555.55555555555554</v>
      </c>
      <c r="AJ182" s="97">
        <f>IFERROR(VLOOKUP(AE182,[1]Cálculos_PRICE!$A$32:$K$240,11,0),"")</f>
        <v>445453.47978750063</v>
      </c>
      <c r="AK182" s="97">
        <f>IFERROR(VLOOKUP(AE182,'Cálculos_CGI - SAC FIXA'!A180:K572,11,0),"")</f>
        <v>119999.99999999907</v>
      </c>
      <c r="AN182" s="157">
        <f t="shared" si="38"/>
        <v>65088.14555555649</v>
      </c>
      <c r="AO182" s="147" t="s">
        <v>263</v>
      </c>
      <c r="AP182" s="147" t="s">
        <v>119</v>
      </c>
      <c r="AQ182" s="148">
        <v>48461</v>
      </c>
      <c r="AR182" s="149">
        <v>185520.36</v>
      </c>
      <c r="AS182" s="150">
        <v>987.77</v>
      </c>
      <c r="AT182" s="150">
        <v>0</v>
      </c>
      <c r="AU182" s="149">
        <v>2393.21</v>
      </c>
      <c r="AV182" s="150">
        <v>62.67</v>
      </c>
      <c r="AW182" s="149">
        <v>3443.65</v>
      </c>
      <c r="AX182" s="151"/>
    </row>
    <row r="183" spans="1:50" ht="15.5" x14ac:dyDescent="0.35">
      <c r="A183" s="98">
        <f t="shared" si="54"/>
        <v>140</v>
      </c>
      <c r="B183" s="99">
        <f t="shared" ca="1" si="46"/>
        <v>50318</v>
      </c>
      <c r="C183" s="100">
        <f t="shared" si="43"/>
        <v>122777.77777777688</v>
      </c>
      <c r="D183" s="100">
        <f t="shared" si="47"/>
        <v>1338.2777777777681</v>
      </c>
      <c r="E183" s="100">
        <f t="shared" si="48"/>
        <v>124116.05555555465</v>
      </c>
      <c r="F183" s="100">
        <f t="shared" si="49"/>
        <v>555.55555555555554</v>
      </c>
      <c r="G183" s="100">
        <f t="shared" si="50"/>
        <v>2224.9119669789316</v>
      </c>
      <c r="H183" s="100">
        <f t="shared" si="51"/>
        <v>28.238888888888685</v>
      </c>
      <c r="I183" s="100">
        <f t="shared" si="44"/>
        <v>20</v>
      </c>
      <c r="J183" s="100">
        <f t="shared" si="52"/>
        <v>2273.1508558678202</v>
      </c>
      <c r="K183" s="101">
        <f t="shared" si="53"/>
        <v>122222.22222222132</v>
      </c>
      <c r="O183" s="118">
        <f t="shared" si="37"/>
        <v>16.666666666666664</v>
      </c>
      <c r="P183" s="119">
        <f t="shared" ca="1" si="45"/>
        <v>30</v>
      </c>
      <c r="Q183" s="120">
        <v>365</v>
      </c>
      <c r="AA183" s="96">
        <f t="shared" si="39"/>
        <v>145</v>
      </c>
      <c r="AB183" s="97">
        <f t="shared" si="40"/>
        <v>16228.779248032957</v>
      </c>
      <c r="AC183" s="97">
        <f t="shared" si="41"/>
        <v>2272.5119669789315</v>
      </c>
      <c r="AE183" s="96">
        <f t="shared" si="42"/>
        <v>145</v>
      </c>
      <c r="AF183" s="97">
        <f>IFERROR(VLOOKUP(AE183,[1]Cálculos_PRICE!$A$32:$K$212,10,0),"")</f>
        <v>16228.779248032957</v>
      </c>
      <c r="AG183" s="97">
        <f>IFERROR(VLOOKUP(AE183,'Cálculos_CGI - SAC FIXA'!A181:K573,10,0),"")</f>
        <v>2272.5119669789315</v>
      </c>
      <c r="AH183" s="97">
        <f>IFERROR(VLOOKUP(AE183,[1]Cálculos_PRICE!$A$32:$K$212,6,0),"")</f>
        <v>9422.4081973157081</v>
      </c>
      <c r="AI183" s="97">
        <f>IFERROR(VLOOKUP(AE183,'Cálculos_CGI - SAC FIXA'!A181:K573,6,0),"")</f>
        <v>555.55555555555554</v>
      </c>
      <c r="AJ183" s="97">
        <f>IFERROR(VLOOKUP(AE183,[1]Cálculos_PRICE!$A$32:$K$240,11,0),"")</f>
        <v>436031.07159018493</v>
      </c>
      <c r="AK183" s="97">
        <f>IFERROR(VLOOKUP(AE183,'Cálculos_CGI - SAC FIXA'!A181:K573,11,0),"")</f>
        <v>119444.44444444351</v>
      </c>
      <c r="AN183" s="157">
        <f t="shared" si="38"/>
        <v>64643.191111112043</v>
      </c>
      <c r="AO183" s="152" t="s">
        <v>264</v>
      </c>
      <c r="AP183" s="152" t="s">
        <v>119</v>
      </c>
      <c r="AQ183" s="153">
        <v>48491</v>
      </c>
      <c r="AR183" s="154">
        <v>184532.59</v>
      </c>
      <c r="AS183" s="154">
        <v>1000.51</v>
      </c>
      <c r="AT183" s="155">
        <v>0</v>
      </c>
      <c r="AU183" s="154">
        <v>2380.4699999999998</v>
      </c>
      <c r="AV183" s="155">
        <v>62.44</v>
      </c>
      <c r="AW183" s="154">
        <v>3443.42</v>
      </c>
      <c r="AX183" s="156"/>
    </row>
    <row r="184" spans="1:50" ht="15.5" x14ac:dyDescent="0.35">
      <c r="A184" s="98">
        <f t="shared" si="54"/>
        <v>141</v>
      </c>
      <c r="B184" s="99">
        <f t="shared" ca="1" si="46"/>
        <v>50349</v>
      </c>
      <c r="C184" s="100">
        <f t="shared" si="43"/>
        <v>122222.22222222132</v>
      </c>
      <c r="D184" s="100">
        <f t="shared" si="47"/>
        <v>1332.2222222222124</v>
      </c>
      <c r="E184" s="100">
        <f t="shared" si="48"/>
        <v>123554.44444444354</v>
      </c>
      <c r="F184" s="100">
        <f t="shared" si="49"/>
        <v>555.55555555555554</v>
      </c>
      <c r="G184" s="100">
        <f t="shared" si="50"/>
        <v>2224.9119669789316</v>
      </c>
      <c r="H184" s="100">
        <f t="shared" si="51"/>
        <v>28.111111111110905</v>
      </c>
      <c r="I184" s="100">
        <f t="shared" si="44"/>
        <v>20</v>
      </c>
      <c r="J184" s="100">
        <f t="shared" si="52"/>
        <v>2273.0230780900424</v>
      </c>
      <c r="K184" s="101">
        <f t="shared" si="53"/>
        <v>121666.66666666575</v>
      </c>
      <c r="O184" s="118">
        <f t="shared" ref="O184:O247" si="55">IFERROR(F184*$O$39,0)</f>
        <v>16.666666666666664</v>
      </c>
      <c r="P184" s="119">
        <f t="shared" ca="1" si="45"/>
        <v>31</v>
      </c>
      <c r="Q184" s="120">
        <v>365</v>
      </c>
      <c r="AA184" s="96">
        <f t="shared" si="39"/>
        <v>146</v>
      </c>
      <c r="AB184" s="97">
        <f t="shared" si="40"/>
        <v>16226.683704449873</v>
      </c>
      <c r="AC184" s="97">
        <f t="shared" si="41"/>
        <v>2272.3841892011537</v>
      </c>
      <c r="AE184" s="96">
        <f t="shared" si="42"/>
        <v>146</v>
      </c>
      <c r="AF184" s="97">
        <f>IFERROR(VLOOKUP(AE184,[1]Cálculos_PRICE!$A$32:$K$212,10,0),"")</f>
        <v>16226.683704449873</v>
      </c>
      <c r="AG184" s="97">
        <f>IFERROR(VLOOKUP(AE184,'Cálculos_CGI - SAC FIXA'!A182:K574,10,0),"")</f>
        <v>2272.3841892011537</v>
      </c>
      <c r="AH184" s="97">
        <f>IFERROR(VLOOKUP(AE184,[1]Cálculos_PRICE!$A$32:$K$212,6,0),"")</f>
        <v>9563.7443202754439</v>
      </c>
      <c r="AI184" s="97">
        <f>IFERROR(VLOOKUP(AE184,'Cálculos_CGI - SAC FIXA'!A182:K574,6,0),"")</f>
        <v>555.55555555555554</v>
      </c>
      <c r="AJ184" s="97">
        <f>IFERROR(VLOOKUP(AE184,[1]Cálculos_PRICE!$A$32:$K$240,11,0),"")</f>
        <v>426467.3272699095</v>
      </c>
      <c r="AK184" s="97">
        <f>IFERROR(VLOOKUP(AE184,'Cálculos_CGI - SAC FIXA'!A182:K574,11,0),"")</f>
        <v>118888.88888888794</v>
      </c>
      <c r="AN184" s="157">
        <f t="shared" si="38"/>
        <v>64185.326666667621</v>
      </c>
      <c r="AO184" s="147" t="s">
        <v>265</v>
      </c>
      <c r="AP184" s="147" t="s">
        <v>119</v>
      </c>
      <c r="AQ184" s="148">
        <v>48522</v>
      </c>
      <c r="AR184" s="149">
        <v>183532.08</v>
      </c>
      <c r="AS184" s="149">
        <v>1013.42</v>
      </c>
      <c r="AT184" s="150">
        <v>0</v>
      </c>
      <c r="AU184" s="149">
        <v>2367.56</v>
      </c>
      <c r="AV184" s="150">
        <v>62.21</v>
      </c>
      <c r="AW184" s="149">
        <v>3443.19</v>
      </c>
      <c r="AX184" s="151"/>
    </row>
    <row r="185" spans="1:50" ht="15.5" x14ac:dyDescent="0.35">
      <c r="A185" s="98">
        <f t="shared" si="54"/>
        <v>142</v>
      </c>
      <c r="B185" s="99">
        <f t="shared" ca="1" si="46"/>
        <v>50379</v>
      </c>
      <c r="C185" s="100">
        <f t="shared" si="43"/>
        <v>121666.66666666575</v>
      </c>
      <c r="D185" s="100">
        <f t="shared" si="47"/>
        <v>1326.1666666666567</v>
      </c>
      <c r="E185" s="100">
        <f t="shared" si="48"/>
        <v>122992.83333333241</v>
      </c>
      <c r="F185" s="100">
        <f t="shared" si="49"/>
        <v>555.55555555555554</v>
      </c>
      <c r="G185" s="100">
        <f t="shared" si="50"/>
        <v>2224.9119669789316</v>
      </c>
      <c r="H185" s="100">
        <f t="shared" si="51"/>
        <v>27.983333333333125</v>
      </c>
      <c r="I185" s="100">
        <f t="shared" si="44"/>
        <v>20</v>
      </c>
      <c r="J185" s="100">
        <f t="shared" si="52"/>
        <v>2272.8953003122647</v>
      </c>
      <c r="K185" s="101">
        <f t="shared" si="53"/>
        <v>121111.11111111019</v>
      </c>
      <c r="O185" s="118">
        <f t="shared" si="55"/>
        <v>16.666666666666664</v>
      </c>
      <c r="P185" s="119">
        <f t="shared" ca="1" si="45"/>
        <v>30</v>
      </c>
      <c r="Q185" s="120">
        <v>365</v>
      </c>
      <c r="AA185" s="96">
        <f t="shared" si="39"/>
        <v>147</v>
      </c>
      <c r="AB185" s="97">
        <f t="shared" si="40"/>
        <v>16224.556727713045</v>
      </c>
      <c r="AC185" s="97">
        <f t="shared" si="41"/>
        <v>2272.256411423376</v>
      </c>
      <c r="AE185" s="96">
        <f t="shared" si="42"/>
        <v>147</v>
      </c>
      <c r="AF185" s="97">
        <f>IFERROR(VLOOKUP(AE185,[1]Cálculos_PRICE!$A$32:$K$212,10,0),"")</f>
        <v>16224.556727713045</v>
      </c>
      <c r="AG185" s="97">
        <f>IFERROR(VLOOKUP(AE185,'Cálculos_CGI - SAC FIXA'!A183:K575,10,0),"")</f>
        <v>2272.256411423376</v>
      </c>
      <c r="AH185" s="97">
        <f>IFERROR(VLOOKUP(AE185,[1]Cálculos_PRICE!$A$32:$K$212,6,0),"")</f>
        <v>9707.2004850795747</v>
      </c>
      <c r="AI185" s="97">
        <f>IFERROR(VLOOKUP(AE185,'Cálculos_CGI - SAC FIXA'!A183:K575,6,0),"")</f>
        <v>555.55555555555554</v>
      </c>
      <c r="AJ185" s="97">
        <f>IFERROR(VLOOKUP(AE185,[1]Cálculos_PRICE!$A$32:$K$240,11,0),"")</f>
        <v>416760.12678482995</v>
      </c>
      <c r="AK185" s="97">
        <f>IFERROR(VLOOKUP(AE185,'Cálculos_CGI - SAC FIXA'!A183:K575,11,0),"")</f>
        <v>118333.33333333238</v>
      </c>
      <c r="AN185" s="157">
        <f t="shared" si="38"/>
        <v>63714.392222223192</v>
      </c>
      <c r="AO185" s="152" t="s">
        <v>266</v>
      </c>
      <c r="AP185" s="152" t="s">
        <v>119</v>
      </c>
      <c r="AQ185" s="153">
        <v>48552</v>
      </c>
      <c r="AR185" s="154">
        <v>182518.66</v>
      </c>
      <c r="AS185" s="154">
        <v>1026.49</v>
      </c>
      <c r="AT185" s="155">
        <v>0</v>
      </c>
      <c r="AU185" s="154">
        <v>2354.4899999999998</v>
      </c>
      <c r="AV185" s="155">
        <v>61.98</v>
      </c>
      <c r="AW185" s="154">
        <v>3442.96</v>
      </c>
      <c r="AX185" s="156"/>
    </row>
    <row r="186" spans="1:50" ht="15.5" x14ac:dyDescent="0.35">
      <c r="A186" s="98">
        <f t="shared" si="54"/>
        <v>143</v>
      </c>
      <c r="B186" s="99">
        <f t="shared" ca="1" si="46"/>
        <v>50410</v>
      </c>
      <c r="C186" s="100">
        <f t="shared" si="43"/>
        <v>121111.11111111019</v>
      </c>
      <c r="D186" s="100">
        <f t="shared" si="47"/>
        <v>1320.1111111111011</v>
      </c>
      <c r="E186" s="100">
        <f t="shared" si="48"/>
        <v>122431.22222222129</v>
      </c>
      <c r="F186" s="100">
        <f t="shared" si="49"/>
        <v>555.55555555555554</v>
      </c>
      <c r="G186" s="100">
        <f t="shared" si="50"/>
        <v>2224.9119669789316</v>
      </c>
      <c r="H186" s="100">
        <f t="shared" si="51"/>
        <v>27.855555555555345</v>
      </c>
      <c r="I186" s="100">
        <f t="shared" si="44"/>
        <v>20</v>
      </c>
      <c r="J186" s="100">
        <f t="shared" si="52"/>
        <v>2272.7675225344869</v>
      </c>
      <c r="K186" s="101">
        <f t="shared" si="53"/>
        <v>120555.55555555463</v>
      </c>
      <c r="O186" s="118">
        <f t="shared" si="55"/>
        <v>16.666666666666664</v>
      </c>
      <c r="P186" s="119">
        <f t="shared" ca="1" si="45"/>
        <v>31</v>
      </c>
      <c r="Q186" s="120">
        <v>365</v>
      </c>
      <c r="AA186" s="96">
        <f t="shared" si="39"/>
        <v>148</v>
      </c>
      <c r="AB186" s="97">
        <f t="shared" si="40"/>
        <v>16222.397846325162</v>
      </c>
      <c r="AC186" s="97">
        <f t="shared" si="41"/>
        <v>2272.1286336455978</v>
      </c>
      <c r="AE186" s="96">
        <f t="shared" si="42"/>
        <v>148</v>
      </c>
      <c r="AF186" s="97">
        <f>IFERROR(VLOOKUP(AE186,[1]Cálculos_PRICE!$A$32:$K$212,10,0),"")</f>
        <v>16222.397846325162</v>
      </c>
      <c r="AG186" s="97">
        <f>IFERROR(VLOOKUP(AE186,'Cálculos_CGI - SAC FIXA'!A184:K576,10,0),"")</f>
        <v>2272.1286336455978</v>
      </c>
      <c r="AH186" s="97">
        <f>IFERROR(VLOOKUP(AE186,[1]Cálculos_PRICE!$A$32:$K$212,6,0),"")</f>
        <v>9852.808492355769</v>
      </c>
      <c r="AI186" s="97">
        <f>IFERROR(VLOOKUP(AE186,'Cálculos_CGI - SAC FIXA'!A184:K576,6,0),"")</f>
        <v>555.55555555555554</v>
      </c>
      <c r="AJ186" s="97">
        <f>IFERROR(VLOOKUP(AE186,[1]Cálculos_PRICE!$A$32:$K$240,11,0),"")</f>
        <v>406907.3182924742</v>
      </c>
      <c r="AK186" s="97">
        <f>IFERROR(VLOOKUP(AE186,'Cálculos_CGI - SAC FIXA'!A184:K576,11,0),"")</f>
        <v>117777.77777777682</v>
      </c>
      <c r="AN186" s="157">
        <f t="shared" si="38"/>
        <v>63230.217777778744</v>
      </c>
      <c r="AO186" s="147" t="s">
        <v>267</v>
      </c>
      <c r="AP186" s="147" t="s">
        <v>119</v>
      </c>
      <c r="AQ186" s="148">
        <v>48583</v>
      </c>
      <c r="AR186" s="149">
        <v>181492.17</v>
      </c>
      <c r="AS186" s="149">
        <v>1039.73</v>
      </c>
      <c r="AT186" s="150">
        <v>0</v>
      </c>
      <c r="AU186" s="149">
        <v>2341.25</v>
      </c>
      <c r="AV186" s="150">
        <v>61.74</v>
      </c>
      <c r="AW186" s="149">
        <v>3442.72</v>
      </c>
      <c r="AX186" s="151"/>
    </row>
    <row r="187" spans="1:50" ht="15.5" x14ac:dyDescent="0.35">
      <c r="A187" s="98">
        <f t="shared" si="54"/>
        <v>144</v>
      </c>
      <c r="B187" s="99">
        <f t="shared" ca="1" si="46"/>
        <v>50441</v>
      </c>
      <c r="C187" s="100">
        <f t="shared" si="43"/>
        <v>120555.55555555463</v>
      </c>
      <c r="D187" s="100">
        <f t="shared" si="47"/>
        <v>1314.0555555555454</v>
      </c>
      <c r="E187" s="100">
        <f t="shared" si="48"/>
        <v>121869.61111111018</v>
      </c>
      <c r="F187" s="100">
        <f t="shared" si="49"/>
        <v>555.55555555555554</v>
      </c>
      <c r="G187" s="100">
        <f t="shared" si="50"/>
        <v>2224.9119669789316</v>
      </c>
      <c r="H187" s="100">
        <f t="shared" si="51"/>
        <v>27.727777777777565</v>
      </c>
      <c r="I187" s="100">
        <f t="shared" si="44"/>
        <v>20</v>
      </c>
      <c r="J187" s="100">
        <f t="shared" si="52"/>
        <v>2272.6397447567092</v>
      </c>
      <c r="K187" s="101">
        <f t="shared" si="53"/>
        <v>119999.99999999907</v>
      </c>
      <c r="O187" s="118">
        <f t="shared" si="55"/>
        <v>16.666666666666664</v>
      </c>
      <c r="P187" s="119">
        <f t="shared" ca="1" si="45"/>
        <v>31</v>
      </c>
      <c r="Q187" s="120">
        <v>365</v>
      </c>
      <c r="AA187" s="96">
        <f t="shared" si="39"/>
        <v>149</v>
      </c>
      <c r="AB187" s="97">
        <f t="shared" si="40"/>
        <v>16220.206581716462</v>
      </c>
      <c r="AC187" s="97">
        <f t="shared" si="41"/>
        <v>2272.0008558678201</v>
      </c>
      <c r="AE187" s="96">
        <f t="shared" si="42"/>
        <v>149</v>
      </c>
      <c r="AF187" s="97">
        <f>IFERROR(VLOOKUP(AE187,[1]Cálculos_PRICE!$A$32:$K$212,10,0),"")</f>
        <v>16220.206581716462</v>
      </c>
      <c r="AG187" s="97">
        <f>IFERROR(VLOOKUP(AE187,'Cálculos_CGI - SAC FIXA'!A185:K577,10,0),"")</f>
        <v>2272.0008558678201</v>
      </c>
      <c r="AH187" s="97">
        <f>IFERROR(VLOOKUP(AE187,[1]Cálculos_PRICE!$A$32:$K$212,6,0),"")</f>
        <v>10000.600619741104</v>
      </c>
      <c r="AI187" s="97">
        <f>IFERROR(VLOOKUP(AE187,'Cálculos_CGI - SAC FIXA'!A185:K577,6,0),"")</f>
        <v>555.55555555555554</v>
      </c>
      <c r="AJ187" s="97">
        <f>IFERROR(VLOOKUP(AE187,[1]Cálculos_PRICE!$A$32:$K$240,11,0),"")</f>
        <v>396906.71767273312</v>
      </c>
      <c r="AK187" s="97">
        <f>IFERROR(VLOOKUP(AE187,'Cálculos_CGI - SAC FIXA'!A185:K577,11,0),"")</f>
        <v>117222.22222222126</v>
      </c>
      <c r="AN187" s="157">
        <f t="shared" si="38"/>
        <v>62732.633333334292</v>
      </c>
      <c r="AO187" s="152" t="s">
        <v>268</v>
      </c>
      <c r="AP187" s="152" t="s">
        <v>119</v>
      </c>
      <c r="AQ187" s="153">
        <v>48614</v>
      </c>
      <c r="AR187" s="154">
        <v>180452.44</v>
      </c>
      <c r="AS187" s="154">
        <v>1053.1400000000001</v>
      </c>
      <c r="AT187" s="155">
        <v>0</v>
      </c>
      <c r="AU187" s="154">
        <v>2327.84</v>
      </c>
      <c r="AV187" s="155">
        <v>61.5</v>
      </c>
      <c r="AW187" s="154">
        <v>3442.48</v>
      </c>
      <c r="AX187" s="156"/>
    </row>
    <row r="188" spans="1:50" ht="15.5" x14ac:dyDescent="0.35">
      <c r="A188" s="98">
        <f t="shared" si="54"/>
        <v>145</v>
      </c>
      <c r="B188" s="99">
        <f t="shared" ca="1" si="46"/>
        <v>50469</v>
      </c>
      <c r="C188" s="100">
        <f t="shared" si="43"/>
        <v>119999.99999999907</v>
      </c>
      <c r="D188" s="100">
        <f t="shared" si="47"/>
        <v>1307.9999999999898</v>
      </c>
      <c r="E188" s="100">
        <f t="shared" si="48"/>
        <v>121307.99999999905</v>
      </c>
      <c r="F188" s="100">
        <f t="shared" si="49"/>
        <v>555.55555555555554</v>
      </c>
      <c r="G188" s="100">
        <f t="shared" si="50"/>
        <v>2224.9119669789316</v>
      </c>
      <c r="H188" s="100">
        <f t="shared" si="51"/>
        <v>27.599999999999788</v>
      </c>
      <c r="I188" s="100">
        <f t="shared" si="44"/>
        <v>20</v>
      </c>
      <c r="J188" s="100">
        <f t="shared" si="52"/>
        <v>2272.5119669789315</v>
      </c>
      <c r="K188" s="101">
        <f t="shared" si="53"/>
        <v>119444.44444444351</v>
      </c>
      <c r="O188" s="118">
        <f t="shared" si="55"/>
        <v>16.666666666666664</v>
      </c>
      <c r="P188" s="119">
        <f t="shared" ca="1" si="45"/>
        <v>28</v>
      </c>
      <c r="Q188" s="120">
        <v>365</v>
      </c>
      <c r="AA188" s="96">
        <f t="shared" si="39"/>
        <v>150</v>
      </c>
      <c r="AB188" s="97">
        <f t="shared" si="40"/>
        <v>16217.982448138633</v>
      </c>
      <c r="AC188" s="97">
        <f t="shared" si="41"/>
        <v>2271.8730780900423</v>
      </c>
      <c r="AE188" s="96">
        <f t="shared" si="42"/>
        <v>150</v>
      </c>
      <c r="AF188" s="97">
        <f>IFERROR(VLOOKUP(AE188,[1]Cálculos_PRICE!$A$32:$K$212,10,0),"")</f>
        <v>16217.982448138633</v>
      </c>
      <c r="AG188" s="97">
        <f>IFERROR(VLOOKUP(AE188,'Cálculos_CGI - SAC FIXA'!A186:K578,10,0),"")</f>
        <v>2271.8730780900423</v>
      </c>
      <c r="AH188" s="97">
        <f>IFERROR(VLOOKUP(AE188,[1]Cálculos_PRICE!$A$32:$K$212,6,0),"")</f>
        <v>10150.609629037219</v>
      </c>
      <c r="AI188" s="97">
        <f>IFERROR(VLOOKUP(AE188,'Cálculos_CGI - SAC FIXA'!A186:K578,6,0),"")</f>
        <v>555.55555555555554</v>
      </c>
      <c r="AJ188" s="97">
        <f>IFERROR(VLOOKUP(AE188,[1]Cálculos_PRICE!$A$32:$K$240,11,0),"")</f>
        <v>386756.10804369592</v>
      </c>
      <c r="AK188" s="97">
        <f>IFERROR(VLOOKUP(AE188,'Cálculos_CGI - SAC FIXA'!A186:K578,11,0),"")</f>
        <v>116666.6666666657</v>
      </c>
      <c r="AN188" s="157">
        <f t="shared" si="38"/>
        <v>62221.458888889872</v>
      </c>
      <c r="AO188" s="147" t="s">
        <v>269</v>
      </c>
      <c r="AP188" s="147" t="s">
        <v>119</v>
      </c>
      <c r="AQ188" s="148">
        <v>48642</v>
      </c>
      <c r="AR188" s="149">
        <v>179399.3</v>
      </c>
      <c r="AS188" s="149">
        <v>1066.73</v>
      </c>
      <c r="AT188" s="150">
        <v>0</v>
      </c>
      <c r="AU188" s="149">
        <v>2314.25</v>
      </c>
      <c r="AV188" s="150">
        <v>61.26</v>
      </c>
      <c r="AW188" s="149">
        <v>3442.24</v>
      </c>
      <c r="AX188" s="151"/>
    </row>
    <row r="189" spans="1:50" ht="15.5" x14ac:dyDescent="0.35">
      <c r="A189" s="98">
        <f t="shared" si="54"/>
        <v>146</v>
      </c>
      <c r="B189" s="99">
        <f t="shared" ca="1" si="46"/>
        <v>50500</v>
      </c>
      <c r="C189" s="100">
        <f t="shared" si="43"/>
        <v>119444.44444444351</v>
      </c>
      <c r="D189" s="100">
        <f t="shared" si="47"/>
        <v>1301.9444444444341</v>
      </c>
      <c r="E189" s="100">
        <f t="shared" si="48"/>
        <v>120746.38888888794</v>
      </c>
      <c r="F189" s="100">
        <f t="shared" si="49"/>
        <v>555.55555555555554</v>
      </c>
      <c r="G189" s="100">
        <f t="shared" si="50"/>
        <v>2224.9119669789316</v>
      </c>
      <c r="H189" s="100">
        <f t="shared" si="51"/>
        <v>27.472222222222008</v>
      </c>
      <c r="I189" s="100">
        <f t="shared" si="44"/>
        <v>20</v>
      </c>
      <c r="J189" s="100">
        <f t="shared" si="52"/>
        <v>2272.3841892011537</v>
      </c>
      <c r="K189" s="101">
        <f t="shared" si="53"/>
        <v>118888.88888888794</v>
      </c>
      <c r="O189" s="118">
        <f t="shared" si="55"/>
        <v>16.666666666666664</v>
      </c>
      <c r="P189" s="119">
        <f t="shared" ca="1" si="45"/>
        <v>31</v>
      </c>
      <c r="Q189" s="120">
        <v>365</v>
      </c>
      <c r="AA189" s="96">
        <f t="shared" si="39"/>
        <v>151</v>
      </c>
      <c r="AB189" s="97">
        <f t="shared" si="40"/>
        <v>16215.724952557135</v>
      </c>
      <c r="AC189" s="97">
        <f t="shared" si="41"/>
        <v>2271.7453003122646</v>
      </c>
      <c r="AE189" s="96">
        <f t="shared" si="42"/>
        <v>151</v>
      </c>
      <c r="AF189" s="97">
        <f>IFERROR(VLOOKUP(AE189,[1]Cálculos_PRICE!$A$32:$K$212,10,0),"")</f>
        <v>16215.724952557135</v>
      </c>
      <c r="AG189" s="97">
        <f>IFERROR(VLOOKUP(AE189,'Cálculos_CGI - SAC FIXA'!A187:K579,10,0),"")</f>
        <v>2271.7453003122646</v>
      </c>
      <c r="AH189" s="97">
        <f>IFERROR(VLOOKUP(AE189,[1]Cálculos_PRICE!$A$32:$K$212,6,0),"")</f>
        <v>10302.868773472779</v>
      </c>
      <c r="AI189" s="97">
        <f>IFERROR(VLOOKUP(AE189,'Cálculos_CGI - SAC FIXA'!A187:K579,6,0),"")</f>
        <v>555.55555555555554</v>
      </c>
      <c r="AJ189" s="97">
        <f>IFERROR(VLOOKUP(AE189,[1]Cálculos_PRICE!$A$32:$K$240,11,0),"")</f>
        <v>376453.23927022313</v>
      </c>
      <c r="AK189" s="97">
        <f>IFERROR(VLOOKUP(AE189,'Cálculos_CGI - SAC FIXA'!A187:K579,11,0),"")</f>
        <v>116111.11111111013</v>
      </c>
      <c r="AN189" s="157">
        <f t="shared" si="38"/>
        <v>61696.524444445415</v>
      </c>
      <c r="AO189" s="152" t="s">
        <v>270</v>
      </c>
      <c r="AP189" s="152" t="s">
        <v>119</v>
      </c>
      <c r="AQ189" s="153">
        <v>48673</v>
      </c>
      <c r="AR189" s="154">
        <v>178332.57</v>
      </c>
      <c r="AS189" s="154">
        <v>1080.49</v>
      </c>
      <c r="AT189" s="155">
        <v>0</v>
      </c>
      <c r="AU189" s="154">
        <v>2300.4899999999998</v>
      </c>
      <c r="AV189" s="155">
        <v>61.02</v>
      </c>
      <c r="AW189" s="154">
        <v>3442</v>
      </c>
      <c r="AX189" s="156"/>
    </row>
    <row r="190" spans="1:50" ht="15.5" x14ac:dyDescent="0.35">
      <c r="A190" s="98">
        <f t="shared" si="54"/>
        <v>147</v>
      </c>
      <c r="B190" s="99">
        <f t="shared" ca="1" si="46"/>
        <v>50530</v>
      </c>
      <c r="C190" s="100">
        <f t="shared" si="43"/>
        <v>118888.88888888794</v>
      </c>
      <c r="D190" s="100">
        <f t="shared" si="47"/>
        <v>1295.8888888888787</v>
      </c>
      <c r="E190" s="100">
        <f t="shared" si="48"/>
        <v>120184.77777777682</v>
      </c>
      <c r="F190" s="100">
        <f t="shared" si="49"/>
        <v>555.55555555555554</v>
      </c>
      <c r="G190" s="100">
        <f t="shared" si="50"/>
        <v>2224.9119669789316</v>
      </c>
      <c r="H190" s="100">
        <f t="shared" si="51"/>
        <v>27.344444444444228</v>
      </c>
      <c r="I190" s="100">
        <f t="shared" si="44"/>
        <v>20</v>
      </c>
      <c r="J190" s="100">
        <f t="shared" si="52"/>
        <v>2272.256411423376</v>
      </c>
      <c r="K190" s="101">
        <f t="shared" si="53"/>
        <v>118333.33333333238</v>
      </c>
      <c r="O190" s="118">
        <f t="shared" si="55"/>
        <v>16.666666666666664</v>
      </c>
      <c r="P190" s="119">
        <f t="shared" ca="1" si="45"/>
        <v>30</v>
      </c>
      <c r="Q190" s="120">
        <v>365</v>
      </c>
      <c r="AA190" s="96">
        <f t="shared" si="39"/>
        <v>152</v>
      </c>
      <c r="AB190" s="97">
        <f t="shared" si="40"/>
        <v>16213.433594541913</v>
      </c>
      <c r="AC190" s="97">
        <f t="shared" si="41"/>
        <v>2271.6175225344869</v>
      </c>
      <c r="AE190" s="96">
        <f t="shared" si="42"/>
        <v>152</v>
      </c>
      <c r="AF190" s="97">
        <f>IFERROR(VLOOKUP(AE190,[1]Cálculos_PRICE!$A$32:$K$212,10,0),"")</f>
        <v>16213.433594541913</v>
      </c>
      <c r="AG190" s="97">
        <f>IFERROR(VLOOKUP(AE190,'Cálculos_CGI - SAC FIXA'!A188:K580,10,0),"")</f>
        <v>2271.6175225344869</v>
      </c>
      <c r="AH190" s="97">
        <f>IFERROR(VLOOKUP(AE190,[1]Cálculos_PRICE!$A$32:$K$212,6,0),"")</f>
        <v>10457.411805074869</v>
      </c>
      <c r="AI190" s="97">
        <f>IFERROR(VLOOKUP(AE190,'Cálculos_CGI - SAC FIXA'!A188:K580,6,0),"")</f>
        <v>555.55555555555554</v>
      </c>
      <c r="AJ190" s="97">
        <f>IFERROR(VLOOKUP(AE190,[1]Cálculos_PRICE!$A$32:$K$240,11,0),"")</f>
        <v>365995.82746514824</v>
      </c>
      <c r="AK190" s="97">
        <f>IFERROR(VLOOKUP(AE190,'Cálculos_CGI - SAC FIXA'!A188:K580,11,0),"")</f>
        <v>115555.55555555457</v>
      </c>
      <c r="AN190" s="157">
        <f t="shared" si="38"/>
        <v>61157.650000000984</v>
      </c>
      <c r="AO190" s="147" t="s">
        <v>271</v>
      </c>
      <c r="AP190" s="147" t="s">
        <v>119</v>
      </c>
      <c r="AQ190" s="148">
        <v>48703</v>
      </c>
      <c r="AR190" s="149">
        <v>177252.08</v>
      </c>
      <c r="AS190" s="149">
        <v>1094.43</v>
      </c>
      <c r="AT190" s="150">
        <v>0</v>
      </c>
      <c r="AU190" s="149">
        <v>2286.5500000000002</v>
      </c>
      <c r="AV190" s="150">
        <v>60.77</v>
      </c>
      <c r="AW190" s="149">
        <v>3441.75</v>
      </c>
      <c r="AX190" s="151"/>
    </row>
    <row r="191" spans="1:50" ht="15.5" x14ac:dyDescent="0.35">
      <c r="A191" s="98">
        <f t="shared" si="54"/>
        <v>148</v>
      </c>
      <c r="B191" s="99">
        <f t="shared" ca="1" si="46"/>
        <v>50561</v>
      </c>
      <c r="C191" s="100">
        <f t="shared" si="43"/>
        <v>118333.33333333238</v>
      </c>
      <c r="D191" s="100">
        <f t="shared" si="47"/>
        <v>1289.833333333323</v>
      </c>
      <c r="E191" s="100">
        <f t="shared" si="48"/>
        <v>119623.16666666571</v>
      </c>
      <c r="F191" s="100">
        <f t="shared" si="49"/>
        <v>555.55555555555554</v>
      </c>
      <c r="G191" s="100">
        <f t="shared" si="50"/>
        <v>2224.9119669789316</v>
      </c>
      <c r="H191" s="100">
        <f t="shared" si="51"/>
        <v>27.216666666666448</v>
      </c>
      <c r="I191" s="100">
        <f t="shared" si="44"/>
        <v>20</v>
      </c>
      <c r="J191" s="100">
        <f t="shared" si="52"/>
        <v>2272.1286336455978</v>
      </c>
      <c r="K191" s="101">
        <f t="shared" si="53"/>
        <v>117777.77777777682</v>
      </c>
      <c r="O191" s="118">
        <f t="shared" si="55"/>
        <v>16.666666666666664</v>
      </c>
      <c r="P191" s="119">
        <f t="shared" ca="1" si="45"/>
        <v>31</v>
      </c>
      <c r="Q191" s="120">
        <v>365</v>
      </c>
      <c r="AA191" s="96">
        <f t="shared" si="39"/>
        <v>153</v>
      </c>
      <c r="AB191" s="97">
        <f t="shared" si="40"/>
        <v>16211.107866156466</v>
      </c>
      <c r="AC191" s="97">
        <f t="shared" si="41"/>
        <v>2271.4897447567091</v>
      </c>
      <c r="AE191" s="96">
        <f t="shared" si="42"/>
        <v>153</v>
      </c>
      <c r="AF191" s="97">
        <f>IFERROR(VLOOKUP(AE191,[1]Cálculos_PRICE!$A$32:$K$212,10,0),"")</f>
        <v>16211.107866156466</v>
      </c>
      <c r="AG191" s="97">
        <f>IFERROR(VLOOKUP(AE191,'Cálculos_CGI - SAC FIXA'!A189:K581,10,0),"")</f>
        <v>2271.4897447567091</v>
      </c>
      <c r="AH191" s="97">
        <f>IFERROR(VLOOKUP(AE191,[1]Cálculos_PRICE!$A$32:$K$212,6,0),"")</f>
        <v>10614.272982150993</v>
      </c>
      <c r="AI191" s="97">
        <f>IFERROR(VLOOKUP(AE191,'Cálculos_CGI - SAC FIXA'!A189:K581,6,0),"")</f>
        <v>555.55555555555554</v>
      </c>
      <c r="AJ191" s="97">
        <f>IFERROR(VLOOKUP(AE191,[1]Cálculos_PRICE!$A$32:$K$240,11,0),"")</f>
        <v>355381.55448299722</v>
      </c>
      <c r="AK191" s="97">
        <f>IFERROR(VLOOKUP(AE191,'Cálculos_CGI - SAC FIXA'!A189:K581,11,0),"")</f>
        <v>114999.99999999901</v>
      </c>
      <c r="AN191" s="157">
        <f t="shared" si="38"/>
        <v>60604.655555556557</v>
      </c>
      <c r="AO191" s="152" t="s">
        <v>272</v>
      </c>
      <c r="AP191" s="152" t="s">
        <v>119</v>
      </c>
      <c r="AQ191" s="153">
        <v>48734</v>
      </c>
      <c r="AR191" s="154">
        <v>176157.65</v>
      </c>
      <c r="AS191" s="154">
        <v>1108.55</v>
      </c>
      <c r="AT191" s="155">
        <v>0</v>
      </c>
      <c r="AU191" s="154">
        <v>2272.4299999999998</v>
      </c>
      <c r="AV191" s="155">
        <v>60.52</v>
      </c>
      <c r="AW191" s="154">
        <v>3441.5</v>
      </c>
      <c r="AX191" s="156"/>
    </row>
    <row r="192" spans="1:50" ht="15.5" x14ac:dyDescent="0.35">
      <c r="A192" s="98">
        <f t="shared" si="54"/>
        <v>149</v>
      </c>
      <c r="B192" s="99">
        <f t="shared" ca="1" si="46"/>
        <v>50591</v>
      </c>
      <c r="C192" s="100">
        <f t="shared" si="43"/>
        <v>117777.77777777682</v>
      </c>
      <c r="D192" s="100">
        <f t="shared" si="47"/>
        <v>1283.7777777777674</v>
      </c>
      <c r="E192" s="100">
        <f t="shared" si="48"/>
        <v>119061.55555555459</v>
      </c>
      <c r="F192" s="100">
        <f t="shared" si="49"/>
        <v>555.55555555555554</v>
      </c>
      <c r="G192" s="100">
        <f t="shared" si="50"/>
        <v>2224.9119669789316</v>
      </c>
      <c r="H192" s="100">
        <f t="shared" si="51"/>
        <v>27.088888888888668</v>
      </c>
      <c r="I192" s="100">
        <f t="shared" si="44"/>
        <v>20</v>
      </c>
      <c r="J192" s="100">
        <f t="shared" si="52"/>
        <v>2272.0008558678201</v>
      </c>
      <c r="K192" s="101">
        <f t="shared" si="53"/>
        <v>117222.22222222126</v>
      </c>
      <c r="O192" s="118">
        <f t="shared" si="55"/>
        <v>16.666666666666664</v>
      </c>
      <c r="P192" s="119">
        <f t="shared" ca="1" si="45"/>
        <v>30</v>
      </c>
      <c r="Q192" s="120">
        <v>365</v>
      </c>
      <c r="AA192" s="96">
        <f t="shared" si="39"/>
        <v>154</v>
      </c>
      <c r="AB192" s="97">
        <f t="shared" si="40"/>
        <v>16208.747251845236</v>
      </c>
      <c r="AC192" s="97">
        <f t="shared" si="41"/>
        <v>2271.3619669789314</v>
      </c>
      <c r="AE192" s="96">
        <f t="shared" si="42"/>
        <v>154</v>
      </c>
      <c r="AF192" s="97">
        <f>IFERROR(VLOOKUP(AE192,[1]Cálculos_PRICE!$A$32:$K$212,10,0),"")</f>
        <v>16208.747251845236</v>
      </c>
      <c r="AG192" s="97">
        <f>IFERROR(VLOOKUP(AE192,'Cálculos_CGI - SAC FIXA'!A190:K582,10,0),"")</f>
        <v>2271.3619669789314</v>
      </c>
      <c r="AH192" s="97">
        <f>IFERROR(VLOOKUP(AE192,[1]Cálculos_PRICE!$A$32:$K$212,6,0),"")</f>
        <v>10773.487076883259</v>
      </c>
      <c r="AI192" s="97">
        <f>IFERROR(VLOOKUP(AE192,'Cálculos_CGI - SAC FIXA'!A190:K582,6,0),"")</f>
        <v>555.55555555555554</v>
      </c>
      <c r="AJ192" s="97">
        <f>IFERROR(VLOOKUP(AE192,[1]Cálculos_PRICE!$A$32:$K$240,11,0),"")</f>
        <v>344608.06740611396</v>
      </c>
      <c r="AK192" s="97">
        <f>IFERROR(VLOOKUP(AE192,'Cálculos_CGI - SAC FIXA'!A190:K582,11,0),"")</f>
        <v>114444.44444444345</v>
      </c>
      <c r="AN192" s="157">
        <f t="shared" si="38"/>
        <v>60037.361111112114</v>
      </c>
      <c r="AO192" s="147" t="s">
        <v>273</v>
      </c>
      <c r="AP192" s="147" t="s">
        <v>119</v>
      </c>
      <c r="AQ192" s="148">
        <v>48764</v>
      </c>
      <c r="AR192" s="149">
        <v>175049.1</v>
      </c>
      <c r="AS192" s="149">
        <v>1122.8499999999999</v>
      </c>
      <c r="AT192" s="150">
        <v>0</v>
      </c>
      <c r="AU192" s="149">
        <v>2258.13</v>
      </c>
      <c r="AV192" s="150">
        <v>60.26</v>
      </c>
      <c r="AW192" s="149">
        <v>3441.24</v>
      </c>
      <c r="AX192" s="151"/>
    </row>
    <row r="193" spans="1:50" ht="15.5" x14ac:dyDescent="0.35">
      <c r="A193" s="98">
        <f t="shared" si="54"/>
        <v>150</v>
      </c>
      <c r="B193" s="99">
        <f t="shared" ca="1" si="46"/>
        <v>50622</v>
      </c>
      <c r="C193" s="100">
        <f t="shared" si="43"/>
        <v>117222.22222222126</v>
      </c>
      <c r="D193" s="100">
        <f t="shared" si="47"/>
        <v>1277.7222222222117</v>
      </c>
      <c r="E193" s="100">
        <f t="shared" si="48"/>
        <v>118499.94444444348</v>
      </c>
      <c r="F193" s="100">
        <f t="shared" si="49"/>
        <v>555.55555555555554</v>
      </c>
      <c r="G193" s="100">
        <f t="shared" si="50"/>
        <v>2224.9119669789316</v>
      </c>
      <c r="H193" s="100">
        <f t="shared" si="51"/>
        <v>26.961111111110892</v>
      </c>
      <c r="I193" s="100">
        <f t="shared" si="44"/>
        <v>20</v>
      </c>
      <c r="J193" s="100">
        <f t="shared" si="52"/>
        <v>2271.8730780900423</v>
      </c>
      <c r="K193" s="101">
        <f t="shared" si="53"/>
        <v>116666.6666666657</v>
      </c>
      <c r="O193" s="118">
        <f t="shared" si="55"/>
        <v>16.666666666666664</v>
      </c>
      <c r="P193" s="119">
        <f t="shared" ca="1" si="45"/>
        <v>31</v>
      </c>
      <c r="Q193" s="120">
        <v>365</v>
      </c>
      <c r="AA193" s="96">
        <f t="shared" si="39"/>
        <v>155</v>
      </c>
      <c r="AB193" s="97">
        <f t="shared" si="40"/>
        <v>16206.351228319336</v>
      </c>
      <c r="AC193" s="97">
        <f t="shared" si="41"/>
        <v>2271.2341892011536</v>
      </c>
      <c r="AE193" s="96">
        <f t="shared" si="42"/>
        <v>155</v>
      </c>
      <c r="AF193" s="97">
        <f>IFERROR(VLOOKUP(AE193,[1]Cálculos_PRICE!$A$32:$K$212,10,0),"")</f>
        <v>16206.351228319336</v>
      </c>
      <c r="AG193" s="97">
        <f>IFERROR(VLOOKUP(AE193,'Cálculos_CGI - SAC FIXA'!A191:K583,10,0),"")</f>
        <v>2271.2341892011536</v>
      </c>
      <c r="AH193" s="97">
        <f>IFERROR(VLOOKUP(AE193,[1]Cálculos_PRICE!$A$32:$K$212,6,0),"")</f>
        <v>10935.089383036508</v>
      </c>
      <c r="AI193" s="97">
        <f>IFERROR(VLOOKUP(AE193,'Cálculos_CGI - SAC FIXA'!A191:K583,6,0),"")</f>
        <v>555.55555555555554</v>
      </c>
      <c r="AJ193" s="97">
        <f>IFERROR(VLOOKUP(AE193,[1]Cálculos_PRICE!$A$32:$K$240,11,0),"")</f>
        <v>333672.97802307748</v>
      </c>
      <c r="AK193" s="97">
        <f>IFERROR(VLOOKUP(AE193,'Cálculos_CGI - SAC FIXA'!A191:K583,11,0),"")</f>
        <v>113888.88888888789</v>
      </c>
      <c r="AN193" s="157">
        <f t="shared" si="38"/>
        <v>59455.586666667688</v>
      </c>
      <c r="AO193" s="152" t="s">
        <v>274</v>
      </c>
      <c r="AP193" s="152" t="s">
        <v>119</v>
      </c>
      <c r="AQ193" s="153">
        <v>48795</v>
      </c>
      <c r="AR193" s="154">
        <v>173926.25</v>
      </c>
      <c r="AS193" s="154">
        <v>1137.33</v>
      </c>
      <c r="AT193" s="155">
        <v>0</v>
      </c>
      <c r="AU193" s="154">
        <v>2243.65</v>
      </c>
      <c r="AV193" s="155">
        <v>60</v>
      </c>
      <c r="AW193" s="154">
        <v>3440.98</v>
      </c>
      <c r="AX193" s="156"/>
    </row>
    <row r="194" spans="1:50" ht="15.5" x14ac:dyDescent="0.35">
      <c r="A194" s="98">
        <f t="shared" si="54"/>
        <v>151</v>
      </c>
      <c r="B194" s="99">
        <f t="shared" ca="1" si="46"/>
        <v>50653</v>
      </c>
      <c r="C194" s="100">
        <f t="shared" si="43"/>
        <v>116666.6666666657</v>
      </c>
      <c r="D194" s="100">
        <f t="shared" si="47"/>
        <v>1271.6666666666561</v>
      </c>
      <c r="E194" s="100">
        <f t="shared" si="48"/>
        <v>117938.33333333235</v>
      </c>
      <c r="F194" s="100">
        <f t="shared" si="49"/>
        <v>555.55555555555554</v>
      </c>
      <c r="G194" s="100">
        <f t="shared" si="50"/>
        <v>2224.9119669789316</v>
      </c>
      <c r="H194" s="100">
        <f t="shared" si="51"/>
        <v>26.833333333333112</v>
      </c>
      <c r="I194" s="100">
        <f t="shared" si="44"/>
        <v>20</v>
      </c>
      <c r="J194" s="100">
        <f t="shared" si="52"/>
        <v>2271.7453003122646</v>
      </c>
      <c r="K194" s="101">
        <f t="shared" si="53"/>
        <v>116111.11111111013</v>
      </c>
      <c r="O194" s="118">
        <f t="shared" si="55"/>
        <v>16.666666666666664</v>
      </c>
      <c r="P194" s="119">
        <f t="shared" ca="1" si="45"/>
        <v>31</v>
      </c>
      <c r="Q194" s="120">
        <v>365</v>
      </c>
      <c r="AA194" s="96">
        <f t="shared" si="39"/>
        <v>156</v>
      </c>
      <c r="AB194" s="97">
        <f t="shared" si="40"/>
        <v>16203.919264440548</v>
      </c>
      <c r="AC194" s="97">
        <f t="shared" si="41"/>
        <v>2271.1064114233759</v>
      </c>
      <c r="AE194" s="96">
        <f t="shared" si="42"/>
        <v>156</v>
      </c>
      <c r="AF194" s="97">
        <f>IFERROR(VLOOKUP(AE194,[1]Cálculos_PRICE!$A$32:$K$212,10,0),"")</f>
        <v>16203.919264440548</v>
      </c>
      <c r="AG194" s="97">
        <f>IFERROR(VLOOKUP(AE194,'Cálculos_CGI - SAC FIXA'!A192:K584,10,0),"")</f>
        <v>2271.1064114233759</v>
      </c>
      <c r="AH194" s="97">
        <f>IFERROR(VLOOKUP(AE194,[1]Cálculos_PRICE!$A$32:$K$212,6,0),"")</f>
        <v>11099.115723782055</v>
      </c>
      <c r="AI194" s="97">
        <f>IFERROR(VLOOKUP(AE194,'Cálculos_CGI - SAC FIXA'!A192:K584,6,0),"")</f>
        <v>555.55555555555554</v>
      </c>
      <c r="AJ194" s="97">
        <f>IFERROR(VLOOKUP(AE194,[1]Cálculos_PRICE!$A$32:$K$240,11,0),"")</f>
        <v>322573.86229929543</v>
      </c>
      <c r="AK194" s="97">
        <f>IFERROR(VLOOKUP(AE194,'Cálculos_CGI - SAC FIXA'!A192:K584,11,0),"")</f>
        <v>113333.33333333232</v>
      </c>
      <c r="AN194" s="157">
        <f t="shared" si="38"/>
        <v>58859.14222222325</v>
      </c>
      <c r="AO194" s="147" t="s">
        <v>275</v>
      </c>
      <c r="AP194" s="147" t="s">
        <v>119</v>
      </c>
      <c r="AQ194" s="148">
        <v>48826</v>
      </c>
      <c r="AR194" s="149">
        <v>172788.92</v>
      </c>
      <c r="AS194" s="149">
        <v>1152</v>
      </c>
      <c r="AT194" s="150">
        <v>0</v>
      </c>
      <c r="AU194" s="149">
        <v>2228.98</v>
      </c>
      <c r="AV194" s="150">
        <v>59.74</v>
      </c>
      <c r="AW194" s="149">
        <v>3440.72</v>
      </c>
      <c r="AX194" s="151"/>
    </row>
    <row r="195" spans="1:50" ht="15.5" x14ac:dyDescent="0.35">
      <c r="A195" s="98">
        <f t="shared" si="54"/>
        <v>152</v>
      </c>
      <c r="B195" s="99">
        <f t="shared" ca="1" si="46"/>
        <v>50683</v>
      </c>
      <c r="C195" s="100">
        <f t="shared" si="43"/>
        <v>116111.11111111013</v>
      </c>
      <c r="D195" s="100">
        <f t="shared" si="47"/>
        <v>1265.6111111111004</v>
      </c>
      <c r="E195" s="100">
        <f t="shared" si="48"/>
        <v>117376.72222222123</v>
      </c>
      <c r="F195" s="100">
        <f t="shared" si="49"/>
        <v>555.55555555555554</v>
      </c>
      <c r="G195" s="100">
        <f t="shared" si="50"/>
        <v>2224.9119669789316</v>
      </c>
      <c r="H195" s="100">
        <f t="shared" si="51"/>
        <v>26.705555555555332</v>
      </c>
      <c r="I195" s="100">
        <f t="shared" si="44"/>
        <v>20</v>
      </c>
      <c r="J195" s="100">
        <f t="shared" si="52"/>
        <v>2271.6175225344869</v>
      </c>
      <c r="K195" s="101">
        <f t="shared" si="53"/>
        <v>115555.55555555457</v>
      </c>
      <c r="O195" s="118">
        <f t="shared" si="55"/>
        <v>16.666666666666664</v>
      </c>
      <c r="P195" s="119">
        <f t="shared" ca="1" si="45"/>
        <v>30</v>
      </c>
      <c r="Q195" s="120">
        <v>365</v>
      </c>
      <c r="AA195" s="96">
        <f t="shared" si="39"/>
        <v>157</v>
      </c>
      <c r="AB195" s="97">
        <f t="shared" si="40"/>
        <v>16201.450821103579</v>
      </c>
      <c r="AC195" s="97">
        <f t="shared" si="41"/>
        <v>2270.9786336455982</v>
      </c>
      <c r="AE195" s="96">
        <f t="shared" si="42"/>
        <v>157</v>
      </c>
      <c r="AF195" s="97">
        <f>IFERROR(VLOOKUP(AE195,[1]Cálculos_PRICE!$A$32:$K$212,10,0),"")</f>
        <v>16201.450821103579</v>
      </c>
      <c r="AG195" s="97">
        <f>IFERROR(VLOOKUP(AE195,'Cálculos_CGI - SAC FIXA'!A193:K585,10,0),"")</f>
        <v>2270.9786336455982</v>
      </c>
      <c r="AH195" s="97">
        <f>IFERROR(VLOOKUP(AE195,[1]Cálculos_PRICE!$A$32:$K$212,6,0),"")</f>
        <v>11265.602459638785</v>
      </c>
      <c r="AI195" s="97">
        <f>IFERROR(VLOOKUP(AE195,'Cálculos_CGI - SAC FIXA'!A193:K585,6,0),"")</f>
        <v>555.55555555555554</v>
      </c>
      <c r="AJ195" s="97">
        <f>IFERROR(VLOOKUP(AE195,[1]Cálculos_PRICE!$A$32:$K$240,11,0),"")</f>
        <v>311308.25983965665</v>
      </c>
      <c r="AK195" s="97">
        <f>IFERROR(VLOOKUP(AE195,'Cálculos_CGI - SAC FIXA'!A193:K585,11,0),"")</f>
        <v>112777.77777777676</v>
      </c>
      <c r="AN195" s="157">
        <f t="shared" si="38"/>
        <v>58247.837777778797</v>
      </c>
      <c r="AO195" s="152" t="s">
        <v>276</v>
      </c>
      <c r="AP195" s="152" t="s">
        <v>119</v>
      </c>
      <c r="AQ195" s="153">
        <v>48856</v>
      </c>
      <c r="AR195" s="154">
        <v>171636.92</v>
      </c>
      <c r="AS195" s="154">
        <v>1166.8599999999999</v>
      </c>
      <c r="AT195" s="155">
        <v>0</v>
      </c>
      <c r="AU195" s="154">
        <v>2214.12</v>
      </c>
      <c r="AV195" s="155">
        <v>59.48</v>
      </c>
      <c r="AW195" s="154">
        <v>3440.46</v>
      </c>
      <c r="AX195" s="156"/>
    </row>
    <row r="196" spans="1:50" ht="15.5" x14ac:dyDescent="0.35">
      <c r="A196" s="98">
        <f t="shared" si="54"/>
        <v>153</v>
      </c>
      <c r="B196" s="99">
        <f t="shared" ca="1" si="46"/>
        <v>50714</v>
      </c>
      <c r="C196" s="100">
        <f t="shared" si="43"/>
        <v>115555.55555555457</v>
      </c>
      <c r="D196" s="100">
        <f t="shared" si="47"/>
        <v>1259.5555555555447</v>
      </c>
      <c r="E196" s="100">
        <f t="shared" si="48"/>
        <v>116815.11111111012</v>
      </c>
      <c r="F196" s="100">
        <f t="shared" si="49"/>
        <v>555.55555555555554</v>
      </c>
      <c r="G196" s="100">
        <f t="shared" si="50"/>
        <v>2224.9119669789316</v>
      </c>
      <c r="H196" s="100">
        <f t="shared" si="51"/>
        <v>26.577777777777552</v>
      </c>
      <c r="I196" s="100">
        <f t="shared" si="44"/>
        <v>20</v>
      </c>
      <c r="J196" s="100">
        <f t="shared" si="52"/>
        <v>2271.4897447567091</v>
      </c>
      <c r="K196" s="101">
        <f t="shared" si="53"/>
        <v>114999.99999999901</v>
      </c>
      <c r="O196" s="118">
        <f t="shared" si="55"/>
        <v>16.666666666666664</v>
      </c>
      <c r="P196" s="119">
        <f t="shared" ca="1" si="45"/>
        <v>31</v>
      </c>
      <c r="Q196" s="120">
        <v>365</v>
      </c>
      <c r="AA196" s="96">
        <f t="shared" si="39"/>
        <v>158</v>
      </c>
      <c r="AB196" s="97">
        <f t="shared" si="40"/>
        <v>16198.945351116556</v>
      </c>
      <c r="AC196" s="97">
        <f t="shared" si="41"/>
        <v>2270.8508558678204</v>
      </c>
      <c r="AE196" s="96">
        <f t="shared" si="42"/>
        <v>158</v>
      </c>
      <c r="AF196" s="97">
        <f>IFERROR(VLOOKUP(AE196,[1]Cálculos_PRICE!$A$32:$K$212,10,0),"")</f>
        <v>16198.945351116556</v>
      </c>
      <c r="AG196" s="97">
        <f>IFERROR(VLOOKUP(AE196,'Cálculos_CGI - SAC FIXA'!A194:K586,10,0),"")</f>
        <v>2270.8508558678204</v>
      </c>
      <c r="AH196" s="97">
        <f>IFERROR(VLOOKUP(AE196,[1]Cálculos_PRICE!$A$32:$K$212,6,0),"")</f>
        <v>11434.586496533368</v>
      </c>
      <c r="AI196" s="97">
        <f>IFERROR(VLOOKUP(AE196,'Cálculos_CGI - SAC FIXA'!A194:K586,6,0),"")</f>
        <v>555.55555555555554</v>
      </c>
      <c r="AJ196" s="97">
        <f>IFERROR(VLOOKUP(AE196,[1]Cálculos_PRICE!$A$32:$K$240,11,0),"")</f>
        <v>299873.67334312329</v>
      </c>
      <c r="AK196" s="97">
        <f>IFERROR(VLOOKUP(AE196,'Cálculos_CGI - SAC FIXA'!A194:K586,11,0),"")</f>
        <v>112222.2222222212</v>
      </c>
      <c r="AN196" s="157">
        <f t="shared" si="38"/>
        <v>57621.473333334376</v>
      </c>
      <c r="AO196" s="147" t="s">
        <v>277</v>
      </c>
      <c r="AP196" s="147" t="s">
        <v>119</v>
      </c>
      <c r="AQ196" s="148">
        <v>48887</v>
      </c>
      <c r="AR196" s="149">
        <v>170470.06</v>
      </c>
      <c r="AS196" s="149">
        <v>1181.92</v>
      </c>
      <c r="AT196" s="150">
        <v>0</v>
      </c>
      <c r="AU196" s="149">
        <v>2199.06</v>
      </c>
      <c r="AV196" s="150">
        <v>59.21</v>
      </c>
      <c r="AW196" s="149">
        <v>3440.19</v>
      </c>
      <c r="AX196" s="151"/>
    </row>
    <row r="197" spans="1:50" ht="15.5" x14ac:dyDescent="0.35">
      <c r="A197" s="98">
        <f t="shared" si="54"/>
        <v>154</v>
      </c>
      <c r="B197" s="99">
        <f t="shared" ca="1" si="46"/>
        <v>50744</v>
      </c>
      <c r="C197" s="100">
        <f t="shared" si="43"/>
        <v>114999.99999999901</v>
      </c>
      <c r="D197" s="100">
        <f t="shared" si="47"/>
        <v>1253.4999999999893</v>
      </c>
      <c r="E197" s="100">
        <f t="shared" si="48"/>
        <v>116253.499999999</v>
      </c>
      <c r="F197" s="100">
        <f t="shared" si="49"/>
        <v>555.55555555555554</v>
      </c>
      <c r="G197" s="100">
        <f t="shared" si="50"/>
        <v>2224.9119669789316</v>
      </c>
      <c r="H197" s="100">
        <f t="shared" si="51"/>
        <v>26.449999999999772</v>
      </c>
      <c r="I197" s="100">
        <f t="shared" si="44"/>
        <v>20</v>
      </c>
      <c r="J197" s="100">
        <f t="shared" si="52"/>
        <v>2271.3619669789314</v>
      </c>
      <c r="K197" s="101">
        <f t="shared" si="53"/>
        <v>114444.44444444345</v>
      </c>
      <c r="O197" s="118">
        <f t="shared" si="55"/>
        <v>16.666666666666664</v>
      </c>
      <c r="P197" s="119">
        <f t="shared" ca="1" si="45"/>
        <v>30</v>
      </c>
      <c r="Q197" s="120">
        <v>365</v>
      </c>
      <c r="AA197" s="96">
        <f t="shared" si="39"/>
        <v>159</v>
      </c>
      <c r="AB197" s="97">
        <f t="shared" si="40"/>
        <v>16196.402299079728</v>
      </c>
      <c r="AC197" s="97">
        <f t="shared" si="41"/>
        <v>2270.7230780900422</v>
      </c>
      <c r="AE197" s="96">
        <f t="shared" si="42"/>
        <v>159</v>
      </c>
      <c r="AF197" s="97">
        <f>IFERROR(VLOOKUP(AE197,[1]Cálculos_PRICE!$A$32:$K$212,10,0),"")</f>
        <v>16196.402299079728</v>
      </c>
      <c r="AG197" s="97">
        <f>IFERROR(VLOOKUP(AE197,'Cálculos_CGI - SAC FIXA'!A195:K587,10,0),"")</f>
        <v>2270.7230780900422</v>
      </c>
      <c r="AH197" s="97">
        <f>IFERROR(VLOOKUP(AE197,[1]Cálculos_PRICE!$A$32:$K$212,6,0),"")</f>
        <v>11606.105293981367</v>
      </c>
      <c r="AI197" s="97">
        <f>IFERROR(VLOOKUP(AE197,'Cálculos_CGI - SAC FIXA'!A195:K587,6,0),"")</f>
        <v>555.55555555555554</v>
      </c>
      <c r="AJ197" s="97">
        <f>IFERROR(VLOOKUP(AE197,[1]Cálculos_PRICE!$A$32:$K$240,11,0),"")</f>
        <v>288267.5680491419</v>
      </c>
      <c r="AK197" s="97">
        <f>IFERROR(VLOOKUP(AE197,'Cálculos_CGI - SAC FIXA'!A195:K587,11,0),"")</f>
        <v>111666.66666666564</v>
      </c>
      <c r="AN197" s="157">
        <f t="shared" si="38"/>
        <v>56979.868888889934</v>
      </c>
      <c r="AO197" s="152" t="s">
        <v>278</v>
      </c>
      <c r="AP197" s="152" t="s">
        <v>119</v>
      </c>
      <c r="AQ197" s="153">
        <v>48917</v>
      </c>
      <c r="AR197" s="154">
        <v>169288.14</v>
      </c>
      <c r="AS197" s="154">
        <v>1197.1600000000001</v>
      </c>
      <c r="AT197" s="155">
        <v>0</v>
      </c>
      <c r="AU197" s="154">
        <v>2183.8200000000002</v>
      </c>
      <c r="AV197" s="155">
        <v>58.94</v>
      </c>
      <c r="AW197" s="154">
        <v>3439.92</v>
      </c>
      <c r="AX197" s="156"/>
    </row>
    <row r="198" spans="1:50" ht="15.5" x14ac:dyDescent="0.35">
      <c r="A198" s="98">
        <f t="shared" si="54"/>
        <v>155</v>
      </c>
      <c r="B198" s="99">
        <f t="shared" ca="1" si="46"/>
        <v>50775</v>
      </c>
      <c r="C198" s="100">
        <f t="shared" si="43"/>
        <v>114444.44444444345</v>
      </c>
      <c r="D198" s="100">
        <f t="shared" si="47"/>
        <v>1247.4444444444337</v>
      </c>
      <c r="E198" s="100">
        <f t="shared" si="48"/>
        <v>115691.88888888789</v>
      </c>
      <c r="F198" s="100">
        <f t="shared" si="49"/>
        <v>555.55555555555554</v>
      </c>
      <c r="G198" s="100">
        <f t="shared" si="50"/>
        <v>2224.9119669789316</v>
      </c>
      <c r="H198" s="100">
        <f t="shared" si="51"/>
        <v>26.322222222221995</v>
      </c>
      <c r="I198" s="100">
        <f t="shared" si="44"/>
        <v>20</v>
      </c>
      <c r="J198" s="100">
        <f t="shared" si="52"/>
        <v>2271.2341892011536</v>
      </c>
      <c r="K198" s="101">
        <f t="shared" si="53"/>
        <v>113888.88888888789</v>
      </c>
      <c r="O198" s="118">
        <f t="shared" si="55"/>
        <v>16.666666666666664</v>
      </c>
      <c r="P198" s="119">
        <f t="shared" ca="1" si="45"/>
        <v>31</v>
      </c>
      <c r="Q198" s="120">
        <v>365</v>
      </c>
      <c r="AA198" s="96">
        <f t="shared" si="39"/>
        <v>160</v>
      </c>
      <c r="AB198" s="97">
        <f t="shared" si="40"/>
        <v>16193.821101262345</v>
      </c>
      <c r="AC198" s="97">
        <f t="shared" si="41"/>
        <v>2270.5953003122645</v>
      </c>
      <c r="AE198" s="96">
        <f t="shared" si="42"/>
        <v>160</v>
      </c>
      <c r="AF198" s="97">
        <f>IFERROR(VLOOKUP(AE198,[1]Cálculos_PRICE!$A$32:$K$212,10,0),"")</f>
        <v>16193.821101262345</v>
      </c>
      <c r="AG198" s="97">
        <f>IFERROR(VLOOKUP(AE198,'Cálculos_CGI - SAC FIXA'!A196:K588,10,0),"")</f>
        <v>2270.5953003122645</v>
      </c>
      <c r="AH198" s="97">
        <f>IFERROR(VLOOKUP(AE198,[1]Cálculos_PRICE!$A$32:$K$212,6,0),"")</f>
        <v>11780.196873391087</v>
      </c>
      <c r="AI198" s="97">
        <f>IFERROR(VLOOKUP(AE198,'Cálculos_CGI - SAC FIXA'!A196:K588,6,0),"")</f>
        <v>555.55555555555554</v>
      </c>
      <c r="AJ198" s="97">
        <f>IFERROR(VLOOKUP(AE198,[1]Cálculos_PRICE!$A$32:$K$240,11,0),"")</f>
        <v>276487.3711757508</v>
      </c>
      <c r="AK198" s="97">
        <f>IFERROR(VLOOKUP(AE198,'Cálculos_CGI - SAC FIXA'!A196:K588,11,0),"")</f>
        <v>111111.11111111008</v>
      </c>
      <c r="AN198" s="157">
        <f t="shared" si="38"/>
        <v>56322.814444445481</v>
      </c>
      <c r="AO198" s="147" t="s">
        <v>279</v>
      </c>
      <c r="AP198" s="147" t="s">
        <v>119</v>
      </c>
      <c r="AQ198" s="148">
        <v>48948</v>
      </c>
      <c r="AR198" s="149">
        <v>168090.98</v>
      </c>
      <c r="AS198" s="149">
        <v>1212.6099999999999</v>
      </c>
      <c r="AT198" s="150">
        <v>0</v>
      </c>
      <c r="AU198" s="149">
        <v>2168.37</v>
      </c>
      <c r="AV198" s="150">
        <v>58.66</v>
      </c>
      <c r="AW198" s="149">
        <v>3439.64</v>
      </c>
      <c r="AX198" s="151"/>
    </row>
    <row r="199" spans="1:50" ht="15.5" x14ac:dyDescent="0.35">
      <c r="A199" s="98">
        <f t="shared" si="54"/>
        <v>156</v>
      </c>
      <c r="B199" s="99">
        <f t="shared" ca="1" si="46"/>
        <v>50806</v>
      </c>
      <c r="C199" s="100">
        <f t="shared" si="43"/>
        <v>113888.88888888789</v>
      </c>
      <c r="D199" s="100">
        <f t="shared" si="47"/>
        <v>1241.388888888878</v>
      </c>
      <c r="E199" s="100">
        <f t="shared" si="48"/>
        <v>115130.27777777676</v>
      </c>
      <c r="F199" s="100">
        <f t="shared" si="49"/>
        <v>555.55555555555554</v>
      </c>
      <c r="G199" s="100">
        <f t="shared" si="50"/>
        <v>2224.9119669789316</v>
      </c>
      <c r="H199" s="100">
        <f t="shared" si="51"/>
        <v>26.194444444444215</v>
      </c>
      <c r="I199" s="100">
        <f t="shared" si="44"/>
        <v>20</v>
      </c>
      <c r="J199" s="100">
        <f t="shared" si="52"/>
        <v>2271.1064114233759</v>
      </c>
      <c r="K199" s="101">
        <f t="shared" si="53"/>
        <v>113333.33333333232</v>
      </c>
      <c r="O199" s="118">
        <f t="shared" si="55"/>
        <v>16.666666666666664</v>
      </c>
      <c r="P199" s="119">
        <f t="shared" ca="1" si="45"/>
        <v>31</v>
      </c>
      <c r="Q199" s="120">
        <v>365</v>
      </c>
      <c r="AA199" s="96">
        <f t="shared" si="39"/>
        <v>161</v>
      </c>
      <c r="AB199" s="97">
        <f t="shared" si="40"/>
        <v>16191.201185477703</v>
      </c>
      <c r="AC199" s="97">
        <f t="shared" si="41"/>
        <v>2270.4675225344868</v>
      </c>
      <c r="AE199" s="96">
        <f t="shared" si="42"/>
        <v>161</v>
      </c>
      <c r="AF199" s="97">
        <f>IFERROR(VLOOKUP(AE199,[1]Cálculos_PRICE!$A$32:$K$212,10,0),"")</f>
        <v>16191.201185477703</v>
      </c>
      <c r="AG199" s="97">
        <f>IFERROR(VLOOKUP(AE199,'Cálculos_CGI - SAC FIXA'!A197:K589,10,0),"")</f>
        <v>2270.4675225344868</v>
      </c>
      <c r="AH199" s="97">
        <f>IFERROR(VLOOKUP(AE199,[1]Cálculos_PRICE!$A$32:$K$212,6,0),"")</f>
        <v>11956.899826491954</v>
      </c>
      <c r="AI199" s="97">
        <f>IFERROR(VLOOKUP(AE199,'Cálculos_CGI - SAC FIXA'!A197:K589,6,0),"")</f>
        <v>555.55555555555554</v>
      </c>
      <c r="AJ199" s="97">
        <f>IFERROR(VLOOKUP(AE199,[1]Cálculos_PRICE!$A$32:$K$240,11,0),"")</f>
        <v>264530.47134925885</v>
      </c>
      <c r="AK199" s="97">
        <f>IFERROR(VLOOKUP(AE199,'Cálculos_CGI - SAC FIXA'!A197:K589,11,0),"")</f>
        <v>110555.55555555451</v>
      </c>
      <c r="AN199" s="157">
        <f t="shared" si="38"/>
        <v>55650.120000001043</v>
      </c>
      <c r="AO199" s="152" t="s">
        <v>280</v>
      </c>
      <c r="AP199" s="152" t="s">
        <v>119</v>
      </c>
      <c r="AQ199" s="153">
        <v>48979</v>
      </c>
      <c r="AR199" s="154">
        <v>166878.37</v>
      </c>
      <c r="AS199" s="154">
        <v>1228.25</v>
      </c>
      <c r="AT199" s="155">
        <v>0</v>
      </c>
      <c r="AU199" s="154">
        <v>2152.73</v>
      </c>
      <c r="AV199" s="155">
        <v>58.38</v>
      </c>
      <c r="AW199" s="154">
        <v>3439.36</v>
      </c>
      <c r="AX199" s="156"/>
    </row>
    <row r="200" spans="1:50" ht="15.5" x14ac:dyDescent="0.35">
      <c r="A200" s="98">
        <f t="shared" si="54"/>
        <v>157</v>
      </c>
      <c r="B200" s="99">
        <f t="shared" ca="1" si="46"/>
        <v>50834</v>
      </c>
      <c r="C200" s="100">
        <f t="shared" si="43"/>
        <v>113333.33333333232</v>
      </c>
      <c r="D200" s="100">
        <f t="shared" si="47"/>
        <v>1235.3333333333223</v>
      </c>
      <c r="E200" s="100">
        <f t="shared" si="48"/>
        <v>114568.66666666565</v>
      </c>
      <c r="F200" s="100">
        <f t="shared" si="49"/>
        <v>555.55555555555554</v>
      </c>
      <c r="G200" s="100">
        <f t="shared" si="50"/>
        <v>2224.9119669789316</v>
      </c>
      <c r="H200" s="100">
        <f t="shared" si="51"/>
        <v>26.066666666666436</v>
      </c>
      <c r="I200" s="100">
        <f t="shared" si="44"/>
        <v>20</v>
      </c>
      <c r="J200" s="100">
        <f t="shared" si="52"/>
        <v>2270.9786336455982</v>
      </c>
      <c r="K200" s="101">
        <f t="shared" si="53"/>
        <v>112777.77777777676</v>
      </c>
      <c r="O200" s="118">
        <f t="shared" si="55"/>
        <v>16.666666666666664</v>
      </c>
      <c r="P200" s="119">
        <f t="shared" ca="1" si="45"/>
        <v>28</v>
      </c>
      <c r="Q200" s="120">
        <v>365</v>
      </c>
      <c r="AA200" s="96">
        <f t="shared" si="39"/>
        <v>162</v>
      </c>
      <c r="AB200" s="97">
        <f t="shared" si="40"/>
        <v>16188.541970956292</v>
      </c>
      <c r="AC200" s="97">
        <f t="shared" si="41"/>
        <v>2270.339744756709</v>
      </c>
      <c r="AE200" s="96">
        <f t="shared" si="42"/>
        <v>162</v>
      </c>
      <c r="AF200" s="97">
        <f>IFERROR(VLOOKUP(AE200,[1]Cálculos_PRICE!$A$32:$K$212,10,0),"")</f>
        <v>16188.541970956292</v>
      </c>
      <c r="AG200" s="97">
        <f>IFERROR(VLOOKUP(AE200,'Cálculos_CGI - SAC FIXA'!A198:K590,10,0),"")</f>
        <v>2270.339744756709</v>
      </c>
      <c r="AH200" s="97">
        <f>IFERROR(VLOOKUP(AE200,[1]Cálculos_PRICE!$A$32:$K$212,6,0),"")</f>
        <v>12136.253323889334</v>
      </c>
      <c r="AI200" s="97">
        <f>IFERROR(VLOOKUP(AE200,'Cálculos_CGI - SAC FIXA'!A198:K590,6,0),"")</f>
        <v>555.55555555555554</v>
      </c>
      <c r="AJ200" s="97">
        <f>IFERROR(VLOOKUP(AE200,[1]Cálculos_PRICE!$A$32:$K$240,11,0),"")</f>
        <v>252394.21802536951</v>
      </c>
      <c r="AK200" s="97">
        <f>IFERROR(VLOOKUP(AE200,'Cálculos_CGI - SAC FIXA'!A198:K590,11,0),"")</f>
        <v>109999.99999999895</v>
      </c>
      <c r="AN200" s="157">
        <f t="shared" si="38"/>
        <v>54961.585555556609</v>
      </c>
      <c r="AO200" s="147" t="s">
        <v>281</v>
      </c>
      <c r="AP200" s="147" t="s">
        <v>119</v>
      </c>
      <c r="AQ200" s="148">
        <v>49007</v>
      </c>
      <c r="AR200" s="149">
        <v>165650.12</v>
      </c>
      <c r="AS200" s="149">
        <v>1244.0899999999999</v>
      </c>
      <c r="AT200" s="150">
        <v>0</v>
      </c>
      <c r="AU200" s="149">
        <v>2136.89</v>
      </c>
      <c r="AV200" s="150">
        <v>58.1</v>
      </c>
      <c r="AW200" s="149">
        <v>3439.08</v>
      </c>
      <c r="AX200" s="151"/>
    </row>
    <row r="201" spans="1:50" ht="15.5" x14ac:dyDescent="0.35">
      <c r="A201" s="98">
        <f t="shared" si="54"/>
        <v>158</v>
      </c>
      <c r="B201" s="99">
        <f t="shared" ca="1" si="46"/>
        <v>50865</v>
      </c>
      <c r="C201" s="100">
        <f t="shared" si="43"/>
        <v>112777.77777777676</v>
      </c>
      <c r="D201" s="100">
        <f t="shared" si="47"/>
        <v>1229.2777777777667</v>
      </c>
      <c r="E201" s="100">
        <f t="shared" si="48"/>
        <v>114007.05555555453</v>
      </c>
      <c r="F201" s="100">
        <f t="shared" si="49"/>
        <v>555.55555555555554</v>
      </c>
      <c r="G201" s="100">
        <f t="shared" si="50"/>
        <v>2224.9119669789316</v>
      </c>
      <c r="H201" s="100">
        <f t="shared" si="51"/>
        <v>25.938888888888656</v>
      </c>
      <c r="I201" s="100">
        <f t="shared" si="44"/>
        <v>20</v>
      </c>
      <c r="J201" s="100">
        <f t="shared" si="52"/>
        <v>2270.8508558678204</v>
      </c>
      <c r="K201" s="101">
        <f t="shared" si="53"/>
        <v>112222.2222222212</v>
      </c>
      <c r="O201" s="118">
        <f t="shared" si="55"/>
        <v>16.666666666666664</v>
      </c>
      <c r="P201" s="119">
        <f t="shared" ca="1" si="45"/>
        <v>31</v>
      </c>
      <c r="Q201" s="120">
        <v>365</v>
      </c>
      <c r="AA201" s="96">
        <f t="shared" si="39"/>
        <v>163</v>
      </c>
      <c r="AB201" s="97">
        <f t="shared" si="40"/>
        <v>16185.84286821706</v>
      </c>
      <c r="AC201" s="97">
        <f t="shared" si="41"/>
        <v>2270.2119669789313</v>
      </c>
      <c r="AE201" s="96">
        <f t="shared" si="42"/>
        <v>163</v>
      </c>
      <c r="AF201" s="97">
        <f>IFERROR(VLOOKUP(AE201,[1]Cálculos_PRICE!$A$32:$K$212,10,0),"")</f>
        <v>16185.84286821706</v>
      </c>
      <c r="AG201" s="97">
        <f>IFERROR(VLOOKUP(AE201,'Cálculos_CGI - SAC FIXA'!A199:K591,10,0),"")</f>
        <v>2270.2119669789313</v>
      </c>
      <c r="AH201" s="97">
        <f>IFERROR(VLOOKUP(AE201,[1]Cálculos_PRICE!$A$32:$K$212,6,0),"")</f>
        <v>12318.297123747674</v>
      </c>
      <c r="AI201" s="97">
        <f>IFERROR(VLOOKUP(AE201,'Cálculos_CGI - SAC FIXA'!A199:K591,6,0),"")</f>
        <v>555.55555555555554</v>
      </c>
      <c r="AJ201" s="97">
        <f>IFERROR(VLOOKUP(AE201,[1]Cálculos_PRICE!$A$32:$K$240,11,0),"")</f>
        <v>240075.92090162184</v>
      </c>
      <c r="AK201" s="97">
        <f>IFERROR(VLOOKUP(AE201,'Cálculos_CGI - SAC FIXA'!A199:K591,11,0),"")</f>
        <v>109444.44444444339</v>
      </c>
      <c r="AN201" s="157">
        <f t="shared" si="38"/>
        <v>54257.001111112186</v>
      </c>
      <c r="AO201" s="152" t="s">
        <v>282</v>
      </c>
      <c r="AP201" s="152" t="s">
        <v>119</v>
      </c>
      <c r="AQ201" s="153">
        <v>49038</v>
      </c>
      <c r="AR201" s="154">
        <v>164406.03</v>
      </c>
      <c r="AS201" s="154">
        <v>1260.1400000000001</v>
      </c>
      <c r="AT201" s="155">
        <v>0</v>
      </c>
      <c r="AU201" s="154">
        <v>2120.84</v>
      </c>
      <c r="AV201" s="155">
        <v>57.81</v>
      </c>
      <c r="AW201" s="154">
        <v>3438.79</v>
      </c>
      <c r="AX201" s="156"/>
    </row>
    <row r="202" spans="1:50" ht="15.5" x14ac:dyDescent="0.35">
      <c r="A202" s="98">
        <f t="shared" si="54"/>
        <v>159</v>
      </c>
      <c r="B202" s="99">
        <f t="shared" ca="1" si="46"/>
        <v>50895</v>
      </c>
      <c r="C202" s="100">
        <f t="shared" si="43"/>
        <v>112222.2222222212</v>
      </c>
      <c r="D202" s="100">
        <f t="shared" si="47"/>
        <v>1223.222222222211</v>
      </c>
      <c r="E202" s="100">
        <f t="shared" si="48"/>
        <v>113445.4444444434</v>
      </c>
      <c r="F202" s="100">
        <f t="shared" si="49"/>
        <v>555.55555555555554</v>
      </c>
      <c r="G202" s="100">
        <f t="shared" si="50"/>
        <v>2224.9119669789316</v>
      </c>
      <c r="H202" s="100">
        <f t="shared" si="51"/>
        <v>25.811111111110876</v>
      </c>
      <c r="I202" s="100">
        <f t="shared" si="44"/>
        <v>20</v>
      </c>
      <c r="J202" s="100">
        <f t="shared" si="52"/>
        <v>2270.7230780900422</v>
      </c>
      <c r="K202" s="101">
        <f t="shared" si="53"/>
        <v>111666.66666666564</v>
      </c>
      <c r="O202" s="118">
        <f t="shared" si="55"/>
        <v>16.666666666666664</v>
      </c>
      <c r="P202" s="119">
        <f t="shared" ca="1" si="45"/>
        <v>30</v>
      </c>
      <c r="Q202" s="120">
        <v>365</v>
      </c>
      <c r="AA202" s="96">
        <f t="shared" si="39"/>
        <v>164</v>
      </c>
      <c r="AB202" s="97">
        <f t="shared" si="40"/>
        <v>16183.103278936738</v>
      </c>
      <c r="AC202" s="97">
        <f t="shared" si="41"/>
        <v>2270.0841892011535</v>
      </c>
      <c r="AE202" s="96">
        <f t="shared" si="42"/>
        <v>164</v>
      </c>
      <c r="AF202" s="97">
        <f>IFERROR(VLOOKUP(AE202,[1]Cálculos_PRICE!$A$32:$K$212,10,0),"")</f>
        <v>16183.103278936738</v>
      </c>
      <c r="AG202" s="97">
        <f>IFERROR(VLOOKUP(AE202,'Cálculos_CGI - SAC FIXA'!A200:K592,10,0),"")</f>
        <v>2270.0841892011535</v>
      </c>
      <c r="AH202" s="97">
        <f>IFERROR(VLOOKUP(AE202,[1]Cálculos_PRICE!$A$32:$K$212,6,0),"")</f>
        <v>12503.07158060389</v>
      </c>
      <c r="AI202" s="97">
        <f>IFERROR(VLOOKUP(AE202,'Cálculos_CGI - SAC FIXA'!A200:K592,6,0),"")</f>
        <v>555.55555555555554</v>
      </c>
      <c r="AJ202" s="97">
        <f>IFERROR(VLOOKUP(AE202,[1]Cálculos_PRICE!$A$32:$K$240,11,0),"")</f>
        <v>227572.84932101794</v>
      </c>
      <c r="AK202" s="97">
        <f>IFERROR(VLOOKUP(AE202,'Cálculos_CGI - SAC FIXA'!A200:K592,11,0),"")</f>
        <v>108888.88888888783</v>
      </c>
      <c r="AN202" s="157">
        <f t="shared" si="38"/>
        <v>53536.156666667724</v>
      </c>
      <c r="AO202" s="147" t="s">
        <v>283</v>
      </c>
      <c r="AP202" s="147" t="s">
        <v>119</v>
      </c>
      <c r="AQ202" s="148">
        <v>49068</v>
      </c>
      <c r="AR202" s="149">
        <v>163145.89000000001</v>
      </c>
      <c r="AS202" s="149">
        <v>1276.4000000000001</v>
      </c>
      <c r="AT202" s="150">
        <v>0</v>
      </c>
      <c r="AU202" s="149">
        <v>2104.58</v>
      </c>
      <c r="AV202" s="150">
        <v>57.52</v>
      </c>
      <c r="AW202" s="149">
        <v>3438.5</v>
      </c>
      <c r="AX202" s="151"/>
    </row>
    <row r="203" spans="1:50" ht="15.5" x14ac:dyDescent="0.35">
      <c r="A203" s="98">
        <f t="shared" si="54"/>
        <v>160</v>
      </c>
      <c r="B203" s="99">
        <f t="shared" ca="1" si="46"/>
        <v>50926</v>
      </c>
      <c r="C203" s="100">
        <f t="shared" si="43"/>
        <v>111666.66666666564</v>
      </c>
      <c r="D203" s="100">
        <f t="shared" si="47"/>
        <v>1217.1666666666554</v>
      </c>
      <c r="E203" s="100">
        <f t="shared" si="48"/>
        <v>112883.8333333323</v>
      </c>
      <c r="F203" s="100">
        <f t="shared" si="49"/>
        <v>555.55555555555554</v>
      </c>
      <c r="G203" s="100">
        <f t="shared" si="50"/>
        <v>2224.9119669789316</v>
      </c>
      <c r="H203" s="100">
        <f t="shared" si="51"/>
        <v>25.683333333333099</v>
      </c>
      <c r="I203" s="100">
        <f t="shared" si="44"/>
        <v>20</v>
      </c>
      <c r="J203" s="100">
        <f t="shared" si="52"/>
        <v>2270.5953003122645</v>
      </c>
      <c r="K203" s="101">
        <f t="shared" si="53"/>
        <v>111111.11111111008</v>
      </c>
      <c r="O203" s="118">
        <f t="shared" si="55"/>
        <v>16.666666666666664</v>
      </c>
      <c r="P203" s="119">
        <f t="shared" ca="1" si="45"/>
        <v>31</v>
      </c>
      <c r="Q203" s="120">
        <v>365</v>
      </c>
      <c r="AA203" s="96">
        <f t="shared" si="39"/>
        <v>165</v>
      </c>
      <c r="AB203" s="97">
        <f t="shared" si="40"/>
        <v>16180.322595817212</v>
      </c>
      <c r="AC203" s="97">
        <f t="shared" si="41"/>
        <v>2269.9564114233758</v>
      </c>
      <c r="AE203" s="96">
        <f t="shared" si="42"/>
        <v>165</v>
      </c>
      <c r="AF203" s="97">
        <f>IFERROR(VLOOKUP(AE203,[1]Cálculos_PRICE!$A$32:$K$212,10,0),"")</f>
        <v>16180.322595817212</v>
      </c>
      <c r="AG203" s="97">
        <f>IFERROR(VLOOKUP(AE203,'Cálculos_CGI - SAC FIXA'!A201:K593,10,0),"")</f>
        <v>2269.9564114233758</v>
      </c>
      <c r="AH203" s="97">
        <f>IFERROR(VLOOKUP(AE203,[1]Cálculos_PRICE!$A$32:$K$212,6,0),"")</f>
        <v>12690.617654312948</v>
      </c>
      <c r="AI203" s="97">
        <f>IFERROR(VLOOKUP(AE203,'Cálculos_CGI - SAC FIXA'!A201:K593,6,0),"")</f>
        <v>555.55555555555554</v>
      </c>
      <c r="AJ203" s="97">
        <f>IFERROR(VLOOKUP(AE203,[1]Cálculos_PRICE!$A$32:$K$240,11,0),"")</f>
        <v>214882.23166670499</v>
      </c>
      <c r="AK203" s="97">
        <f>IFERROR(VLOOKUP(AE203,'Cálculos_CGI - SAC FIXA'!A201:K593,11,0),"")</f>
        <v>108333.33333333227</v>
      </c>
      <c r="AN203" s="157">
        <f t="shared" si="38"/>
        <v>52798.8522222233</v>
      </c>
      <c r="AO203" s="152" t="s">
        <v>284</v>
      </c>
      <c r="AP203" s="152" t="s">
        <v>119</v>
      </c>
      <c r="AQ203" s="153">
        <v>49099</v>
      </c>
      <c r="AR203" s="154">
        <v>161869.49</v>
      </c>
      <c r="AS203" s="154">
        <v>1292.8599999999999</v>
      </c>
      <c r="AT203" s="155">
        <v>0</v>
      </c>
      <c r="AU203" s="154">
        <v>2088.12</v>
      </c>
      <c r="AV203" s="155">
        <v>57.23</v>
      </c>
      <c r="AW203" s="154">
        <v>3438.21</v>
      </c>
      <c r="AX203" s="156"/>
    </row>
    <row r="204" spans="1:50" ht="15.5" x14ac:dyDescent="0.35">
      <c r="A204" s="98">
        <f t="shared" si="54"/>
        <v>161</v>
      </c>
      <c r="B204" s="99">
        <f t="shared" ca="1" si="46"/>
        <v>50956</v>
      </c>
      <c r="C204" s="100">
        <f t="shared" si="43"/>
        <v>111111.11111111008</v>
      </c>
      <c r="D204" s="100">
        <f t="shared" si="47"/>
        <v>1211.1111111110997</v>
      </c>
      <c r="E204" s="100">
        <f t="shared" si="48"/>
        <v>112322.22222222117</v>
      </c>
      <c r="F204" s="100">
        <f t="shared" si="49"/>
        <v>555.55555555555554</v>
      </c>
      <c r="G204" s="100">
        <f t="shared" si="50"/>
        <v>2224.9119669789316</v>
      </c>
      <c r="H204" s="100">
        <f t="shared" si="51"/>
        <v>25.555555555555319</v>
      </c>
      <c r="I204" s="100">
        <f t="shared" si="44"/>
        <v>20</v>
      </c>
      <c r="J204" s="100">
        <f t="shared" si="52"/>
        <v>2270.4675225344868</v>
      </c>
      <c r="K204" s="101">
        <f t="shared" si="53"/>
        <v>110555.55555555451</v>
      </c>
      <c r="O204" s="118">
        <f t="shared" si="55"/>
        <v>16.666666666666664</v>
      </c>
      <c r="P204" s="119">
        <f t="shared" ca="1" si="45"/>
        <v>30</v>
      </c>
      <c r="Q204" s="120">
        <v>365</v>
      </c>
      <c r="AA204" s="96">
        <f t="shared" si="39"/>
        <v>166</v>
      </c>
      <c r="AB204" s="97">
        <f t="shared" si="40"/>
        <v>16177.500202450892</v>
      </c>
      <c r="AC204" s="97">
        <f t="shared" si="41"/>
        <v>2269.8286336455981</v>
      </c>
      <c r="AE204" s="96">
        <f t="shared" si="42"/>
        <v>166</v>
      </c>
      <c r="AF204" s="97">
        <f>IFERROR(VLOOKUP(AE204,[1]Cálculos_PRICE!$A$32:$K$212,10,0),"")</f>
        <v>16177.500202450892</v>
      </c>
      <c r="AG204" s="97">
        <f>IFERROR(VLOOKUP(AE204,'Cálculos_CGI - SAC FIXA'!A202:K594,10,0),"")</f>
        <v>2269.8286336455981</v>
      </c>
      <c r="AH204" s="97">
        <f>IFERROR(VLOOKUP(AE204,[1]Cálculos_PRICE!$A$32:$K$212,6,0),"")</f>
        <v>12880.976919127643</v>
      </c>
      <c r="AI204" s="97">
        <f>IFERROR(VLOOKUP(AE204,'Cálculos_CGI - SAC FIXA'!A202:K594,6,0),"")</f>
        <v>555.55555555555554</v>
      </c>
      <c r="AJ204" s="97">
        <f>IFERROR(VLOOKUP(AE204,[1]Cálculos_PRICE!$A$32:$K$240,11,0),"")</f>
        <v>202001.25474757736</v>
      </c>
      <c r="AK204" s="97">
        <f>IFERROR(VLOOKUP(AE204,'Cálculos_CGI - SAC FIXA'!A202:K594,11,0),"")</f>
        <v>107777.7777777767</v>
      </c>
      <c r="AN204" s="157">
        <f t="shared" si="38"/>
        <v>52044.867777778854</v>
      </c>
      <c r="AO204" s="147" t="s">
        <v>285</v>
      </c>
      <c r="AP204" s="147" t="s">
        <v>119</v>
      </c>
      <c r="AQ204" s="148">
        <v>49129</v>
      </c>
      <c r="AR204" s="149">
        <v>160576.63</v>
      </c>
      <c r="AS204" s="149">
        <v>1309.54</v>
      </c>
      <c r="AT204" s="150">
        <v>0</v>
      </c>
      <c r="AU204" s="149">
        <v>2071.44</v>
      </c>
      <c r="AV204" s="150">
        <v>56.93</v>
      </c>
      <c r="AW204" s="149">
        <v>3437.91</v>
      </c>
      <c r="AX204" s="151"/>
    </row>
    <row r="205" spans="1:50" ht="15.5" x14ac:dyDescent="0.35">
      <c r="A205" s="98">
        <f t="shared" si="54"/>
        <v>162</v>
      </c>
      <c r="B205" s="99">
        <f t="shared" ca="1" si="46"/>
        <v>50987</v>
      </c>
      <c r="C205" s="100">
        <f t="shared" si="43"/>
        <v>110555.55555555451</v>
      </c>
      <c r="D205" s="100">
        <f t="shared" si="47"/>
        <v>1205.0555555555443</v>
      </c>
      <c r="E205" s="100">
        <f t="shared" si="48"/>
        <v>111760.61111111006</v>
      </c>
      <c r="F205" s="100">
        <f t="shared" si="49"/>
        <v>555.55555555555554</v>
      </c>
      <c r="G205" s="100">
        <f t="shared" si="50"/>
        <v>2224.9119669789316</v>
      </c>
      <c r="H205" s="100">
        <f t="shared" si="51"/>
        <v>25.427777777777539</v>
      </c>
      <c r="I205" s="100">
        <f t="shared" si="44"/>
        <v>20</v>
      </c>
      <c r="J205" s="100">
        <f t="shared" si="52"/>
        <v>2270.339744756709</v>
      </c>
      <c r="K205" s="101">
        <f t="shared" si="53"/>
        <v>109999.99999999895</v>
      </c>
      <c r="O205" s="118">
        <f t="shared" si="55"/>
        <v>16.666666666666664</v>
      </c>
      <c r="P205" s="119">
        <f t="shared" ca="1" si="45"/>
        <v>31</v>
      </c>
      <c r="Q205" s="120">
        <v>365</v>
      </c>
      <c r="AA205" s="96">
        <f t="shared" si="39"/>
        <v>167</v>
      </c>
      <c r="AB205" s="97">
        <f t="shared" si="40"/>
        <v>16174.635473184078</v>
      </c>
      <c r="AC205" s="97">
        <f t="shared" si="41"/>
        <v>2269.7008558678203</v>
      </c>
      <c r="AE205" s="96">
        <f t="shared" si="42"/>
        <v>167</v>
      </c>
      <c r="AF205" s="97">
        <f>IFERROR(VLOOKUP(AE205,[1]Cálculos_PRICE!$A$32:$K$212,10,0),"")</f>
        <v>16174.635473184078</v>
      </c>
      <c r="AG205" s="97">
        <f>IFERROR(VLOOKUP(AE205,'Cálculos_CGI - SAC FIXA'!A203:K595,10,0),"")</f>
        <v>2269.7008558678203</v>
      </c>
      <c r="AH205" s="97">
        <f>IFERROR(VLOOKUP(AE205,[1]Cálculos_PRICE!$A$32:$K$212,6,0),"")</f>
        <v>13074.191572914557</v>
      </c>
      <c r="AI205" s="97">
        <f>IFERROR(VLOOKUP(AE205,'Cálculos_CGI - SAC FIXA'!A203:K595,6,0),"")</f>
        <v>555.55555555555554</v>
      </c>
      <c r="AJ205" s="97">
        <f>IFERROR(VLOOKUP(AE205,[1]Cálculos_PRICE!$A$32:$K$240,11,0),"")</f>
        <v>188927.06317466279</v>
      </c>
      <c r="AK205" s="97">
        <f>IFERROR(VLOOKUP(AE205,'Cálculos_CGI - SAC FIXA'!A203:K595,11,0),"")</f>
        <v>107222.22222222114</v>
      </c>
      <c r="AN205" s="157">
        <f t="shared" si="38"/>
        <v>51273.993333334423</v>
      </c>
      <c r="AO205" s="152" t="s">
        <v>286</v>
      </c>
      <c r="AP205" s="152" t="s">
        <v>119</v>
      </c>
      <c r="AQ205" s="153">
        <v>49160</v>
      </c>
      <c r="AR205" s="154">
        <v>159267.09</v>
      </c>
      <c r="AS205" s="154">
        <v>1326.43</v>
      </c>
      <c r="AT205" s="155">
        <v>0</v>
      </c>
      <c r="AU205" s="154">
        <v>2054.5500000000002</v>
      </c>
      <c r="AV205" s="155">
        <v>56.63</v>
      </c>
      <c r="AW205" s="154">
        <v>3437.61</v>
      </c>
      <c r="AX205" s="156"/>
    </row>
    <row r="206" spans="1:50" ht="15.5" x14ac:dyDescent="0.35">
      <c r="A206" s="98">
        <f t="shared" si="54"/>
        <v>163</v>
      </c>
      <c r="B206" s="99">
        <f t="shared" ca="1" si="46"/>
        <v>51018</v>
      </c>
      <c r="C206" s="100">
        <f t="shared" si="43"/>
        <v>109999.99999999895</v>
      </c>
      <c r="D206" s="100">
        <f t="shared" si="47"/>
        <v>1198.9999999999886</v>
      </c>
      <c r="E206" s="100">
        <f t="shared" si="48"/>
        <v>111198.99999999894</v>
      </c>
      <c r="F206" s="100">
        <f t="shared" si="49"/>
        <v>555.55555555555554</v>
      </c>
      <c r="G206" s="100">
        <f t="shared" si="50"/>
        <v>2224.9119669789316</v>
      </c>
      <c r="H206" s="100">
        <f t="shared" si="51"/>
        <v>25.299999999999759</v>
      </c>
      <c r="I206" s="100">
        <f t="shared" si="44"/>
        <v>20</v>
      </c>
      <c r="J206" s="100">
        <f t="shared" si="52"/>
        <v>2270.2119669789313</v>
      </c>
      <c r="K206" s="101">
        <f t="shared" si="53"/>
        <v>109444.44444444339</v>
      </c>
      <c r="O206" s="118">
        <f t="shared" si="55"/>
        <v>16.666666666666664</v>
      </c>
      <c r="P206" s="119">
        <f t="shared" ca="1" si="45"/>
        <v>31</v>
      </c>
      <c r="Q206" s="120">
        <v>365</v>
      </c>
      <c r="AA206" s="96">
        <f t="shared" si="39"/>
        <v>168</v>
      </c>
      <c r="AB206" s="97">
        <f t="shared" si="40"/>
        <v>16171.727772978262</v>
      </c>
      <c r="AC206" s="97">
        <f t="shared" si="41"/>
        <v>2269.5730780900426</v>
      </c>
      <c r="AE206" s="96">
        <f t="shared" si="42"/>
        <v>168</v>
      </c>
      <c r="AF206" s="97">
        <f>IFERROR(VLOOKUP(AE206,[1]Cálculos_PRICE!$A$32:$K$212,10,0),"")</f>
        <v>16171.727772978262</v>
      </c>
      <c r="AG206" s="97">
        <f>IFERROR(VLOOKUP(AE206,'Cálculos_CGI - SAC FIXA'!A204:K596,10,0),"")</f>
        <v>2269.5730780900426</v>
      </c>
      <c r="AH206" s="97">
        <f>IFERROR(VLOOKUP(AE206,[1]Cálculos_PRICE!$A$32:$K$212,6,0),"")</f>
        <v>13270.304446508275</v>
      </c>
      <c r="AI206" s="97">
        <f>IFERROR(VLOOKUP(AE206,'Cálculos_CGI - SAC FIXA'!A204:K596,6,0),"")</f>
        <v>555.55555555555554</v>
      </c>
      <c r="AJ206" s="97">
        <f>IFERROR(VLOOKUP(AE206,[1]Cálculos_PRICE!$A$32:$K$240,11,0),"")</f>
        <v>175656.75872815453</v>
      </c>
      <c r="AK206" s="97">
        <f>IFERROR(VLOOKUP(AE206,'Cálculos_CGI - SAC FIXA'!A204:K596,11,0),"")</f>
        <v>106666.66666666558</v>
      </c>
      <c r="AN206" s="157">
        <f t="shared" si="38"/>
        <v>50485.998888889968</v>
      </c>
      <c r="AO206" s="147" t="s">
        <v>287</v>
      </c>
      <c r="AP206" s="147" t="s">
        <v>119</v>
      </c>
      <c r="AQ206" s="148">
        <v>49191</v>
      </c>
      <c r="AR206" s="149">
        <v>157940.66</v>
      </c>
      <c r="AS206" s="149">
        <v>1343.55</v>
      </c>
      <c r="AT206" s="150">
        <v>0</v>
      </c>
      <c r="AU206" s="149">
        <v>2037.43</v>
      </c>
      <c r="AV206" s="150">
        <v>56.33</v>
      </c>
      <c r="AW206" s="149">
        <v>3437.31</v>
      </c>
      <c r="AX206" s="151"/>
    </row>
    <row r="207" spans="1:50" ht="15.5" x14ac:dyDescent="0.35">
      <c r="A207" s="98">
        <f t="shared" si="54"/>
        <v>164</v>
      </c>
      <c r="B207" s="99">
        <f t="shared" ca="1" si="46"/>
        <v>51048</v>
      </c>
      <c r="C207" s="100">
        <f t="shared" si="43"/>
        <v>109444.44444444339</v>
      </c>
      <c r="D207" s="100">
        <f t="shared" si="47"/>
        <v>1192.944444444433</v>
      </c>
      <c r="E207" s="100">
        <f t="shared" si="48"/>
        <v>110637.38888888783</v>
      </c>
      <c r="F207" s="100">
        <f t="shared" si="49"/>
        <v>555.55555555555554</v>
      </c>
      <c r="G207" s="100">
        <f t="shared" si="50"/>
        <v>2224.9119669789316</v>
      </c>
      <c r="H207" s="100">
        <f t="shared" si="51"/>
        <v>25.172222222221979</v>
      </c>
      <c r="I207" s="100">
        <f t="shared" si="44"/>
        <v>20</v>
      </c>
      <c r="J207" s="100">
        <f t="shared" si="52"/>
        <v>2270.0841892011535</v>
      </c>
      <c r="K207" s="101">
        <f t="shared" si="53"/>
        <v>108888.88888888783</v>
      </c>
      <c r="O207" s="118">
        <f t="shared" si="55"/>
        <v>16.666666666666664</v>
      </c>
      <c r="P207" s="119">
        <f t="shared" ca="1" si="45"/>
        <v>30</v>
      </c>
      <c r="Q207" s="120">
        <v>365</v>
      </c>
      <c r="AA207" s="96">
        <f t="shared" si="39"/>
        <v>169</v>
      </c>
      <c r="AB207" s="97">
        <f t="shared" si="40"/>
        <v>16168.776457269358</v>
      </c>
      <c r="AC207" s="97">
        <f t="shared" si="41"/>
        <v>2269.4453003122649</v>
      </c>
      <c r="AE207" s="96">
        <f t="shared" si="42"/>
        <v>169</v>
      </c>
      <c r="AF207" s="97">
        <f>IFERROR(VLOOKUP(AE207,[1]Cálculos_PRICE!$A$32:$K$212,10,0),"")</f>
        <v>16168.776457269358</v>
      </c>
      <c r="AG207" s="97">
        <f>IFERROR(VLOOKUP(AE207,'Cálculos_CGI - SAC FIXA'!A205:K597,10,0),"")</f>
        <v>2269.4453003122649</v>
      </c>
      <c r="AH207" s="97">
        <f>IFERROR(VLOOKUP(AE207,[1]Cálculos_PRICE!$A$32:$K$212,6,0),"")</f>
        <v>13469.3590132059</v>
      </c>
      <c r="AI207" s="97">
        <f>IFERROR(VLOOKUP(AE207,'Cálculos_CGI - SAC FIXA'!A205:K597,6,0),"")</f>
        <v>555.55555555555554</v>
      </c>
      <c r="AJ207" s="97">
        <f>IFERROR(VLOOKUP(AE207,[1]Cálculos_PRICE!$A$32:$K$240,11,0),"")</f>
        <v>162187.39971494864</v>
      </c>
      <c r="AK207" s="97">
        <f>IFERROR(VLOOKUP(AE207,'Cálculos_CGI - SAC FIXA'!A205:K597,11,0),"")</f>
        <v>106111.11111111002</v>
      </c>
      <c r="AN207" s="157">
        <f t="shared" si="38"/>
        <v>49680.674444445554</v>
      </c>
      <c r="AO207" s="152" t="s">
        <v>288</v>
      </c>
      <c r="AP207" s="152" t="s">
        <v>119</v>
      </c>
      <c r="AQ207" s="153">
        <v>49221</v>
      </c>
      <c r="AR207" s="154">
        <v>156597.10999999999</v>
      </c>
      <c r="AS207" s="154">
        <v>1360.88</v>
      </c>
      <c r="AT207" s="155">
        <v>0</v>
      </c>
      <c r="AU207" s="154">
        <v>2020.1</v>
      </c>
      <c r="AV207" s="155">
        <v>56.02</v>
      </c>
      <c r="AW207" s="154">
        <v>3437</v>
      </c>
      <c r="AX207" s="156"/>
    </row>
    <row r="208" spans="1:50" ht="15.5" x14ac:dyDescent="0.35">
      <c r="A208" s="98">
        <f t="shared" si="54"/>
        <v>165</v>
      </c>
      <c r="B208" s="99">
        <f t="shared" ca="1" si="46"/>
        <v>51079</v>
      </c>
      <c r="C208" s="100">
        <f t="shared" si="43"/>
        <v>108888.88888888783</v>
      </c>
      <c r="D208" s="100">
        <f t="shared" si="47"/>
        <v>1186.8888888888773</v>
      </c>
      <c r="E208" s="100">
        <f t="shared" si="48"/>
        <v>110075.7777777767</v>
      </c>
      <c r="F208" s="100">
        <f t="shared" si="49"/>
        <v>555.55555555555554</v>
      </c>
      <c r="G208" s="100">
        <f t="shared" si="50"/>
        <v>2224.9119669789316</v>
      </c>
      <c r="H208" s="100">
        <f t="shared" si="51"/>
        <v>25.044444444444203</v>
      </c>
      <c r="I208" s="100">
        <f t="shared" si="44"/>
        <v>20</v>
      </c>
      <c r="J208" s="100">
        <f t="shared" si="52"/>
        <v>2269.9564114233758</v>
      </c>
      <c r="K208" s="101">
        <f t="shared" si="53"/>
        <v>108333.33333333227</v>
      </c>
      <c r="O208" s="118">
        <f t="shared" si="55"/>
        <v>16.666666666666664</v>
      </c>
      <c r="P208" s="119">
        <f t="shared" ca="1" si="45"/>
        <v>31</v>
      </c>
      <c r="Q208" s="120">
        <v>365</v>
      </c>
      <c r="AA208" s="96">
        <f t="shared" si="39"/>
        <v>170</v>
      </c>
      <c r="AB208" s="97">
        <f t="shared" si="40"/>
        <v>16165.780871824822</v>
      </c>
      <c r="AC208" s="97">
        <f t="shared" si="41"/>
        <v>2269.3175225344867</v>
      </c>
      <c r="AE208" s="96">
        <f t="shared" si="42"/>
        <v>170</v>
      </c>
      <c r="AF208" s="97">
        <f>IFERROR(VLOOKUP(AE208,[1]Cálculos_PRICE!$A$32:$K$212,10,0),"")</f>
        <v>16165.780871824822</v>
      </c>
      <c r="AG208" s="97">
        <f>IFERROR(VLOOKUP(AE208,'Cálculos_CGI - SAC FIXA'!A206:K598,10,0),"")</f>
        <v>2269.3175225344867</v>
      </c>
      <c r="AH208" s="97">
        <f>IFERROR(VLOOKUP(AE208,[1]Cálculos_PRICE!$A$32:$K$212,6,0),"")</f>
        <v>13671.399398403988</v>
      </c>
      <c r="AI208" s="97">
        <f>IFERROR(VLOOKUP(AE208,'Cálculos_CGI - SAC FIXA'!A206:K598,6,0),"")</f>
        <v>555.55555555555554</v>
      </c>
      <c r="AJ208" s="97">
        <f>IFERROR(VLOOKUP(AE208,[1]Cálculos_PRICE!$A$32:$K$240,11,0),"")</f>
        <v>148516.00031654464</v>
      </c>
      <c r="AK208" s="97">
        <f>IFERROR(VLOOKUP(AE208,'Cálculos_CGI - SAC FIXA'!A206:K598,11,0),"")</f>
        <v>105555.55555555446</v>
      </c>
      <c r="AN208" s="157">
        <f t="shared" si="38"/>
        <v>48857.800000001094</v>
      </c>
      <c r="AO208" s="147" t="s">
        <v>289</v>
      </c>
      <c r="AP208" s="147" t="s">
        <v>119</v>
      </c>
      <c r="AQ208" s="148">
        <v>49252</v>
      </c>
      <c r="AR208" s="149">
        <v>155236.23000000001</v>
      </c>
      <c r="AS208" s="149">
        <v>1378.43</v>
      </c>
      <c r="AT208" s="150">
        <v>0</v>
      </c>
      <c r="AU208" s="149">
        <v>2002.55</v>
      </c>
      <c r="AV208" s="150">
        <v>55.7</v>
      </c>
      <c r="AW208" s="149">
        <v>3436.68</v>
      </c>
      <c r="AX208" s="151"/>
    </row>
    <row r="209" spans="1:50" ht="15.5" x14ac:dyDescent="0.35">
      <c r="A209" s="98">
        <f t="shared" si="54"/>
        <v>166</v>
      </c>
      <c r="B209" s="99">
        <f t="shared" ca="1" si="46"/>
        <v>51109</v>
      </c>
      <c r="C209" s="100">
        <f t="shared" si="43"/>
        <v>108333.33333333227</v>
      </c>
      <c r="D209" s="100">
        <f t="shared" si="47"/>
        <v>1180.8333333333217</v>
      </c>
      <c r="E209" s="100">
        <f t="shared" si="48"/>
        <v>109514.16666666559</v>
      </c>
      <c r="F209" s="100">
        <f t="shared" si="49"/>
        <v>555.55555555555554</v>
      </c>
      <c r="G209" s="100">
        <f t="shared" si="50"/>
        <v>2224.9119669789316</v>
      </c>
      <c r="H209" s="100">
        <f t="shared" si="51"/>
        <v>24.916666666666423</v>
      </c>
      <c r="I209" s="100">
        <f t="shared" si="44"/>
        <v>20</v>
      </c>
      <c r="J209" s="100">
        <f t="shared" si="52"/>
        <v>2269.8286336455981</v>
      </c>
      <c r="K209" s="101">
        <f t="shared" si="53"/>
        <v>107777.7777777767</v>
      </c>
      <c r="O209" s="118">
        <f t="shared" si="55"/>
        <v>16.666666666666664</v>
      </c>
      <c r="P209" s="119">
        <f t="shared" ca="1" si="45"/>
        <v>30</v>
      </c>
      <c r="Q209" s="120">
        <v>365</v>
      </c>
      <c r="AA209" s="96">
        <f t="shared" si="39"/>
        <v>171</v>
      </c>
      <c r="AB209" s="97">
        <f t="shared" si="40"/>
        <v>16162.740352598616</v>
      </c>
      <c r="AC209" s="97">
        <f t="shared" si="41"/>
        <v>2269.1897447567089</v>
      </c>
      <c r="AE209" s="96">
        <f t="shared" si="42"/>
        <v>171</v>
      </c>
      <c r="AF209" s="97">
        <f>IFERROR(VLOOKUP(AE209,[1]Cálculos_PRICE!$A$32:$K$212,10,0),"")</f>
        <v>16162.740352598616</v>
      </c>
      <c r="AG209" s="97">
        <f>IFERROR(VLOOKUP(AE209,'Cálculos_CGI - SAC FIXA'!A207:K599,10,0),"")</f>
        <v>2269.1897447567089</v>
      </c>
      <c r="AH209" s="97">
        <f>IFERROR(VLOOKUP(AE209,[1]Cálculos_PRICE!$A$32:$K$212,6,0),"")</f>
        <v>13876.470389380047</v>
      </c>
      <c r="AI209" s="97">
        <f>IFERROR(VLOOKUP(AE209,'Cálculos_CGI - SAC FIXA'!A207:K599,6,0),"")</f>
        <v>555.55555555555554</v>
      </c>
      <c r="AJ209" s="97">
        <f>IFERROR(VLOOKUP(AE209,[1]Cálculos_PRICE!$A$32:$K$240,11,0),"")</f>
        <v>134639.52992716461</v>
      </c>
      <c r="AK209" s="97">
        <f>IFERROR(VLOOKUP(AE209,'Cálculos_CGI - SAC FIXA'!A207:K599,11,0),"")</f>
        <v>104999.99999999889</v>
      </c>
      <c r="AN209" s="157">
        <f t="shared" si="38"/>
        <v>48017.145555556664</v>
      </c>
      <c r="AO209" s="152" t="s">
        <v>290</v>
      </c>
      <c r="AP209" s="152" t="s">
        <v>119</v>
      </c>
      <c r="AQ209" s="153">
        <v>49282</v>
      </c>
      <c r="AR209" s="154">
        <v>153857.79999999999</v>
      </c>
      <c r="AS209" s="154">
        <v>1396.21</v>
      </c>
      <c r="AT209" s="155">
        <v>0</v>
      </c>
      <c r="AU209" s="154">
        <v>1984.77</v>
      </c>
      <c r="AV209" s="155">
        <v>55.39</v>
      </c>
      <c r="AW209" s="154">
        <v>3436.37</v>
      </c>
      <c r="AX209" s="156"/>
    </row>
    <row r="210" spans="1:50" ht="15.5" x14ac:dyDescent="0.35">
      <c r="A210" s="98">
        <f t="shared" si="54"/>
        <v>167</v>
      </c>
      <c r="B210" s="99">
        <f t="shared" ca="1" si="46"/>
        <v>51140</v>
      </c>
      <c r="C210" s="100">
        <f t="shared" si="43"/>
        <v>107777.7777777767</v>
      </c>
      <c r="D210" s="100">
        <f t="shared" si="47"/>
        <v>1174.777777777766</v>
      </c>
      <c r="E210" s="100">
        <f t="shared" si="48"/>
        <v>108952.55555555447</v>
      </c>
      <c r="F210" s="100">
        <f t="shared" si="49"/>
        <v>555.55555555555554</v>
      </c>
      <c r="G210" s="100">
        <f t="shared" si="50"/>
        <v>2224.9119669789316</v>
      </c>
      <c r="H210" s="100">
        <f t="shared" si="51"/>
        <v>24.788888888888643</v>
      </c>
      <c r="I210" s="100">
        <f t="shared" si="44"/>
        <v>20</v>
      </c>
      <c r="J210" s="100">
        <f t="shared" si="52"/>
        <v>2269.7008558678203</v>
      </c>
      <c r="K210" s="101">
        <f t="shared" si="53"/>
        <v>107222.22222222114</v>
      </c>
      <c r="O210" s="118">
        <f t="shared" si="55"/>
        <v>16.666666666666664</v>
      </c>
      <c r="P210" s="119">
        <f t="shared" ca="1" si="45"/>
        <v>31</v>
      </c>
      <c r="Q210" s="120">
        <v>365</v>
      </c>
      <c r="AA210" s="96">
        <f t="shared" si="39"/>
        <v>172</v>
      </c>
      <c r="AB210" s="97">
        <f t="shared" si="40"/>
        <v>16159.654225584018</v>
      </c>
      <c r="AC210" s="97">
        <f t="shared" si="41"/>
        <v>2269.0619669789312</v>
      </c>
      <c r="AE210" s="96">
        <f t="shared" si="42"/>
        <v>172</v>
      </c>
      <c r="AF210" s="97">
        <f>IFERROR(VLOOKUP(AE210,[1]Cálculos_PRICE!$A$32:$K$212,10,0),"")</f>
        <v>16159.654225584018</v>
      </c>
      <c r="AG210" s="97">
        <f>IFERROR(VLOOKUP(AE210,'Cálculos_CGI - SAC FIXA'!A208:K600,10,0),"")</f>
        <v>2269.0619669789312</v>
      </c>
      <c r="AH210" s="97">
        <f>IFERROR(VLOOKUP(AE210,[1]Cálculos_PRICE!$A$32:$K$212,6,0),"")</f>
        <v>14084.617445220747</v>
      </c>
      <c r="AI210" s="97">
        <f>IFERROR(VLOOKUP(AE210,'Cálculos_CGI - SAC FIXA'!A208:K600,6,0),"")</f>
        <v>555.55555555555554</v>
      </c>
      <c r="AJ210" s="97">
        <f>IFERROR(VLOOKUP(AE210,[1]Cálculos_PRICE!$A$32:$K$240,11,0),"")</f>
        <v>120554.91248194386</v>
      </c>
      <c r="AK210" s="97">
        <f>IFERROR(VLOOKUP(AE210,'Cálculos_CGI - SAC FIXA'!A208:K600,11,0),"")</f>
        <v>104444.44444444333</v>
      </c>
      <c r="AN210" s="157">
        <f t="shared" si="38"/>
        <v>47158.471111112216</v>
      </c>
      <c r="AO210" s="147" t="s">
        <v>291</v>
      </c>
      <c r="AP210" s="147" t="s">
        <v>119</v>
      </c>
      <c r="AQ210" s="148">
        <v>49313</v>
      </c>
      <c r="AR210" s="149">
        <v>152461.59</v>
      </c>
      <c r="AS210" s="149">
        <v>1414.23</v>
      </c>
      <c r="AT210" s="150">
        <v>0</v>
      </c>
      <c r="AU210" s="149">
        <v>1966.75</v>
      </c>
      <c r="AV210" s="150">
        <v>55.07</v>
      </c>
      <c r="AW210" s="149">
        <v>3436.05</v>
      </c>
      <c r="AX210" s="151"/>
    </row>
    <row r="211" spans="1:50" ht="15.5" x14ac:dyDescent="0.35">
      <c r="A211" s="98">
        <f t="shared" si="54"/>
        <v>168</v>
      </c>
      <c r="B211" s="99">
        <f t="shared" ca="1" si="46"/>
        <v>51171</v>
      </c>
      <c r="C211" s="100">
        <f t="shared" si="43"/>
        <v>107222.22222222114</v>
      </c>
      <c r="D211" s="100">
        <f t="shared" si="47"/>
        <v>1168.7222222222103</v>
      </c>
      <c r="E211" s="100">
        <f t="shared" si="48"/>
        <v>108390.94444444335</v>
      </c>
      <c r="F211" s="100">
        <f t="shared" si="49"/>
        <v>555.55555555555554</v>
      </c>
      <c r="G211" s="100">
        <f t="shared" si="50"/>
        <v>2224.9119669789316</v>
      </c>
      <c r="H211" s="100">
        <f t="shared" si="51"/>
        <v>24.661111111110863</v>
      </c>
      <c r="I211" s="100">
        <f t="shared" si="44"/>
        <v>20</v>
      </c>
      <c r="J211" s="100">
        <f t="shared" si="52"/>
        <v>2269.5730780900426</v>
      </c>
      <c r="K211" s="101">
        <f t="shared" si="53"/>
        <v>106666.66666666558</v>
      </c>
      <c r="O211" s="118">
        <f t="shared" si="55"/>
        <v>16.666666666666664</v>
      </c>
      <c r="P211" s="119">
        <f t="shared" ca="1" si="45"/>
        <v>31</v>
      </c>
      <c r="Q211" s="120">
        <v>365</v>
      </c>
      <c r="AA211" s="96">
        <f t="shared" si="39"/>
        <v>173</v>
      </c>
      <c r="AB211" s="97">
        <f t="shared" si="40"/>
        <v>16156.521806664201</v>
      </c>
      <c r="AC211" s="97">
        <f t="shared" si="41"/>
        <v>2268.9341892011535</v>
      </c>
      <c r="AE211" s="96">
        <f t="shared" si="42"/>
        <v>173</v>
      </c>
      <c r="AF211" s="97">
        <f>IFERROR(VLOOKUP(AE211,[1]Cálculos_PRICE!$A$32:$K$212,10,0),"")</f>
        <v>16156.521806664201</v>
      </c>
      <c r="AG211" s="97">
        <f>IFERROR(VLOOKUP(AE211,'Cálculos_CGI - SAC FIXA'!A209:K601,10,0),"")</f>
        <v>2268.9341892011535</v>
      </c>
      <c r="AH211" s="97">
        <f>IFERROR(VLOOKUP(AE211,[1]Cálculos_PRICE!$A$32:$K$212,6,0),"")</f>
        <v>14295.886706899058</v>
      </c>
      <c r="AI211" s="97">
        <f>IFERROR(VLOOKUP(AE211,'Cálculos_CGI - SAC FIXA'!A209:K601,6,0),"")</f>
        <v>555.55555555555554</v>
      </c>
      <c r="AJ211" s="97">
        <f>IFERROR(VLOOKUP(AE211,[1]Cálculos_PRICE!$A$32:$K$240,11,0),"")</f>
        <v>106259.02577504481</v>
      </c>
      <c r="AK211" s="97">
        <f>IFERROR(VLOOKUP(AE211,'Cálculos_CGI - SAC FIXA'!A209:K601,11,0),"")</f>
        <v>103888.88888888777</v>
      </c>
      <c r="AN211" s="157">
        <f t="shared" si="38"/>
        <v>46281.556666667806</v>
      </c>
      <c r="AO211" s="152" t="s">
        <v>292</v>
      </c>
      <c r="AP211" s="152" t="s">
        <v>119</v>
      </c>
      <c r="AQ211" s="153">
        <v>49344</v>
      </c>
      <c r="AR211" s="154">
        <v>151047.35999999999</v>
      </c>
      <c r="AS211" s="154">
        <v>1432.47</v>
      </c>
      <c r="AT211" s="155">
        <v>0</v>
      </c>
      <c r="AU211" s="154">
        <v>1948.51</v>
      </c>
      <c r="AV211" s="155">
        <v>54.74</v>
      </c>
      <c r="AW211" s="154">
        <v>3435.72</v>
      </c>
      <c r="AX211" s="156"/>
    </row>
    <row r="212" spans="1:50" ht="15.5" x14ac:dyDescent="0.35">
      <c r="A212" s="98">
        <f t="shared" si="54"/>
        <v>169</v>
      </c>
      <c r="B212" s="99">
        <f t="shared" ca="1" si="46"/>
        <v>51200</v>
      </c>
      <c r="C212" s="100">
        <f t="shared" si="43"/>
        <v>106666.66666666558</v>
      </c>
      <c r="D212" s="100">
        <f t="shared" si="47"/>
        <v>1162.6666666666549</v>
      </c>
      <c r="E212" s="100">
        <f t="shared" si="48"/>
        <v>107829.33333333224</v>
      </c>
      <c r="F212" s="100">
        <f t="shared" si="49"/>
        <v>555.55555555555554</v>
      </c>
      <c r="G212" s="100">
        <f t="shared" si="50"/>
        <v>2224.9119669789316</v>
      </c>
      <c r="H212" s="100">
        <f t="shared" si="51"/>
        <v>24.533333333333083</v>
      </c>
      <c r="I212" s="100">
        <f t="shared" si="44"/>
        <v>20</v>
      </c>
      <c r="J212" s="100">
        <f t="shared" si="52"/>
        <v>2269.4453003122649</v>
      </c>
      <c r="K212" s="101">
        <f t="shared" si="53"/>
        <v>106111.11111111002</v>
      </c>
      <c r="O212" s="118">
        <f t="shared" si="55"/>
        <v>16.666666666666664</v>
      </c>
      <c r="P212" s="119">
        <f t="shared" ca="1" si="45"/>
        <v>29</v>
      </c>
      <c r="Q212" s="120">
        <v>365</v>
      </c>
      <c r="AA212" s="96">
        <f t="shared" si="39"/>
        <v>174</v>
      </c>
      <c r="AB212" s="97">
        <f t="shared" si="40"/>
        <v>16153.342401460586</v>
      </c>
      <c r="AC212" s="97">
        <f t="shared" si="41"/>
        <v>2268.8064114233757</v>
      </c>
      <c r="AE212" s="96">
        <f t="shared" si="42"/>
        <v>174</v>
      </c>
      <c r="AF212" s="97">
        <f>IFERROR(VLOOKUP(AE212,[1]Cálculos_PRICE!$A$32:$K$212,10,0),"")</f>
        <v>16153.342401460586</v>
      </c>
      <c r="AG212" s="97">
        <f>IFERROR(VLOOKUP(AE212,'Cálculos_CGI - SAC FIXA'!A210:K602,10,0),"")</f>
        <v>2268.8064114233757</v>
      </c>
      <c r="AH212" s="97">
        <f>IFERROR(VLOOKUP(AE212,[1]Cálculos_PRICE!$A$32:$K$212,6,0),"")</f>
        <v>14510.325007502544</v>
      </c>
      <c r="AI212" s="97">
        <f>IFERROR(VLOOKUP(AE212,'Cálculos_CGI - SAC FIXA'!A210:K602,6,0),"")</f>
        <v>555.55555555555554</v>
      </c>
      <c r="AJ212" s="97">
        <f>IFERROR(VLOOKUP(AE212,[1]Cálculos_PRICE!$A$32:$K$240,11,0),"")</f>
        <v>91748.700767542265</v>
      </c>
      <c r="AK212" s="97">
        <f>IFERROR(VLOOKUP(AE212,'Cálculos_CGI - SAC FIXA'!A210:K602,11,0),"")</f>
        <v>103333.33333333221</v>
      </c>
      <c r="AN212" s="157">
        <f t="shared" si="38"/>
        <v>45386.162222223356</v>
      </c>
      <c r="AO212" s="147" t="s">
        <v>293</v>
      </c>
      <c r="AP212" s="147" t="s">
        <v>119</v>
      </c>
      <c r="AQ212" s="148">
        <v>49372</v>
      </c>
      <c r="AR212" s="149">
        <v>149614.89000000001</v>
      </c>
      <c r="AS212" s="149">
        <v>1450.95</v>
      </c>
      <c r="AT212" s="150">
        <v>0</v>
      </c>
      <c r="AU212" s="149">
        <v>1930.03</v>
      </c>
      <c r="AV212" s="150">
        <v>54.41</v>
      </c>
      <c r="AW212" s="149">
        <v>3435.39</v>
      </c>
      <c r="AX212" s="151"/>
    </row>
    <row r="213" spans="1:50" ht="15.5" x14ac:dyDescent="0.35">
      <c r="A213" s="98">
        <f t="shared" si="54"/>
        <v>170</v>
      </c>
      <c r="B213" s="99">
        <f t="shared" ca="1" si="46"/>
        <v>51231</v>
      </c>
      <c r="C213" s="100">
        <f t="shared" si="43"/>
        <v>106111.11111111002</v>
      </c>
      <c r="D213" s="100">
        <f t="shared" si="47"/>
        <v>1156.6111111110993</v>
      </c>
      <c r="E213" s="100">
        <f t="shared" si="48"/>
        <v>107267.72222222111</v>
      </c>
      <c r="F213" s="100">
        <f t="shared" si="49"/>
        <v>555.55555555555554</v>
      </c>
      <c r="G213" s="100">
        <f t="shared" si="50"/>
        <v>2224.9119669789316</v>
      </c>
      <c r="H213" s="100">
        <f t="shared" si="51"/>
        <v>24.405555555555306</v>
      </c>
      <c r="I213" s="100">
        <f t="shared" si="44"/>
        <v>20</v>
      </c>
      <c r="J213" s="100">
        <f t="shared" si="52"/>
        <v>2269.3175225344867</v>
      </c>
      <c r="K213" s="101">
        <f t="shared" si="53"/>
        <v>105555.55555555446</v>
      </c>
      <c r="O213" s="118">
        <f t="shared" si="55"/>
        <v>16.666666666666664</v>
      </c>
      <c r="P213" s="119">
        <f t="shared" ca="1" si="45"/>
        <v>31</v>
      </c>
      <c r="Q213" s="120">
        <v>365</v>
      </c>
      <c r="AA213" s="96">
        <f t="shared" si="39"/>
        <v>175</v>
      </c>
      <c r="AB213" s="97">
        <f t="shared" si="40"/>
        <v>16150.115305178919</v>
      </c>
      <c r="AC213" s="97">
        <f t="shared" si="41"/>
        <v>2268.678633645598</v>
      </c>
      <c r="AE213" s="96">
        <f t="shared" si="42"/>
        <v>175</v>
      </c>
      <c r="AF213" s="97">
        <f>IFERROR(VLOOKUP(AE213,[1]Cálculos_PRICE!$A$32:$K$212,10,0),"")</f>
        <v>16150.115305178919</v>
      </c>
      <c r="AG213" s="97">
        <f>IFERROR(VLOOKUP(AE213,'Cálculos_CGI - SAC FIXA'!A211:K603,10,0),"")</f>
        <v>2268.678633645598</v>
      </c>
      <c r="AH213" s="97">
        <f>IFERROR(VLOOKUP(AE213,[1]Cálculos_PRICE!$A$32:$K$212,6,0),"")</f>
        <v>14727.979882615084</v>
      </c>
      <c r="AI213" s="97">
        <f>IFERROR(VLOOKUP(AE213,'Cálculos_CGI - SAC FIXA'!A211:K603,6,0),"")</f>
        <v>555.55555555555554</v>
      </c>
      <c r="AJ213" s="97">
        <f>IFERROR(VLOOKUP(AE213,[1]Cálculos_PRICE!$A$32:$K$240,11,0),"")</f>
        <v>77020.720884927185</v>
      </c>
      <c r="AK213" s="97">
        <f>IFERROR(VLOOKUP(AE213,'Cálculos_CGI - SAC FIXA'!A211:K603,11,0),"")</f>
        <v>102777.77777777665</v>
      </c>
      <c r="AN213" s="157">
        <f t="shared" si="38"/>
        <v>44472.047777778906</v>
      </c>
      <c r="AO213" s="152" t="s">
        <v>294</v>
      </c>
      <c r="AP213" s="152" t="s">
        <v>119</v>
      </c>
      <c r="AQ213" s="153">
        <v>49403</v>
      </c>
      <c r="AR213" s="154">
        <v>148163.94</v>
      </c>
      <c r="AS213" s="154">
        <v>1469.67</v>
      </c>
      <c r="AT213" s="155">
        <v>0</v>
      </c>
      <c r="AU213" s="154">
        <v>1911.31</v>
      </c>
      <c r="AV213" s="155">
        <v>54.08</v>
      </c>
      <c r="AW213" s="154">
        <v>3435.06</v>
      </c>
      <c r="AX213" s="156"/>
    </row>
    <row r="214" spans="1:50" ht="15.5" x14ac:dyDescent="0.35">
      <c r="A214" s="98">
        <f t="shared" si="54"/>
        <v>171</v>
      </c>
      <c r="B214" s="99">
        <f t="shared" ca="1" si="46"/>
        <v>51261</v>
      </c>
      <c r="C214" s="100">
        <f t="shared" si="43"/>
        <v>105555.55555555446</v>
      </c>
      <c r="D214" s="100">
        <f t="shared" si="47"/>
        <v>1150.5555555555436</v>
      </c>
      <c r="E214" s="100">
        <f t="shared" si="48"/>
        <v>106706.11111111</v>
      </c>
      <c r="F214" s="100">
        <f t="shared" si="49"/>
        <v>555.55555555555554</v>
      </c>
      <c r="G214" s="100">
        <f t="shared" si="50"/>
        <v>2224.9119669789316</v>
      </c>
      <c r="H214" s="100">
        <f t="shared" si="51"/>
        <v>24.277777777777526</v>
      </c>
      <c r="I214" s="100">
        <f t="shared" si="44"/>
        <v>20</v>
      </c>
      <c r="J214" s="100">
        <f t="shared" si="52"/>
        <v>2269.1897447567089</v>
      </c>
      <c r="K214" s="101">
        <f t="shared" si="53"/>
        <v>104999.99999999889</v>
      </c>
      <c r="O214" s="118">
        <f t="shared" si="55"/>
        <v>16.666666666666664</v>
      </c>
      <c r="P214" s="119">
        <f t="shared" ca="1" si="45"/>
        <v>30</v>
      </c>
      <c r="Q214" s="120">
        <v>365</v>
      </c>
      <c r="AA214" s="96">
        <f t="shared" si="39"/>
        <v>176</v>
      </c>
      <c r="AB214" s="97">
        <f t="shared" si="40"/>
        <v>16146.839802453025</v>
      </c>
      <c r="AC214" s="97">
        <f t="shared" si="41"/>
        <v>2268.5508558678202</v>
      </c>
      <c r="AE214" s="96">
        <f t="shared" si="42"/>
        <v>176</v>
      </c>
      <c r="AF214" s="97">
        <f>IFERROR(VLOOKUP(AE214,[1]Cálculos_PRICE!$A$32:$K$212,10,0),"")</f>
        <v>16146.839802453025</v>
      </c>
      <c r="AG214" s="97">
        <f>IFERROR(VLOOKUP(AE214,'Cálculos_CGI - SAC FIXA'!A212:K604,10,0),"")</f>
        <v>2268.5508558678202</v>
      </c>
      <c r="AH214" s="97">
        <f>IFERROR(VLOOKUP(AE214,[1]Cálculos_PRICE!$A$32:$K$212,6,0),"")</f>
        <v>14948.89958085431</v>
      </c>
      <c r="AI214" s="97">
        <f>IFERROR(VLOOKUP(AE214,'Cálculos_CGI - SAC FIXA'!A212:K604,6,0),"")</f>
        <v>555.55555555555554</v>
      </c>
      <c r="AJ214" s="97">
        <f>IFERROR(VLOOKUP(AE214,[1]Cálculos_PRICE!$A$32:$K$240,11,0),"")</f>
        <v>62071.821304072873</v>
      </c>
      <c r="AK214" s="97">
        <f>IFERROR(VLOOKUP(AE214,'Cálculos_CGI - SAC FIXA'!A212:K604,11,0),"")</f>
        <v>102222.22222222108</v>
      </c>
      <c r="AN214" s="157">
        <f t="shared" si="38"/>
        <v>43538.983333334472</v>
      </c>
      <c r="AO214" s="147" t="s">
        <v>295</v>
      </c>
      <c r="AP214" s="147" t="s">
        <v>119</v>
      </c>
      <c r="AQ214" s="148">
        <v>49433</v>
      </c>
      <c r="AR214" s="149">
        <v>146694.26999999999</v>
      </c>
      <c r="AS214" s="149">
        <v>1488.62</v>
      </c>
      <c r="AT214" s="150">
        <v>0</v>
      </c>
      <c r="AU214" s="149">
        <v>1892.36</v>
      </c>
      <c r="AV214" s="150">
        <v>53.74</v>
      </c>
      <c r="AW214" s="149">
        <v>3434.72</v>
      </c>
      <c r="AX214" s="151"/>
    </row>
    <row r="215" spans="1:50" ht="15.5" x14ac:dyDescent="0.35">
      <c r="A215" s="98">
        <f t="shared" si="54"/>
        <v>172</v>
      </c>
      <c r="B215" s="99">
        <f t="shared" ca="1" si="46"/>
        <v>51292</v>
      </c>
      <c r="C215" s="100">
        <f t="shared" si="43"/>
        <v>104999.99999999889</v>
      </c>
      <c r="D215" s="100">
        <f t="shared" si="47"/>
        <v>1144.4999999999879</v>
      </c>
      <c r="E215" s="100">
        <f t="shared" si="48"/>
        <v>106144.49999999888</v>
      </c>
      <c r="F215" s="100">
        <f t="shared" si="49"/>
        <v>555.55555555555554</v>
      </c>
      <c r="G215" s="100">
        <f t="shared" si="50"/>
        <v>2224.9119669789316</v>
      </c>
      <c r="H215" s="100">
        <f t="shared" si="51"/>
        <v>24.149999999999746</v>
      </c>
      <c r="I215" s="100">
        <f t="shared" si="44"/>
        <v>20</v>
      </c>
      <c r="J215" s="100">
        <f t="shared" si="52"/>
        <v>2269.0619669789312</v>
      </c>
      <c r="K215" s="101">
        <f t="shared" si="53"/>
        <v>104444.44444444333</v>
      </c>
      <c r="O215" s="118">
        <f t="shared" si="55"/>
        <v>16.666666666666664</v>
      </c>
      <c r="P215" s="119">
        <f t="shared" ca="1" si="45"/>
        <v>31</v>
      </c>
      <c r="Q215" s="120">
        <v>365</v>
      </c>
      <c r="AA215" s="96">
        <f t="shared" si="39"/>
        <v>177</v>
      </c>
      <c r="AB215" s="97">
        <f t="shared" si="40"/>
        <v>16143.515167186242</v>
      </c>
      <c r="AC215" s="97">
        <f t="shared" si="41"/>
        <v>2268.4230780900425</v>
      </c>
      <c r="AE215" s="96">
        <f t="shared" si="42"/>
        <v>177</v>
      </c>
      <c r="AF215" s="97">
        <f>IFERROR(VLOOKUP(AE215,[1]Cálculos_PRICE!$A$32:$K$212,10,0),"")</f>
        <v>16143.515167186242</v>
      </c>
      <c r="AG215" s="97">
        <f>IFERROR(VLOOKUP(AE215,'Cálculos_CGI - SAC FIXA'!A213:K605,10,0),"")</f>
        <v>2268.4230780900425</v>
      </c>
      <c r="AH215" s="97">
        <f>IFERROR(VLOOKUP(AE215,[1]Cálculos_PRICE!$A$32:$K$212,6,0),"")</f>
        <v>15173.133074567124</v>
      </c>
      <c r="AI215" s="97">
        <f>IFERROR(VLOOKUP(AE215,'Cálculos_CGI - SAC FIXA'!A213:K605,6,0),"")</f>
        <v>555.55555555555554</v>
      </c>
      <c r="AJ215" s="97">
        <f>IFERROR(VLOOKUP(AE215,[1]Cálculos_PRICE!$A$32:$K$240,11,0),"")</f>
        <v>46898.688229505751</v>
      </c>
      <c r="AK215" s="97">
        <f>IFERROR(VLOOKUP(AE215,'Cálculos_CGI - SAC FIXA'!A213:K605,11,0),"")</f>
        <v>101666.66666666552</v>
      </c>
      <c r="AN215" s="157">
        <f t="shared" si="38"/>
        <v>42586.708888890047</v>
      </c>
      <c r="AO215" s="152" t="s">
        <v>296</v>
      </c>
      <c r="AP215" s="152" t="s">
        <v>119</v>
      </c>
      <c r="AQ215" s="153">
        <v>49464</v>
      </c>
      <c r="AR215" s="154">
        <v>145205.65</v>
      </c>
      <c r="AS215" s="154">
        <v>1507.83</v>
      </c>
      <c r="AT215" s="155">
        <v>0</v>
      </c>
      <c r="AU215" s="154">
        <v>1873.15</v>
      </c>
      <c r="AV215" s="155">
        <v>53.4</v>
      </c>
      <c r="AW215" s="154">
        <v>3434.38</v>
      </c>
      <c r="AX215" s="156"/>
    </row>
    <row r="216" spans="1:50" ht="15.5" x14ac:dyDescent="0.35">
      <c r="A216" s="98">
        <f t="shared" si="54"/>
        <v>173</v>
      </c>
      <c r="B216" s="99">
        <f t="shared" ca="1" si="46"/>
        <v>51322</v>
      </c>
      <c r="C216" s="100">
        <f t="shared" si="43"/>
        <v>104444.44444444333</v>
      </c>
      <c r="D216" s="100">
        <f t="shared" si="47"/>
        <v>1138.4444444444323</v>
      </c>
      <c r="E216" s="100">
        <f t="shared" si="48"/>
        <v>105582.88888888777</v>
      </c>
      <c r="F216" s="100">
        <f t="shared" si="49"/>
        <v>555.55555555555554</v>
      </c>
      <c r="G216" s="100">
        <f t="shared" si="50"/>
        <v>2224.9119669789316</v>
      </c>
      <c r="H216" s="100">
        <f t="shared" si="51"/>
        <v>24.022222222221966</v>
      </c>
      <c r="I216" s="100">
        <f t="shared" si="44"/>
        <v>20</v>
      </c>
      <c r="J216" s="100">
        <f t="shared" si="52"/>
        <v>2268.9341892011535</v>
      </c>
      <c r="K216" s="101">
        <f t="shared" si="53"/>
        <v>103888.88888888777</v>
      </c>
      <c r="O216" s="118">
        <f t="shared" si="55"/>
        <v>16.666666666666664</v>
      </c>
      <c r="P216" s="119">
        <f t="shared" ca="1" si="45"/>
        <v>30</v>
      </c>
      <c r="Q216" s="120">
        <v>365</v>
      </c>
      <c r="AA216" s="96">
        <f t="shared" si="39"/>
        <v>178</v>
      </c>
      <c r="AB216" s="97">
        <f t="shared" si="40"/>
        <v>16140.140662390459</v>
      </c>
      <c r="AC216" s="97">
        <f t="shared" si="41"/>
        <v>2268.2953003122648</v>
      </c>
      <c r="AE216" s="96">
        <f t="shared" si="42"/>
        <v>178</v>
      </c>
      <c r="AF216" s="97">
        <f>IFERROR(VLOOKUP(AE216,[1]Cálculos_PRICE!$A$32:$K$212,10,0),"")</f>
        <v>16140.140662390459</v>
      </c>
      <c r="AG216" s="97">
        <f>IFERROR(VLOOKUP(AE216,'Cálculos_CGI - SAC FIXA'!A214:K606,10,0),"")</f>
        <v>2268.2953003122648</v>
      </c>
      <c r="AH216" s="97">
        <f>IFERROR(VLOOKUP(AE216,[1]Cálculos_PRICE!$A$32:$K$212,6,0),"")</f>
        <v>15400.730070685629</v>
      </c>
      <c r="AI216" s="97">
        <f>IFERROR(VLOOKUP(AE216,'Cálculos_CGI - SAC FIXA'!A214:K606,6,0),"")</f>
        <v>555.55555555555554</v>
      </c>
      <c r="AJ216" s="97">
        <f>IFERROR(VLOOKUP(AE216,[1]Cálculos_PRICE!$A$32:$K$240,11,0),"")</f>
        <v>31497.958158820122</v>
      </c>
      <c r="AK216" s="97">
        <f>IFERROR(VLOOKUP(AE216,'Cálculos_CGI - SAC FIXA'!A214:K606,11,0),"")</f>
        <v>101111.11111110996</v>
      </c>
      <c r="AN216" s="157">
        <f t="shared" si="38"/>
        <v>41614.98444444561</v>
      </c>
      <c r="AO216" s="147" t="s">
        <v>297</v>
      </c>
      <c r="AP216" s="147" t="s">
        <v>119</v>
      </c>
      <c r="AQ216" s="148">
        <v>49494</v>
      </c>
      <c r="AR216" s="149">
        <v>143697.82</v>
      </c>
      <c r="AS216" s="149">
        <v>1527.28</v>
      </c>
      <c r="AT216" s="150">
        <v>0</v>
      </c>
      <c r="AU216" s="149">
        <v>1853.7</v>
      </c>
      <c r="AV216" s="150">
        <v>53.05</v>
      </c>
      <c r="AW216" s="149">
        <v>3434.03</v>
      </c>
      <c r="AX216" s="151"/>
    </row>
    <row r="217" spans="1:50" ht="15.5" x14ac:dyDescent="0.35">
      <c r="A217" s="98">
        <f t="shared" si="54"/>
        <v>174</v>
      </c>
      <c r="B217" s="99">
        <f t="shared" ca="1" si="46"/>
        <v>51353</v>
      </c>
      <c r="C217" s="100">
        <f t="shared" si="43"/>
        <v>103888.88888888777</v>
      </c>
      <c r="D217" s="100">
        <f t="shared" si="47"/>
        <v>1132.3888888888766</v>
      </c>
      <c r="E217" s="100">
        <f t="shared" si="48"/>
        <v>105021.27777777665</v>
      </c>
      <c r="F217" s="100">
        <f t="shared" si="49"/>
        <v>555.55555555555554</v>
      </c>
      <c r="G217" s="100">
        <f t="shared" si="50"/>
        <v>2224.9119669789316</v>
      </c>
      <c r="H217" s="100">
        <f t="shared" si="51"/>
        <v>23.894444444444186</v>
      </c>
      <c r="I217" s="100">
        <f t="shared" si="44"/>
        <v>20</v>
      </c>
      <c r="J217" s="100">
        <f t="shared" si="52"/>
        <v>2268.8064114233757</v>
      </c>
      <c r="K217" s="101">
        <f t="shared" si="53"/>
        <v>103333.33333333221</v>
      </c>
      <c r="O217" s="118">
        <f t="shared" si="55"/>
        <v>16.666666666666664</v>
      </c>
      <c r="P217" s="119">
        <f t="shared" ca="1" si="45"/>
        <v>31</v>
      </c>
      <c r="Q217" s="120">
        <v>365</v>
      </c>
      <c r="AA217" s="96">
        <f t="shared" si="39"/>
        <v>179</v>
      </c>
      <c r="AB217" s="97">
        <f t="shared" si="40"/>
        <v>16136.715540022738</v>
      </c>
      <c r="AC217" s="97">
        <f t="shared" si="41"/>
        <v>2268.167522534487</v>
      </c>
      <c r="AE217" s="96">
        <f t="shared" si="42"/>
        <v>179</v>
      </c>
      <c r="AF217" s="97">
        <f>IFERROR(VLOOKUP(AE217,[1]Cálculos_PRICE!$A$32:$K$212,10,0),"")</f>
        <v>16136.715540022738</v>
      </c>
      <c r="AG217" s="97">
        <f>IFERROR(VLOOKUP(AE217,'Cálculos_CGI - SAC FIXA'!A215:K607,10,0),"")</f>
        <v>2268.167522534487</v>
      </c>
      <c r="AH217" s="97">
        <f>IFERROR(VLOOKUP(AE217,[1]Cálculos_PRICE!$A$32:$K$212,6,0),"")</f>
        <v>15631.741021745915</v>
      </c>
      <c r="AI217" s="97">
        <f>IFERROR(VLOOKUP(AE217,'Cálculos_CGI - SAC FIXA'!A215:K607,6,0),"")</f>
        <v>555.55555555555554</v>
      </c>
      <c r="AJ217" s="97">
        <f>IFERROR(VLOOKUP(AE217,[1]Cálculos_PRICE!$A$32:$K$240,11,0),"")</f>
        <v>15866.217137074207</v>
      </c>
      <c r="AK217" s="97">
        <f>IFERROR(VLOOKUP(AE217,'Cálculos_CGI - SAC FIXA'!A215:K607,11,0),"")</f>
        <v>100555.5555555544</v>
      </c>
      <c r="AN217" s="157">
        <f t="shared" si="38"/>
        <v>40623.560000001162</v>
      </c>
      <c r="AO217" s="152" t="s">
        <v>298</v>
      </c>
      <c r="AP217" s="152" t="s">
        <v>119</v>
      </c>
      <c r="AQ217" s="153">
        <v>49525</v>
      </c>
      <c r="AR217" s="154">
        <v>142170.54</v>
      </c>
      <c r="AS217" s="154">
        <v>1546.98</v>
      </c>
      <c r="AT217" s="155">
        <v>0</v>
      </c>
      <c r="AU217" s="154">
        <v>1834</v>
      </c>
      <c r="AV217" s="155">
        <v>52.7</v>
      </c>
      <c r="AW217" s="154">
        <v>3433.68</v>
      </c>
      <c r="AX217" s="156"/>
    </row>
    <row r="218" spans="1:50" ht="15.5" x14ac:dyDescent="0.35">
      <c r="A218" s="98">
        <f t="shared" si="54"/>
        <v>175</v>
      </c>
      <c r="B218" s="99">
        <f t="shared" ca="1" si="46"/>
        <v>51384</v>
      </c>
      <c r="C218" s="100">
        <f t="shared" si="43"/>
        <v>103333.33333333221</v>
      </c>
      <c r="D218" s="100">
        <f t="shared" si="47"/>
        <v>1126.333333333321</v>
      </c>
      <c r="E218" s="100">
        <f t="shared" si="48"/>
        <v>104459.66666666552</v>
      </c>
      <c r="F218" s="100">
        <f t="shared" si="49"/>
        <v>555.55555555555554</v>
      </c>
      <c r="G218" s="100">
        <f t="shared" si="50"/>
        <v>2224.9119669789316</v>
      </c>
      <c r="H218" s="100">
        <f t="shared" si="51"/>
        <v>23.76666666666641</v>
      </c>
      <c r="I218" s="100">
        <f t="shared" si="44"/>
        <v>20</v>
      </c>
      <c r="J218" s="100">
        <f t="shared" si="52"/>
        <v>2268.678633645598</v>
      </c>
      <c r="K218" s="101">
        <f t="shared" si="53"/>
        <v>102777.77777777665</v>
      </c>
      <c r="O218" s="118">
        <f t="shared" si="55"/>
        <v>16.666666666666664</v>
      </c>
      <c r="P218" s="119">
        <f t="shared" ca="1" si="45"/>
        <v>31</v>
      </c>
      <c r="Q218" s="120">
        <v>365</v>
      </c>
      <c r="AA218" s="96">
        <f t="shared" si="39"/>
        <v>180</v>
      </c>
      <c r="AB218" s="97">
        <f t="shared" si="40"/>
        <v>16133.239040819502</v>
      </c>
      <c r="AC218" s="97">
        <f t="shared" si="41"/>
        <v>2268.0397447567093</v>
      </c>
      <c r="AE218" s="96">
        <f t="shared" si="42"/>
        <v>180</v>
      </c>
      <c r="AF218" s="97">
        <f>IFERROR(VLOOKUP(AE218,[1]Cálculos_PRICE!$A$32:$K$212,10,0),"")</f>
        <v>16133.239040819502</v>
      </c>
      <c r="AG218" s="97">
        <f>IFERROR(VLOOKUP(AE218,'Cálculos_CGI - SAC FIXA'!A216:K608,10,0),"")</f>
        <v>2268.0397447567093</v>
      </c>
      <c r="AH218" s="97">
        <f>IFERROR(VLOOKUP(AE218,[1]Cálculos_PRICE!$A$32:$K$212,6,0),"")</f>
        <v>15866.217137072104</v>
      </c>
      <c r="AI218" s="97">
        <f>IFERROR(VLOOKUP(AE218,'Cálculos_CGI - SAC FIXA'!A216:K608,6,0),"")</f>
        <v>555.55555555555554</v>
      </c>
      <c r="AJ218" s="97">
        <f>IFERROR(VLOOKUP(AE218,[1]Cálculos_PRICE!$A$32:$K$240,11,0),"")</f>
        <v>2.1027517504990101E-9</v>
      </c>
      <c r="AK218" s="97">
        <f>IFERROR(VLOOKUP(AE218,'Cálculos_CGI - SAC FIXA'!A216:K608,11,0),"")</f>
        <v>99999.999999998836</v>
      </c>
      <c r="AN218" s="157">
        <f t="shared" si="38"/>
        <v>39612.175555556722</v>
      </c>
      <c r="AO218" s="147" t="s">
        <v>299</v>
      </c>
      <c r="AP218" s="147" t="s">
        <v>119</v>
      </c>
      <c r="AQ218" s="148">
        <v>49556</v>
      </c>
      <c r="AR218" s="149">
        <v>140623.56</v>
      </c>
      <c r="AS218" s="149">
        <v>1566.94</v>
      </c>
      <c r="AT218" s="150">
        <v>0</v>
      </c>
      <c r="AU218" s="149">
        <v>1814.04</v>
      </c>
      <c r="AV218" s="150">
        <v>52.34</v>
      </c>
      <c r="AW218" s="149">
        <v>3433.32</v>
      </c>
      <c r="AX218" s="151"/>
    </row>
    <row r="219" spans="1:50" ht="15.5" x14ac:dyDescent="0.35">
      <c r="A219" s="98">
        <f t="shared" si="54"/>
        <v>176</v>
      </c>
      <c r="B219" s="99">
        <f t="shared" ca="1" si="46"/>
        <v>51414</v>
      </c>
      <c r="C219" s="100">
        <f t="shared" si="43"/>
        <v>102777.77777777665</v>
      </c>
      <c r="D219" s="100">
        <f t="shared" si="47"/>
        <v>1120.2777777777656</v>
      </c>
      <c r="E219" s="100">
        <f t="shared" si="48"/>
        <v>103898.05555555441</v>
      </c>
      <c r="F219" s="100">
        <f t="shared" si="49"/>
        <v>555.55555555555554</v>
      </c>
      <c r="G219" s="100">
        <f t="shared" si="50"/>
        <v>2224.9119669789316</v>
      </c>
      <c r="H219" s="100">
        <f t="shared" si="51"/>
        <v>23.63888888888863</v>
      </c>
      <c r="I219" s="100">
        <f t="shared" si="44"/>
        <v>20</v>
      </c>
      <c r="J219" s="100">
        <f t="shared" si="52"/>
        <v>2268.5508558678202</v>
      </c>
      <c r="K219" s="101">
        <f t="shared" si="53"/>
        <v>102222.22222222108</v>
      </c>
      <c r="O219" s="118">
        <f t="shared" si="55"/>
        <v>16.666666666666664</v>
      </c>
      <c r="P219" s="119">
        <f t="shared" ca="1" si="45"/>
        <v>30</v>
      </c>
      <c r="Q219" s="120">
        <v>365</v>
      </c>
      <c r="AA219" s="96">
        <f t="shared" si="39"/>
        <v>181</v>
      </c>
      <c r="AB219" s="97" t="e">
        <f t="shared" si="40"/>
        <v>#N/A</v>
      </c>
      <c r="AC219" s="97">
        <f t="shared" si="41"/>
        <v>2267.9119669789311</v>
      </c>
      <c r="AE219" s="96">
        <f t="shared" si="42"/>
        <v>181</v>
      </c>
      <c r="AF219" s="97" t="str">
        <f>IFERROR(VLOOKUP(AE219,[1]Cálculos_PRICE!$A$32:$K$212,10,0),"")</f>
        <v/>
      </c>
      <c r="AG219" s="97">
        <f>IFERROR(VLOOKUP(AE219,'Cálculos_CGI - SAC FIXA'!A217:K609,10,0),"")</f>
        <v>2267.9119669789311</v>
      </c>
      <c r="AH219" s="97" t="str">
        <f>IFERROR(VLOOKUP(AE219,[1]Cálculos_PRICE!$A$32:$K$212,6,0),"")</f>
        <v/>
      </c>
      <c r="AI219" s="97">
        <f>IFERROR(VLOOKUP(AE219,'Cálculos_CGI - SAC FIXA'!A217:K609,6,0),"")</f>
        <v>555.55555555555554</v>
      </c>
      <c r="AJ219" s="97" t="str">
        <f>IFERROR(VLOOKUP(AE219,[1]Cálculos_PRICE!$A$32:$K$240,11,0),"")</f>
        <v/>
      </c>
      <c r="AK219" s="97">
        <f>IFERROR(VLOOKUP(AE219,'Cálculos_CGI - SAC FIXA'!A217:K609,11,0),"")</f>
        <v>99444.444444443274</v>
      </c>
      <c r="AN219" s="157">
        <f t="shared" si="38"/>
        <v>38580.581111112289</v>
      </c>
      <c r="AO219" s="152" t="s">
        <v>300</v>
      </c>
      <c r="AP219" s="152" t="s">
        <v>119</v>
      </c>
      <c r="AQ219" s="153">
        <v>49586</v>
      </c>
      <c r="AR219" s="154">
        <v>139056.62</v>
      </c>
      <c r="AS219" s="154">
        <v>1587.15</v>
      </c>
      <c r="AT219" s="155">
        <v>0</v>
      </c>
      <c r="AU219" s="154">
        <v>1793.83</v>
      </c>
      <c r="AV219" s="155">
        <v>51.98</v>
      </c>
      <c r="AW219" s="154">
        <v>3432.96</v>
      </c>
      <c r="AX219" s="156"/>
    </row>
    <row r="220" spans="1:50" ht="15.5" x14ac:dyDescent="0.35">
      <c r="A220" s="98">
        <f t="shared" si="54"/>
        <v>177</v>
      </c>
      <c r="B220" s="99">
        <f t="shared" ca="1" si="46"/>
        <v>51445</v>
      </c>
      <c r="C220" s="100">
        <f t="shared" si="43"/>
        <v>102222.22222222108</v>
      </c>
      <c r="D220" s="100">
        <f t="shared" si="47"/>
        <v>1114.2222222222099</v>
      </c>
      <c r="E220" s="100">
        <f t="shared" si="48"/>
        <v>103336.44444444329</v>
      </c>
      <c r="F220" s="100">
        <f t="shared" si="49"/>
        <v>555.55555555555554</v>
      </c>
      <c r="G220" s="100">
        <f t="shared" si="50"/>
        <v>2224.9119669789316</v>
      </c>
      <c r="H220" s="100">
        <f t="shared" si="51"/>
        <v>23.51111111111085</v>
      </c>
      <c r="I220" s="100">
        <f t="shared" si="44"/>
        <v>20</v>
      </c>
      <c r="J220" s="100">
        <f t="shared" si="52"/>
        <v>2268.4230780900425</v>
      </c>
      <c r="K220" s="101">
        <f t="shared" si="53"/>
        <v>101666.66666666552</v>
      </c>
      <c r="O220" s="118">
        <f t="shared" si="55"/>
        <v>16.666666666666664</v>
      </c>
      <c r="P220" s="119">
        <f t="shared" ca="1" si="45"/>
        <v>31</v>
      </c>
      <c r="Q220" s="120">
        <v>365</v>
      </c>
      <c r="AA220" s="96">
        <f t="shared" si="39"/>
        <v>182</v>
      </c>
      <c r="AB220" s="97" t="e">
        <f t="shared" si="40"/>
        <v>#N/A</v>
      </c>
      <c r="AC220" s="97">
        <f t="shared" si="41"/>
        <v>2267.7841892011534</v>
      </c>
      <c r="AE220" s="96">
        <f t="shared" si="42"/>
        <v>182</v>
      </c>
      <c r="AF220" s="97" t="str">
        <f>IFERROR(VLOOKUP(AE220,[1]Cálculos_PRICE!$A$32:$K$212,10,0),"")</f>
        <v/>
      </c>
      <c r="AG220" s="97">
        <f>IFERROR(VLOOKUP(AE220,'Cálculos_CGI - SAC FIXA'!A218:K610,10,0),"")</f>
        <v>2267.7841892011534</v>
      </c>
      <c r="AH220" s="97" t="str">
        <f>IFERROR(VLOOKUP(AE220,[1]Cálculos_PRICE!$A$32:$K$212,6,0),"")</f>
        <v/>
      </c>
      <c r="AI220" s="97">
        <f>IFERROR(VLOOKUP(AE220,'Cálculos_CGI - SAC FIXA'!A218:K610,6,0),"")</f>
        <v>555.55555555555554</v>
      </c>
      <c r="AJ220" s="97" t="str">
        <f>IFERROR(VLOOKUP(AE220,[1]Cálculos_PRICE!$A$32:$K$240,11,0),"")</f>
        <v/>
      </c>
      <c r="AK220" s="97">
        <f>IFERROR(VLOOKUP(AE220,'Cálculos_CGI - SAC FIXA'!A218:K610,11,0),"")</f>
        <v>98888.888888887712</v>
      </c>
      <c r="AN220" s="157">
        <f t="shared" si="38"/>
        <v>37528.516666667856</v>
      </c>
      <c r="AO220" s="147" t="s">
        <v>301</v>
      </c>
      <c r="AP220" s="147" t="s">
        <v>119</v>
      </c>
      <c r="AQ220" s="148">
        <v>49617</v>
      </c>
      <c r="AR220" s="149">
        <v>137469.47</v>
      </c>
      <c r="AS220" s="149">
        <v>1607.62</v>
      </c>
      <c r="AT220" s="150">
        <v>0</v>
      </c>
      <c r="AU220" s="149">
        <v>1773.36</v>
      </c>
      <c r="AV220" s="150">
        <v>51.62</v>
      </c>
      <c r="AW220" s="149">
        <v>3432.6</v>
      </c>
      <c r="AX220" s="151"/>
    </row>
    <row r="221" spans="1:50" ht="15.5" x14ac:dyDescent="0.35">
      <c r="A221" s="98">
        <f t="shared" si="54"/>
        <v>178</v>
      </c>
      <c r="B221" s="99">
        <f t="shared" ca="1" si="46"/>
        <v>51475</v>
      </c>
      <c r="C221" s="100">
        <f t="shared" si="43"/>
        <v>101666.66666666552</v>
      </c>
      <c r="D221" s="100">
        <f t="shared" si="47"/>
        <v>1108.1666666666542</v>
      </c>
      <c r="E221" s="100">
        <f t="shared" si="48"/>
        <v>102774.83333333218</v>
      </c>
      <c r="F221" s="100">
        <f t="shared" si="49"/>
        <v>555.55555555555554</v>
      </c>
      <c r="G221" s="100">
        <f t="shared" si="50"/>
        <v>2224.9119669789316</v>
      </c>
      <c r="H221" s="100">
        <f t="shared" si="51"/>
        <v>23.38333333333307</v>
      </c>
      <c r="I221" s="100">
        <f t="shared" si="44"/>
        <v>20</v>
      </c>
      <c r="J221" s="100">
        <f t="shared" si="52"/>
        <v>2268.2953003122648</v>
      </c>
      <c r="K221" s="101">
        <f t="shared" si="53"/>
        <v>101111.11111110996</v>
      </c>
      <c r="O221" s="118">
        <f t="shared" si="55"/>
        <v>16.666666666666664</v>
      </c>
      <c r="P221" s="119">
        <f t="shared" ca="1" si="45"/>
        <v>30</v>
      </c>
      <c r="Q221" s="120">
        <v>365</v>
      </c>
      <c r="AA221" s="96">
        <f t="shared" si="39"/>
        <v>183</v>
      </c>
      <c r="AB221" s="97" t="e">
        <f t="shared" si="40"/>
        <v>#N/A</v>
      </c>
      <c r="AC221" s="97">
        <f t="shared" si="41"/>
        <v>2267.6564114233756</v>
      </c>
      <c r="AE221" s="96">
        <f t="shared" si="42"/>
        <v>183</v>
      </c>
      <c r="AF221" s="97" t="str">
        <f>IFERROR(VLOOKUP(AE221,[1]Cálculos_PRICE!$A$32:$K$212,10,0),"")</f>
        <v/>
      </c>
      <c r="AG221" s="97">
        <f>IFERROR(VLOOKUP(AE221,'Cálculos_CGI - SAC FIXA'!A219:K611,10,0),"")</f>
        <v>2267.6564114233756</v>
      </c>
      <c r="AH221" s="97" t="str">
        <f>IFERROR(VLOOKUP(AE221,[1]Cálculos_PRICE!$A$32:$K$212,6,0),"")</f>
        <v/>
      </c>
      <c r="AI221" s="97">
        <f>IFERROR(VLOOKUP(AE221,'Cálculos_CGI - SAC FIXA'!A219:K611,6,0),"")</f>
        <v>555.55555555555554</v>
      </c>
      <c r="AJ221" s="97" t="str">
        <f>IFERROR(VLOOKUP(AE221,[1]Cálculos_PRICE!$A$32:$K$240,11,0),"")</f>
        <v/>
      </c>
      <c r="AK221" s="97">
        <f>IFERROR(VLOOKUP(AE221,'Cálculos_CGI - SAC FIXA'!A219:K611,11,0),"")</f>
        <v>98333.33333333215</v>
      </c>
      <c r="AN221" s="157">
        <f t="shared" si="38"/>
        <v>36455.712222223403</v>
      </c>
      <c r="AO221" s="152" t="s">
        <v>302</v>
      </c>
      <c r="AP221" s="152" t="s">
        <v>119</v>
      </c>
      <c r="AQ221" s="153">
        <v>49647</v>
      </c>
      <c r="AR221" s="154">
        <v>135861.85</v>
      </c>
      <c r="AS221" s="154">
        <v>1628.36</v>
      </c>
      <c r="AT221" s="155">
        <v>0</v>
      </c>
      <c r="AU221" s="154">
        <v>1752.62</v>
      </c>
      <c r="AV221" s="155">
        <v>51.25</v>
      </c>
      <c r="AW221" s="154">
        <v>3432.23</v>
      </c>
      <c r="AX221" s="156"/>
    </row>
    <row r="222" spans="1:50" ht="15.5" x14ac:dyDescent="0.35">
      <c r="A222" s="98">
        <f t="shared" si="54"/>
        <v>179</v>
      </c>
      <c r="B222" s="99">
        <f t="shared" ca="1" si="46"/>
        <v>51506</v>
      </c>
      <c r="C222" s="100">
        <f t="shared" si="43"/>
        <v>101111.11111110996</v>
      </c>
      <c r="D222" s="100">
        <f t="shared" si="47"/>
        <v>1102.1111111110986</v>
      </c>
      <c r="E222" s="100">
        <f t="shared" si="48"/>
        <v>102213.22222222105</v>
      </c>
      <c r="F222" s="100">
        <f t="shared" si="49"/>
        <v>555.55555555555554</v>
      </c>
      <c r="G222" s="100">
        <f t="shared" si="50"/>
        <v>2224.9119669789316</v>
      </c>
      <c r="H222" s="100">
        <f t="shared" si="51"/>
        <v>23.25555555555529</v>
      </c>
      <c r="I222" s="100">
        <f t="shared" si="44"/>
        <v>20</v>
      </c>
      <c r="J222" s="100">
        <f t="shared" si="52"/>
        <v>2268.167522534487</v>
      </c>
      <c r="K222" s="101">
        <f t="shared" si="53"/>
        <v>100555.5555555544</v>
      </c>
      <c r="O222" s="118">
        <f t="shared" si="55"/>
        <v>16.666666666666664</v>
      </c>
      <c r="P222" s="119">
        <f t="shared" ca="1" si="45"/>
        <v>31</v>
      </c>
      <c r="Q222" s="120">
        <v>365</v>
      </c>
      <c r="AA222" s="96">
        <f t="shared" si="39"/>
        <v>184</v>
      </c>
      <c r="AB222" s="97" t="e">
        <f t="shared" si="40"/>
        <v>#N/A</v>
      </c>
      <c r="AC222" s="97">
        <f t="shared" si="41"/>
        <v>2267.5286336455979</v>
      </c>
      <c r="AE222" s="96">
        <f t="shared" si="42"/>
        <v>184</v>
      </c>
      <c r="AF222" s="97" t="str">
        <f>IFERROR(VLOOKUP(AE222,[1]Cálculos_PRICE!$A$32:$K$212,10,0),"")</f>
        <v/>
      </c>
      <c r="AG222" s="97">
        <f>IFERROR(VLOOKUP(AE222,'Cálculos_CGI - SAC FIXA'!A220:K612,10,0),"")</f>
        <v>2267.5286336455979</v>
      </c>
      <c r="AH222" s="97" t="str">
        <f>IFERROR(VLOOKUP(AE222,[1]Cálculos_PRICE!$A$32:$K$212,6,0),"")</f>
        <v/>
      </c>
      <c r="AI222" s="97">
        <f>IFERROR(VLOOKUP(AE222,'Cálculos_CGI - SAC FIXA'!A220:K612,6,0),"")</f>
        <v>555.55555555555554</v>
      </c>
      <c r="AJ222" s="97" t="str">
        <f>IFERROR(VLOOKUP(AE222,[1]Cálculos_PRICE!$A$32:$K$240,11,0),"")</f>
        <v/>
      </c>
      <c r="AK222" s="97">
        <f>IFERROR(VLOOKUP(AE222,'Cálculos_CGI - SAC FIXA'!A220:K612,11,0),"")</f>
        <v>97777.777777776588</v>
      </c>
      <c r="AN222" s="157">
        <f t="shared" si="38"/>
        <v>35361.89777777897</v>
      </c>
      <c r="AO222" s="147" t="s">
        <v>303</v>
      </c>
      <c r="AP222" s="147" t="s">
        <v>119</v>
      </c>
      <c r="AQ222" s="148">
        <v>49678</v>
      </c>
      <c r="AR222" s="149">
        <v>134233.49</v>
      </c>
      <c r="AS222" s="149">
        <v>1649.37</v>
      </c>
      <c r="AT222" s="150">
        <v>0</v>
      </c>
      <c r="AU222" s="149">
        <v>1731.61</v>
      </c>
      <c r="AV222" s="150">
        <v>50.87</v>
      </c>
      <c r="AW222" s="149">
        <v>3431.85</v>
      </c>
      <c r="AX222" s="151"/>
    </row>
    <row r="223" spans="1:50" ht="15.5" x14ac:dyDescent="0.35">
      <c r="A223" s="98">
        <f t="shared" si="54"/>
        <v>180</v>
      </c>
      <c r="B223" s="99">
        <f t="shared" ca="1" si="46"/>
        <v>51537</v>
      </c>
      <c r="C223" s="100">
        <f t="shared" si="43"/>
        <v>100555.5555555544</v>
      </c>
      <c r="D223" s="100">
        <f t="shared" si="47"/>
        <v>1096.0555555555429</v>
      </c>
      <c r="E223" s="100">
        <f t="shared" si="48"/>
        <v>101651.61111110995</v>
      </c>
      <c r="F223" s="100">
        <f t="shared" si="49"/>
        <v>555.55555555555554</v>
      </c>
      <c r="G223" s="100">
        <f t="shared" si="50"/>
        <v>2224.9119669789316</v>
      </c>
      <c r="H223" s="100">
        <f t="shared" si="51"/>
        <v>23.127777777777514</v>
      </c>
      <c r="I223" s="100">
        <f t="shared" si="44"/>
        <v>20</v>
      </c>
      <c r="J223" s="100">
        <f t="shared" si="52"/>
        <v>2268.0397447567093</v>
      </c>
      <c r="K223" s="101">
        <f t="shared" si="53"/>
        <v>99999.999999998836</v>
      </c>
      <c r="O223" s="118">
        <f t="shared" si="55"/>
        <v>16.666666666666664</v>
      </c>
      <c r="P223" s="119">
        <f t="shared" ca="1" si="45"/>
        <v>31</v>
      </c>
      <c r="Q223" s="120">
        <v>365</v>
      </c>
      <c r="AA223" s="96">
        <f t="shared" si="39"/>
        <v>185</v>
      </c>
      <c r="AB223" s="97" t="e">
        <f t="shared" si="40"/>
        <v>#N/A</v>
      </c>
      <c r="AC223" s="97">
        <f t="shared" si="41"/>
        <v>2267.4008558678202</v>
      </c>
      <c r="AE223" s="96">
        <f t="shared" si="42"/>
        <v>185</v>
      </c>
      <c r="AF223" s="97" t="str">
        <f>IFERROR(VLOOKUP(AE223,[1]Cálculos_PRICE!$A$32:$K$212,10,0),"")</f>
        <v/>
      </c>
      <c r="AG223" s="97">
        <f>IFERROR(VLOOKUP(AE223,'Cálculos_CGI - SAC FIXA'!A221:K613,10,0),"")</f>
        <v>2267.4008558678202</v>
      </c>
      <c r="AH223" s="97" t="str">
        <f>IFERROR(VLOOKUP(AE223,[1]Cálculos_PRICE!$A$32:$K$212,6,0),"")</f>
        <v/>
      </c>
      <c r="AI223" s="97">
        <f>IFERROR(VLOOKUP(AE223,'Cálculos_CGI - SAC FIXA'!A221:K613,6,0),"")</f>
        <v>555.55555555555554</v>
      </c>
      <c r="AJ223" s="97" t="str">
        <f>IFERROR(VLOOKUP(AE223,[1]Cálculos_PRICE!$A$32:$K$240,11,0),"")</f>
        <v/>
      </c>
      <c r="AK223" s="97">
        <f>IFERROR(VLOOKUP(AE223,'Cálculos_CGI - SAC FIXA'!A221:K613,11,0),"")</f>
        <v>97222.222222221026</v>
      </c>
      <c r="AN223" s="157">
        <f t="shared" si="38"/>
        <v>34246.813333334532</v>
      </c>
      <c r="AO223" s="152" t="s">
        <v>304</v>
      </c>
      <c r="AP223" s="152" t="s">
        <v>119</v>
      </c>
      <c r="AQ223" s="153">
        <v>49709</v>
      </c>
      <c r="AR223" s="154">
        <v>132584.12</v>
      </c>
      <c r="AS223" s="154">
        <v>1670.64</v>
      </c>
      <c r="AT223" s="155">
        <v>0</v>
      </c>
      <c r="AU223" s="154">
        <v>1710.34</v>
      </c>
      <c r="AV223" s="155">
        <v>50.49</v>
      </c>
      <c r="AW223" s="154">
        <v>3431.47</v>
      </c>
      <c r="AX223" s="156"/>
    </row>
    <row r="224" spans="1:50" ht="15.5" x14ac:dyDescent="0.35">
      <c r="A224" s="98">
        <f t="shared" si="54"/>
        <v>181</v>
      </c>
      <c r="B224" s="99">
        <f t="shared" ca="1" si="46"/>
        <v>51565</v>
      </c>
      <c r="C224" s="100">
        <f t="shared" si="43"/>
        <v>99999.999999998836</v>
      </c>
      <c r="D224" s="100">
        <f t="shared" si="47"/>
        <v>1089.9999999999873</v>
      </c>
      <c r="E224" s="100">
        <f t="shared" si="48"/>
        <v>101089.99999999882</v>
      </c>
      <c r="F224" s="100">
        <f t="shared" si="49"/>
        <v>555.55555555555554</v>
      </c>
      <c r="G224" s="100">
        <f t="shared" si="50"/>
        <v>2224.9119669789316</v>
      </c>
      <c r="H224" s="100">
        <f t="shared" si="51"/>
        <v>22.999999999999734</v>
      </c>
      <c r="I224" s="100">
        <f t="shared" si="44"/>
        <v>20</v>
      </c>
      <c r="J224" s="100">
        <f t="shared" si="52"/>
        <v>2267.9119669789311</v>
      </c>
      <c r="K224" s="101">
        <f t="shared" si="53"/>
        <v>99444.444444443274</v>
      </c>
      <c r="O224" s="118">
        <f t="shared" si="55"/>
        <v>16.666666666666664</v>
      </c>
      <c r="P224" s="119">
        <f t="shared" ca="1" si="45"/>
        <v>28</v>
      </c>
      <c r="Q224" s="120">
        <v>365</v>
      </c>
      <c r="AA224" s="96">
        <f t="shared" si="39"/>
        <v>186</v>
      </c>
      <c r="AB224" s="97" t="e">
        <f t="shared" si="40"/>
        <v>#N/A</v>
      </c>
      <c r="AC224" s="97">
        <f t="shared" si="41"/>
        <v>2267.2730780900424</v>
      </c>
      <c r="AE224" s="96">
        <f t="shared" si="42"/>
        <v>186</v>
      </c>
      <c r="AF224" s="97" t="str">
        <f>IFERROR(VLOOKUP(AE224,[1]Cálculos_PRICE!$A$32:$K$212,10,0),"")</f>
        <v/>
      </c>
      <c r="AG224" s="97">
        <f>IFERROR(VLOOKUP(AE224,'Cálculos_CGI - SAC FIXA'!A222:K614,10,0),"")</f>
        <v>2267.2730780900424</v>
      </c>
      <c r="AH224" s="97" t="str">
        <f>IFERROR(VLOOKUP(AE224,[1]Cálculos_PRICE!$A$32:$K$212,6,0),"")</f>
        <v/>
      </c>
      <c r="AI224" s="97">
        <f>IFERROR(VLOOKUP(AE224,'Cálculos_CGI - SAC FIXA'!A222:K614,6,0),"")</f>
        <v>555.55555555555554</v>
      </c>
      <c r="AJ224" s="97" t="str">
        <f>IFERROR(VLOOKUP(AE224,[1]Cálculos_PRICE!$A$32:$K$240,11,0),"")</f>
        <v/>
      </c>
      <c r="AK224" s="97">
        <f>IFERROR(VLOOKUP(AE224,'Cálculos_CGI - SAC FIXA'!A222:K614,11,0),"")</f>
        <v>96666.666666665464</v>
      </c>
      <c r="AN224" s="157">
        <f t="shared" si="38"/>
        <v>33110.168888890097</v>
      </c>
      <c r="AO224" s="147" t="s">
        <v>305</v>
      </c>
      <c r="AP224" s="147" t="s">
        <v>119</v>
      </c>
      <c r="AQ224" s="148">
        <v>49738</v>
      </c>
      <c r="AR224" s="149">
        <v>130913.48</v>
      </c>
      <c r="AS224" s="149">
        <v>1692.2</v>
      </c>
      <c r="AT224" s="150">
        <v>0</v>
      </c>
      <c r="AU224" s="149">
        <v>1688.78</v>
      </c>
      <c r="AV224" s="150">
        <v>50.11</v>
      </c>
      <c r="AW224" s="149">
        <v>3431.09</v>
      </c>
      <c r="AX224" s="151"/>
    </row>
    <row r="225" spans="1:50" ht="15.5" x14ac:dyDescent="0.35">
      <c r="A225" s="98">
        <f t="shared" si="54"/>
        <v>182</v>
      </c>
      <c r="B225" s="99">
        <f t="shared" ca="1" si="46"/>
        <v>51596</v>
      </c>
      <c r="C225" s="100">
        <f t="shared" si="43"/>
        <v>99444.444444443274</v>
      </c>
      <c r="D225" s="100">
        <f t="shared" si="47"/>
        <v>1083.9444444444316</v>
      </c>
      <c r="E225" s="100">
        <f t="shared" si="48"/>
        <v>100528.38888888771</v>
      </c>
      <c r="F225" s="100">
        <f t="shared" si="49"/>
        <v>555.55555555555554</v>
      </c>
      <c r="G225" s="100">
        <f t="shared" si="50"/>
        <v>2224.9119669789316</v>
      </c>
      <c r="H225" s="100">
        <f t="shared" si="51"/>
        <v>22.872222222221954</v>
      </c>
      <c r="I225" s="100">
        <f t="shared" si="44"/>
        <v>20</v>
      </c>
      <c r="J225" s="100">
        <f t="shared" si="52"/>
        <v>2267.7841892011534</v>
      </c>
      <c r="K225" s="101">
        <f t="shared" si="53"/>
        <v>98888.888888887712</v>
      </c>
      <c r="O225" s="118">
        <f t="shared" si="55"/>
        <v>16.666666666666664</v>
      </c>
      <c r="P225" s="119">
        <f t="shared" ca="1" si="45"/>
        <v>31</v>
      </c>
      <c r="Q225" s="120">
        <v>365</v>
      </c>
      <c r="AA225" s="96">
        <f t="shared" si="39"/>
        <v>187</v>
      </c>
      <c r="AB225" s="97" t="e">
        <f t="shared" si="40"/>
        <v>#N/A</v>
      </c>
      <c r="AC225" s="97">
        <f t="shared" si="41"/>
        <v>2267.1453003122647</v>
      </c>
      <c r="AE225" s="96">
        <f t="shared" si="42"/>
        <v>187</v>
      </c>
      <c r="AF225" s="97" t="str">
        <f>IFERROR(VLOOKUP(AE225,[1]Cálculos_PRICE!$A$32:$K$212,10,0),"")</f>
        <v/>
      </c>
      <c r="AG225" s="97">
        <f>IFERROR(VLOOKUP(AE225,'Cálculos_CGI - SAC FIXA'!A223:K615,10,0),"")</f>
        <v>2267.1453003122647</v>
      </c>
      <c r="AH225" s="97" t="str">
        <f>IFERROR(VLOOKUP(AE225,[1]Cálculos_PRICE!$A$32:$K$212,6,0),"")</f>
        <v/>
      </c>
      <c r="AI225" s="97">
        <f>IFERROR(VLOOKUP(AE225,'Cálculos_CGI - SAC FIXA'!A223:K615,6,0),"")</f>
        <v>555.55555555555554</v>
      </c>
      <c r="AJ225" s="97" t="str">
        <f>IFERROR(VLOOKUP(AE225,[1]Cálculos_PRICE!$A$32:$K$240,11,0),"")</f>
        <v/>
      </c>
      <c r="AK225" s="97">
        <f>IFERROR(VLOOKUP(AE225,'Cálculos_CGI - SAC FIXA'!A223:K615,11,0),"")</f>
        <v>96111.111111109902</v>
      </c>
      <c r="AN225" s="157">
        <f t="shared" si="38"/>
        <v>31951.69444444566</v>
      </c>
      <c r="AO225" s="152" t="s">
        <v>306</v>
      </c>
      <c r="AP225" s="152" t="s">
        <v>119</v>
      </c>
      <c r="AQ225" s="153">
        <v>49769</v>
      </c>
      <c r="AR225" s="154">
        <v>129221.28</v>
      </c>
      <c r="AS225" s="154">
        <v>1714.03</v>
      </c>
      <c r="AT225" s="155">
        <v>0</v>
      </c>
      <c r="AU225" s="154">
        <v>1666.95</v>
      </c>
      <c r="AV225" s="155">
        <v>49.72</v>
      </c>
      <c r="AW225" s="154">
        <v>3430.7</v>
      </c>
      <c r="AX225" s="156"/>
    </row>
    <row r="226" spans="1:50" ht="15.5" x14ac:dyDescent="0.35">
      <c r="A226" s="98">
        <f t="shared" si="54"/>
        <v>183</v>
      </c>
      <c r="B226" s="99">
        <f t="shared" ca="1" si="46"/>
        <v>51626</v>
      </c>
      <c r="C226" s="100">
        <f t="shared" si="43"/>
        <v>98888.888888887712</v>
      </c>
      <c r="D226" s="100">
        <f t="shared" si="47"/>
        <v>1077.888888888876</v>
      </c>
      <c r="E226" s="100">
        <f t="shared" si="48"/>
        <v>99966.777777776588</v>
      </c>
      <c r="F226" s="100">
        <f t="shared" si="49"/>
        <v>555.55555555555554</v>
      </c>
      <c r="G226" s="100">
        <f t="shared" si="50"/>
        <v>2224.9119669789316</v>
      </c>
      <c r="H226" s="100">
        <f t="shared" si="51"/>
        <v>22.744444444444174</v>
      </c>
      <c r="I226" s="100">
        <f t="shared" si="44"/>
        <v>20</v>
      </c>
      <c r="J226" s="100">
        <f t="shared" si="52"/>
        <v>2267.6564114233756</v>
      </c>
      <c r="K226" s="101">
        <f t="shared" si="53"/>
        <v>98333.33333333215</v>
      </c>
      <c r="O226" s="118">
        <f t="shared" si="55"/>
        <v>16.666666666666664</v>
      </c>
      <c r="P226" s="119">
        <f t="shared" ca="1" si="45"/>
        <v>30</v>
      </c>
      <c r="Q226" s="120">
        <v>365</v>
      </c>
      <c r="AA226" s="96">
        <f t="shared" si="39"/>
        <v>188</v>
      </c>
      <c r="AB226" s="97" t="e">
        <f t="shared" si="40"/>
        <v>#N/A</v>
      </c>
      <c r="AC226" s="97">
        <f t="shared" si="41"/>
        <v>2267.0175225344869</v>
      </c>
      <c r="AE226" s="96">
        <f t="shared" si="42"/>
        <v>188</v>
      </c>
      <c r="AF226" s="97" t="str">
        <f>IFERROR(VLOOKUP(AE226,[1]Cálculos_PRICE!$A$32:$K$212,10,0),"")</f>
        <v/>
      </c>
      <c r="AG226" s="97">
        <f>IFERROR(VLOOKUP(AE226,'Cálculos_CGI - SAC FIXA'!A224:K616,10,0),"")</f>
        <v>2267.0175225344869</v>
      </c>
      <c r="AH226" s="97" t="str">
        <f>IFERROR(VLOOKUP(AE226,[1]Cálculos_PRICE!$A$32:$K$212,6,0),"")</f>
        <v/>
      </c>
      <c r="AI226" s="97">
        <f>IFERROR(VLOOKUP(AE226,'Cálculos_CGI - SAC FIXA'!A224:K616,6,0),"")</f>
        <v>555.55555555555554</v>
      </c>
      <c r="AJ226" s="97" t="str">
        <f>IFERROR(VLOOKUP(AE226,[1]Cálculos_PRICE!$A$32:$K$240,11,0),"")</f>
        <v/>
      </c>
      <c r="AK226" s="97">
        <f>IFERROR(VLOOKUP(AE226,'Cálculos_CGI - SAC FIXA'!A224:K616,11,0),"")</f>
        <v>95555.55555555434</v>
      </c>
      <c r="AN226" s="157">
        <f t="shared" si="38"/>
        <v>30771.110000001223</v>
      </c>
      <c r="AO226" s="147" t="s">
        <v>307</v>
      </c>
      <c r="AP226" s="147" t="s">
        <v>119</v>
      </c>
      <c r="AQ226" s="148">
        <v>49799</v>
      </c>
      <c r="AR226" s="149">
        <v>127507.25</v>
      </c>
      <c r="AS226" s="149">
        <v>1736.14</v>
      </c>
      <c r="AT226" s="150">
        <v>0</v>
      </c>
      <c r="AU226" s="149">
        <v>1644.84</v>
      </c>
      <c r="AV226" s="150">
        <v>49.33</v>
      </c>
      <c r="AW226" s="149">
        <v>3430.31</v>
      </c>
      <c r="AX226" s="151"/>
    </row>
    <row r="227" spans="1:50" ht="15.5" x14ac:dyDescent="0.35">
      <c r="A227" s="98">
        <f t="shared" si="54"/>
        <v>184</v>
      </c>
      <c r="B227" s="99">
        <f t="shared" ca="1" si="46"/>
        <v>51657</v>
      </c>
      <c r="C227" s="100">
        <f t="shared" si="43"/>
        <v>98333.33333333215</v>
      </c>
      <c r="D227" s="100">
        <f t="shared" si="47"/>
        <v>1071.8333333333205</v>
      </c>
      <c r="E227" s="100">
        <f t="shared" si="48"/>
        <v>99405.166666665464</v>
      </c>
      <c r="F227" s="100">
        <f t="shared" si="49"/>
        <v>555.55555555555554</v>
      </c>
      <c r="G227" s="100">
        <f t="shared" si="50"/>
        <v>2224.9119669789316</v>
      </c>
      <c r="H227" s="100">
        <f t="shared" si="51"/>
        <v>22.616666666666394</v>
      </c>
      <c r="I227" s="100">
        <f t="shared" si="44"/>
        <v>20</v>
      </c>
      <c r="J227" s="100">
        <f t="shared" si="52"/>
        <v>2267.5286336455979</v>
      </c>
      <c r="K227" s="101">
        <f t="shared" si="53"/>
        <v>97777.777777776588</v>
      </c>
      <c r="O227" s="118">
        <f t="shared" si="55"/>
        <v>16.666666666666664</v>
      </c>
      <c r="P227" s="119">
        <f t="shared" ca="1" si="45"/>
        <v>31</v>
      </c>
      <c r="Q227" s="120">
        <v>365</v>
      </c>
      <c r="AA227" s="96">
        <f t="shared" si="39"/>
        <v>189</v>
      </c>
      <c r="AB227" s="97" t="e">
        <f t="shared" si="40"/>
        <v>#N/A</v>
      </c>
      <c r="AC227" s="97">
        <f t="shared" si="41"/>
        <v>2266.8897447567092</v>
      </c>
      <c r="AE227" s="96">
        <f t="shared" si="42"/>
        <v>189</v>
      </c>
      <c r="AF227" s="97" t="str">
        <f>IFERROR(VLOOKUP(AE227,[1]Cálculos_PRICE!$A$32:$K$212,10,0),"")</f>
        <v/>
      </c>
      <c r="AG227" s="97">
        <f>IFERROR(VLOOKUP(AE227,'Cálculos_CGI - SAC FIXA'!A225:K617,10,0),"")</f>
        <v>2266.8897447567092</v>
      </c>
      <c r="AH227" s="97" t="str">
        <f>IFERROR(VLOOKUP(AE227,[1]Cálculos_PRICE!$A$32:$K$212,6,0),"")</f>
        <v/>
      </c>
      <c r="AI227" s="97">
        <f>IFERROR(VLOOKUP(AE227,'Cálculos_CGI - SAC FIXA'!A225:K617,6,0),"")</f>
        <v>555.55555555555554</v>
      </c>
      <c r="AJ227" s="97" t="str">
        <f>IFERROR(VLOOKUP(AE227,[1]Cálculos_PRICE!$A$32:$K$240,11,0),"")</f>
        <v/>
      </c>
      <c r="AK227" s="97">
        <f>IFERROR(VLOOKUP(AE227,'Cálculos_CGI - SAC FIXA'!A225:K617,11,0),"")</f>
        <v>94999.999999998778</v>
      </c>
      <c r="AN227" s="157">
        <f t="shared" si="38"/>
        <v>29568.135555556786</v>
      </c>
      <c r="AO227" s="152" t="s">
        <v>308</v>
      </c>
      <c r="AP227" s="152" t="s">
        <v>119</v>
      </c>
      <c r="AQ227" s="153">
        <v>49830</v>
      </c>
      <c r="AR227" s="154">
        <v>125771.11</v>
      </c>
      <c r="AS227" s="154">
        <v>1758.53</v>
      </c>
      <c r="AT227" s="155">
        <v>0</v>
      </c>
      <c r="AU227" s="154">
        <v>1622.45</v>
      </c>
      <c r="AV227" s="155">
        <v>48.93</v>
      </c>
      <c r="AW227" s="154">
        <v>3429.91</v>
      </c>
      <c r="AX227" s="156"/>
    </row>
    <row r="228" spans="1:50" ht="15.5" x14ac:dyDescent="0.35">
      <c r="A228" s="98">
        <f t="shared" si="54"/>
        <v>185</v>
      </c>
      <c r="B228" s="99">
        <f t="shared" ca="1" si="46"/>
        <v>51687</v>
      </c>
      <c r="C228" s="100">
        <f t="shared" si="43"/>
        <v>97777.777777776588</v>
      </c>
      <c r="D228" s="100">
        <f t="shared" si="47"/>
        <v>1065.7777777777649</v>
      </c>
      <c r="E228" s="100">
        <f t="shared" si="48"/>
        <v>98843.555555554354</v>
      </c>
      <c r="F228" s="100">
        <f t="shared" si="49"/>
        <v>555.55555555555554</v>
      </c>
      <c r="G228" s="100">
        <f t="shared" si="50"/>
        <v>2224.9119669789316</v>
      </c>
      <c r="H228" s="100">
        <f t="shared" si="51"/>
        <v>22.488888888888617</v>
      </c>
      <c r="I228" s="100">
        <f t="shared" si="44"/>
        <v>20</v>
      </c>
      <c r="J228" s="100">
        <f t="shared" si="52"/>
        <v>2267.4008558678202</v>
      </c>
      <c r="K228" s="101">
        <f t="shared" si="53"/>
        <v>97222.222222221026</v>
      </c>
      <c r="O228" s="118">
        <f t="shared" si="55"/>
        <v>16.666666666666664</v>
      </c>
      <c r="P228" s="119">
        <f t="shared" ca="1" si="45"/>
        <v>30</v>
      </c>
      <c r="Q228" s="120">
        <v>365</v>
      </c>
      <c r="AA228" s="96">
        <f t="shared" si="39"/>
        <v>190</v>
      </c>
      <c r="AB228" s="97" t="e">
        <f t="shared" si="40"/>
        <v>#N/A</v>
      </c>
      <c r="AC228" s="97">
        <f t="shared" si="41"/>
        <v>2266.7619669789315</v>
      </c>
      <c r="AE228" s="96">
        <f t="shared" si="42"/>
        <v>190</v>
      </c>
      <c r="AF228" s="97" t="str">
        <f>IFERROR(VLOOKUP(AE228,[1]Cálculos_PRICE!$A$32:$K$212,10,0),"")</f>
        <v/>
      </c>
      <c r="AG228" s="97">
        <f>IFERROR(VLOOKUP(AE228,'Cálculos_CGI - SAC FIXA'!A226:K618,10,0),"")</f>
        <v>2266.7619669789315</v>
      </c>
      <c r="AH228" s="97" t="str">
        <f>IFERROR(VLOOKUP(AE228,[1]Cálculos_PRICE!$A$32:$K$212,6,0),"")</f>
        <v/>
      </c>
      <c r="AI228" s="97">
        <f>IFERROR(VLOOKUP(AE228,'Cálculos_CGI - SAC FIXA'!A226:K618,6,0),"")</f>
        <v>555.55555555555554</v>
      </c>
      <c r="AJ228" s="97" t="str">
        <f>IFERROR(VLOOKUP(AE228,[1]Cálculos_PRICE!$A$32:$K$240,11,0),"")</f>
        <v/>
      </c>
      <c r="AK228" s="97">
        <f>IFERROR(VLOOKUP(AE228,'Cálculos_CGI - SAC FIXA'!A226:K618,11,0),"")</f>
        <v>94444.444444443216</v>
      </c>
      <c r="AN228" s="157">
        <f t="shared" si="38"/>
        <v>28342.471111112347</v>
      </c>
      <c r="AO228" s="147" t="s">
        <v>309</v>
      </c>
      <c r="AP228" s="147" t="s">
        <v>119</v>
      </c>
      <c r="AQ228" s="148">
        <v>49860</v>
      </c>
      <c r="AR228" s="149">
        <v>124012.58</v>
      </c>
      <c r="AS228" s="149">
        <v>1781.22</v>
      </c>
      <c r="AT228" s="150">
        <v>0</v>
      </c>
      <c r="AU228" s="149">
        <v>1599.76</v>
      </c>
      <c r="AV228" s="150">
        <v>48.52</v>
      </c>
      <c r="AW228" s="149">
        <v>3429.5</v>
      </c>
      <c r="AX228" s="151"/>
    </row>
    <row r="229" spans="1:50" ht="15.5" x14ac:dyDescent="0.35">
      <c r="A229" s="98">
        <f t="shared" si="54"/>
        <v>186</v>
      </c>
      <c r="B229" s="99">
        <f t="shared" ca="1" si="46"/>
        <v>51718</v>
      </c>
      <c r="C229" s="100">
        <f t="shared" si="43"/>
        <v>97222.222222221026</v>
      </c>
      <c r="D229" s="100">
        <f t="shared" si="47"/>
        <v>1059.7222222222092</v>
      </c>
      <c r="E229" s="100">
        <f t="shared" si="48"/>
        <v>98281.94444444323</v>
      </c>
      <c r="F229" s="100">
        <f t="shared" si="49"/>
        <v>555.55555555555554</v>
      </c>
      <c r="G229" s="100">
        <f t="shared" si="50"/>
        <v>2224.9119669789316</v>
      </c>
      <c r="H229" s="100">
        <f t="shared" si="51"/>
        <v>22.361111111110837</v>
      </c>
      <c r="I229" s="100">
        <f t="shared" si="44"/>
        <v>20</v>
      </c>
      <c r="J229" s="100">
        <f t="shared" si="52"/>
        <v>2267.2730780900424</v>
      </c>
      <c r="K229" s="101">
        <f t="shared" si="53"/>
        <v>96666.666666665464</v>
      </c>
      <c r="O229" s="118">
        <f t="shared" si="55"/>
        <v>16.666666666666664</v>
      </c>
      <c r="P229" s="119">
        <f t="shared" ca="1" si="45"/>
        <v>31</v>
      </c>
      <c r="Q229" s="120">
        <v>365</v>
      </c>
      <c r="AA229" s="96">
        <f t="shared" si="39"/>
        <v>191</v>
      </c>
      <c r="AB229" s="97" t="e">
        <f t="shared" si="40"/>
        <v>#N/A</v>
      </c>
      <c r="AC229" s="97">
        <f t="shared" si="41"/>
        <v>2266.6341892011533</v>
      </c>
      <c r="AE229" s="96">
        <f t="shared" si="42"/>
        <v>191</v>
      </c>
      <c r="AF229" s="97" t="str">
        <f>IFERROR(VLOOKUP(AE229,[1]Cálculos_PRICE!$A$32:$K$212,10,0),"")</f>
        <v/>
      </c>
      <c r="AG229" s="97">
        <f>IFERROR(VLOOKUP(AE229,'Cálculos_CGI - SAC FIXA'!A227:K619,10,0),"")</f>
        <v>2266.6341892011533</v>
      </c>
      <c r="AH229" s="97" t="str">
        <f>IFERROR(VLOOKUP(AE229,[1]Cálculos_PRICE!$A$32:$K$212,6,0),"")</f>
        <v/>
      </c>
      <c r="AI229" s="97">
        <f>IFERROR(VLOOKUP(AE229,'Cálculos_CGI - SAC FIXA'!A227:K619,6,0),"")</f>
        <v>555.55555555555554</v>
      </c>
      <c r="AJ229" s="97" t="str">
        <f>IFERROR(VLOOKUP(AE229,[1]Cálculos_PRICE!$A$32:$K$240,11,0),"")</f>
        <v/>
      </c>
      <c r="AK229" s="97">
        <f>IFERROR(VLOOKUP(AE229,'Cálculos_CGI - SAC FIXA'!A227:K619,11,0),"")</f>
        <v>93888.888888887654</v>
      </c>
      <c r="AN229" s="157">
        <f t="shared" si="38"/>
        <v>27093.826666667912</v>
      </c>
      <c r="AO229" s="152" t="s">
        <v>310</v>
      </c>
      <c r="AP229" s="152" t="s">
        <v>119</v>
      </c>
      <c r="AQ229" s="153">
        <v>49891</v>
      </c>
      <c r="AR229" s="154">
        <v>122231.36</v>
      </c>
      <c r="AS229" s="154">
        <v>1804.2</v>
      </c>
      <c r="AT229" s="155">
        <v>0</v>
      </c>
      <c r="AU229" s="154">
        <v>1576.78</v>
      </c>
      <c r="AV229" s="155">
        <v>48.11</v>
      </c>
      <c r="AW229" s="154">
        <v>3429.09</v>
      </c>
      <c r="AX229" s="156"/>
    </row>
    <row r="230" spans="1:50" ht="15.5" x14ac:dyDescent="0.35">
      <c r="A230" s="98">
        <f t="shared" si="54"/>
        <v>187</v>
      </c>
      <c r="B230" s="99">
        <f t="shared" ca="1" si="46"/>
        <v>51749</v>
      </c>
      <c r="C230" s="100">
        <f t="shared" si="43"/>
        <v>96666.666666665464</v>
      </c>
      <c r="D230" s="100">
        <f t="shared" si="47"/>
        <v>1053.6666666666536</v>
      </c>
      <c r="E230" s="100">
        <f t="shared" si="48"/>
        <v>97720.333333332121</v>
      </c>
      <c r="F230" s="100">
        <f t="shared" si="49"/>
        <v>555.55555555555554</v>
      </c>
      <c r="G230" s="100">
        <f t="shared" si="50"/>
        <v>2224.9119669789316</v>
      </c>
      <c r="H230" s="100">
        <f t="shared" si="51"/>
        <v>22.233333333333057</v>
      </c>
      <c r="I230" s="100">
        <f t="shared" si="44"/>
        <v>20</v>
      </c>
      <c r="J230" s="100">
        <f t="shared" si="52"/>
        <v>2267.1453003122647</v>
      </c>
      <c r="K230" s="101">
        <f t="shared" si="53"/>
        <v>96111.111111109902</v>
      </c>
      <c r="O230" s="118">
        <f t="shared" si="55"/>
        <v>16.666666666666664</v>
      </c>
      <c r="P230" s="119">
        <f t="shared" ca="1" si="45"/>
        <v>31</v>
      </c>
      <c r="Q230" s="120">
        <v>365</v>
      </c>
      <c r="AA230" s="96">
        <f t="shared" si="39"/>
        <v>192</v>
      </c>
      <c r="AB230" s="97" t="e">
        <f t="shared" si="40"/>
        <v>#N/A</v>
      </c>
      <c r="AC230" s="97">
        <f t="shared" si="41"/>
        <v>2266.5064114233755</v>
      </c>
      <c r="AE230" s="96">
        <f t="shared" si="42"/>
        <v>192</v>
      </c>
      <c r="AF230" s="97" t="str">
        <f>IFERROR(VLOOKUP(AE230,[1]Cálculos_PRICE!$A$32:$K$212,10,0),"")</f>
        <v/>
      </c>
      <c r="AG230" s="97">
        <f>IFERROR(VLOOKUP(AE230,'Cálculos_CGI - SAC FIXA'!A228:K620,10,0),"")</f>
        <v>2266.5064114233755</v>
      </c>
      <c r="AH230" s="97" t="str">
        <f>IFERROR(VLOOKUP(AE230,[1]Cálculos_PRICE!$A$32:$K$212,6,0),"")</f>
        <v/>
      </c>
      <c r="AI230" s="97">
        <f>IFERROR(VLOOKUP(AE230,'Cálculos_CGI - SAC FIXA'!A228:K620,6,0),"")</f>
        <v>555.55555555555554</v>
      </c>
      <c r="AJ230" s="97" t="str">
        <f>IFERROR(VLOOKUP(AE230,[1]Cálculos_PRICE!$A$32:$K$240,11,0),"")</f>
        <v/>
      </c>
      <c r="AK230" s="97">
        <f>IFERROR(VLOOKUP(AE230,'Cálculos_CGI - SAC FIXA'!A228:K620,11,0),"")</f>
        <v>93333.333333332092</v>
      </c>
      <c r="AN230" s="157">
        <f t="shared" ref="AN230:AN275" si="56">AR231-K236</f>
        <v>25821.912222223473</v>
      </c>
      <c r="AO230" s="147" t="s">
        <v>311</v>
      </c>
      <c r="AP230" s="147" t="s">
        <v>119</v>
      </c>
      <c r="AQ230" s="148">
        <v>49922</v>
      </c>
      <c r="AR230" s="149">
        <v>120427.16</v>
      </c>
      <c r="AS230" s="149">
        <v>1827.47</v>
      </c>
      <c r="AT230" s="150">
        <v>0</v>
      </c>
      <c r="AU230" s="149">
        <v>1553.51</v>
      </c>
      <c r="AV230" s="150">
        <v>47.7</v>
      </c>
      <c r="AW230" s="149">
        <v>3428.68</v>
      </c>
      <c r="AX230" s="151"/>
    </row>
    <row r="231" spans="1:50" ht="15.5" x14ac:dyDescent="0.35">
      <c r="A231" s="98">
        <f t="shared" si="54"/>
        <v>188</v>
      </c>
      <c r="B231" s="99">
        <f t="shared" ca="1" si="46"/>
        <v>51779</v>
      </c>
      <c r="C231" s="100">
        <f t="shared" si="43"/>
        <v>96111.111111109902</v>
      </c>
      <c r="D231" s="100">
        <f t="shared" si="47"/>
        <v>1047.6111111110979</v>
      </c>
      <c r="E231" s="100">
        <f t="shared" si="48"/>
        <v>97158.722222220997</v>
      </c>
      <c r="F231" s="100">
        <f t="shared" si="49"/>
        <v>555.55555555555554</v>
      </c>
      <c r="G231" s="100">
        <f t="shared" si="50"/>
        <v>2224.9119669789316</v>
      </c>
      <c r="H231" s="100">
        <f t="shared" si="51"/>
        <v>22.105555555555277</v>
      </c>
      <c r="I231" s="100">
        <f t="shared" si="44"/>
        <v>20</v>
      </c>
      <c r="J231" s="100">
        <f t="shared" si="52"/>
        <v>2267.0175225344869</v>
      </c>
      <c r="K231" s="101">
        <f t="shared" si="53"/>
        <v>95555.55555555434</v>
      </c>
      <c r="O231" s="118">
        <f t="shared" si="55"/>
        <v>16.666666666666664</v>
      </c>
      <c r="P231" s="119">
        <f t="shared" ca="1" si="45"/>
        <v>30</v>
      </c>
      <c r="Q231" s="120">
        <v>365</v>
      </c>
      <c r="AA231" s="96">
        <f t="shared" ref="AA231:AA276" si="57">A236</f>
        <v>193</v>
      </c>
      <c r="AB231" s="97" t="e">
        <f t="shared" ref="AB231:AB278" si="58">IF($AA$36=1,VLOOKUP(AA231,$AE$38:$AK$218,6,0),IF($AA$36=2,VLOOKUP(AA231,$AE$38:$AK$218,4,0),VLOOKUP(AA231,$AE$38:$AK$218,2,0)))</f>
        <v>#N/A</v>
      </c>
      <c r="AC231" s="97">
        <f t="shared" si="41"/>
        <v>2266.3786336455978</v>
      </c>
      <c r="AE231" s="96">
        <f t="shared" si="42"/>
        <v>193</v>
      </c>
      <c r="AF231" s="97" t="str">
        <f>IFERROR(VLOOKUP(AE231,[1]Cálculos_PRICE!$A$32:$K$212,10,0),"")</f>
        <v/>
      </c>
      <c r="AG231" s="97">
        <f>IFERROR(VLOOKUP(AE231,'Cálculos_CGI - SAC FIXA'!A229:K621,10,0),"")</f>
        <v>2266.3786336455978</v>
      </c>
      <c r="AH231" s="97" t="str">
        <f>IFERROR(VLOOKUP(AE231,[1]Cálculos_PRICE!$A$32:$K$212,6,0),"")</f>
        <v/>
      </c>
      <c r="AI231" s="97">
        <f>IFERROR(VLOOKUP(AE231,'Cálculos_CGI - SAC FIXA'!A229:K621,6,0),"")</f>
        <v>555.55555555555554</v>
      </c>
      <c r="AJ231" s="97" t="str">
        <f>IFERROR(VLOOKUP(AE231,[1]Cálculos_PRICE!$A$32:$K$240,11,0),"")</f>
        <v/>
      </c>
      <c r="AK231" s="97">
        <f>IFERROR(VLOOKUP(AE231,'Cálculos_CGI - SAC FIXA'!A229:K621,11,0),"")</f>
        <v>92777.77777777653</v>
      </c>
      <c r="AN231" s="157">
        <f t="shared" si="56"/>
        <v>24526.427777779027</v>
      </c>
      <c r="AO231" s="152" t="s">
        <v>312</v>
      </c>
      <c r="AP231" s="152" t="s">
        <v>119</v>
      </c>
      <c r="AQ231" s="153">
        <v>49952</v>
      </c>
      <c r="AR231" s="154">
        <v>118599.69</v>
      </c>
      <c r="AS231" s="154">
        <v>1851.04</v>
      </c>
      <c r="AT231" s="155">
        <v>0</v>
      </c>
      <c r="AU231" s="154">
        <v>1529.94</v>
      </c>
      <c r="AV231" s="155">
        <v>47.28</v>
      </c>
      <c r="AW231" s="154">
        <v>3428.26</v>
      </c>
      <c r="AX231" s="156"/>
    </row>
    <row r="232" spans="1:50" ht="15.5" x14ac:dyDescent="0.35">
      <c r="A232" s="98">
        <f t="shared" si="54"/>
        <v>189</v>
      </c>
      <c r="B232" s="99">
        <f t="shared" ca="1" si="46"/>
        <v>51810</v>
      </c>
      <c r="C232" s="100">
        <f t="shared" si="43"/>
        <v>95555.55555555434</v>
      </c>
      <c r="D232" s="100">
        <f t="shared" si="47"/>
        <v>1041.5555555555422</v>
      </c>
      <c r="E232" s="100">
        <f t="shared" si="48"/>
        <v>96597.111111109887</v>
      </c>
      <c r="F232" s="100">
        <f t="shared" si="49"/>
        <v>555.55555555555554</v>
      </c>
      <c r="G232" s="100">
        <f t="shared" si="50"/>
        <v>2224.9119669789316</v>
      </c>
      <c r="H232" s="100">
        <f t="shared" si="51"/>
        <v>21.977777777777497</v>
      </c>
      <c r="I232" s="100">
        <f t="shared" si="44"/>
        <v>20</v>
      </c>
      <c r="J232" s="100">
        <f t="shared" si="52"/>
        <v>2266.8897447567092</v>
      </c>
      <c r="K232" s="101">
        <f t="shared" si="53"/>
        <v>94999.999999998778</v>
      </c>
      <c r="O232" s="118">
        <f t="shared" si="55"/>
        <v>16.666666666666664</v>
      </c>
      <c r="P232" s="119">
        <f t="shared" ca="1" si="45"/>
        <v>31</v>
      </c>
      <c r="Q232" s="120">
        <v>365</v>
      </c>
      <c r="AA232" s="96">
        <f t="shared" si="57"/>
        <v>194</v>
      </c>
      <c r="AB232" s="97" t="e">
        <f t="shared" si="58"/>
        <v>#N/A</v>
      </c>
      <c r="AC232" s="97">
        <f t="shared" ref="AC232:AC278" si="59">IF($AA$36=1,VLOOKUP(AA232,$AE$38:$AK$278,7,0),IF($AA$36=2,VLOOKUP(AA232,$AE$38:$AK$278,5,0),VLOOKUP(AA232,$AE$38:$AK$278,3,0)))</f>
        <v>2266.2508558678201</v>
      </c>
      <c r="AE232" s="96">
        <f t="shared" ref="AE232:AE278" si="60">AA232</f>
        <v>194</v>
      </c>
      <c r="AF232" s="97" t="str">
        <f>IFERROR(VLOOKUP(AE232,[1]Cálculos_PRICE!$A$32:$K$212,10,0),"")</f>
        <v/>
      </c>
      <c r="AG232" s="97">
        <f>IFERROR(VLOOKUP(AE232,'Cálculos_CGI - SAC FIXA'!A230:K622,10,0),"")</f>
        <v>2266.2508558678201</v>
      </c>
      <c r="AH232" s="97" t="str">
        <f>IFERROR(VLOOKUP(AE232,[1]Cálculos_PRICE!$A$32:$K$212,6,0),"")</f>
        <v/>
      </c>
      <c r="AI232" s="97">
        <f>IFERROR(VLOOKUP(AE232,'Cálculos_CGI - SAC FIXA'!A230:K622,6,0),"")</f>
        <v>555.55555555555554</v>
      </c>
      <c r="AJ232" s="97" t="str">
        <f>IFERROR(VLOOKUP(AE232,[1]Cálculos_PRICE!$A$32:$K$240,11,0),"")</f>
        <v/>
      </c>
      <c r="AK232" s="97">
        <f>IFERROR(VLOOKUP(AE232,'Cálculos_CGI - SAC FIXA'!A230:K622,11,0),"")</f>
        <v>92222.222222220968</v>
      </c>
      <c r="AN232" s="157">
        <f t="shared" si="56"/>
        <v>23207.06333333459</v>
      </c>
      <c r="AO232" s="147" t="s">
        <v>313</v>
      </c>
      <c r="AP232" s="147" t="s">
        <v>119</v>
      </c>
      <c r="AQ232" s="148">
        <v>49983</v>
      </c>
      <c r="AR232" s="149">
        <v>116748.65</v>
      </c>
      <c r="AS232" s="149">
        <v>1874.92</v>
      </c>
      <c r="AT232" s="150">
        <v>0</v>
      </c>
      <c r="AU232" s="149">
        <v>1506.06</v>
      </c>
      <c r="AV232" s="150">
        <v>46.85</v>
      </c>
      <c r="AW232" s="149">
        <v>3427.83</v>
      </c>
      <c r="AX232" s="151"/>
    </row>
    <row r="233" spans="1:50" ht="15.5" x14ac:dyDescent="0.35">
      <c r="A233" s="98">
        <f t="shared" si="54"/>
        <v>190</v>
      </c>
      <c r="B233" s="99">
        <f t="shared" ca="1" si="46"/>
        <v>51840</v>
      </c>
      <c r="C233" s="100">
        <f t="shared" si="43"/>
        <v>94999.999999998778</v>
      </c>
      <c r="D233" s="100">
        <f t="shared" si="47"/>
        <v>1035.4999999999866</v>
      </c>
      <c r="E233" s="100">
        <f t="shared" si="48"/>
        <v>96035.499999998763</v>
      </c>
      <c r="F233" s="100">
        <f t="shared" si="49"/>
        <v>555.55555555555554</v>
      </c>
      <c r="G233" s="100">
        <f t="shared" si="50"/>
        <v>2224.9119669789316</v>
      </c>
      <c r="H233" s="100">
        <f t="shared" si="51"/>
        <v>21.849999999999721</v>
      </c>
      <c r="I233" s="100">
        <f t="shared" si="44"/>
        <v>20</v>
      </c>
      <c r="J233" s="100">
        <f t="shared" si="52"/>
        <v>2266.7619669789315</v>
      </c>
      <c r="K233" s="101">
        <f t="shared" si="53"/>
        <v>94444.444444443216</v>
      </c>
      <c r="O233" s="118">
        <f t="shared" si="55"/>
        <v>16.666666666666664</v>
      </c>
      <c r="P233" s="119">
        <f t="shared" ca="1" si="45"/>
        <v>30</v>
      </c>
      <c r="Q233" s="120">
        <v>365</v>
      </c>
      <c r="AA233" s="96">
        <f t="shared" si="57"/>
        <v>195</v>
      </c>
      <c r="AB233" s="97" t="e">
        <f t="shared" si="58"/>
        <v>#N/A</v>
      </c>
      <c r="AC233" s="97">
        <f t="shared" si="59"/>
        <v>2266.1230780900423</v>
      </c>
      <c r="AE233" s="96">
        <f t="shared" si="60"/>
        <v>195</v>
      </c>
      <c r="AF233" s="97" t="str">
        <f>IFERROR(VLOOKUP(AE233,[1]Cálculos_PRICE!$A$32:$K$212,10,0),"")</f>
        <v/>
      </c>
      <c r="AG233" s="97">
        <f>IFERROR(VLOOKUP(AE233,'Cálculos_CGI - SAC FIXA'!A231:K623,10,0),"")</f>
        <v>2266.1230780900423</v>
      </c>
      <c r="AH233" s="97" t="str">
        <f>IFERROR(VLOOKUP(AE233,[1]Cálculos_PRICE!$A$32:$K$212,6,0),"")</f>
        <v/>
      </c>
      <c r="AI233" s="97">
        <f>IFERROR(VLOOKUP(AE233,'Cálculos_CGI - SAC FIXA'!A231:K623,6,0),"")</f>
        <v>555.55555555555554</v>
      </c>
      <c r="AJ233" s="97" t="str">
        <f>IFERROR(VLOOKUP(AE233,[1]Cálculos_PRICE!$A$32:$K$240,11,0),"")</f>
        <v/>
      </c>
      <c r="AK233" s="97">
        <f>IFERROR(VLOOKUP(AE233,'Cálculos_CGI - SAC FIXA'!A231:K623,11,0),"")</f>
        <v>91666.666666665406</v>
      </c>
      <c r="AN233" s="157">
        <f t="shared" si="56"/>
        <v>21863.508888890152</v>
      </c>
      <c r="AO233" s="152" t="s">
        <v>314</v>
      </c>
      <c r="AP233" s="152" t="s">
        <v>119</v>
      </c>
      <c r="AQ233" s="153">
        <v>50013</v>
      </c>
      <c r="AR233" s="154">
        <v>114873.73</v>
      </c>
      <c r="AS233" s="154">
        <v>1899.11</v>
      </c>
      <c r="AT233" s="155">
        <v>0</v>
      </c>
      <c r="AU233" s="154">
        <v>1481.87</v>
      </c>
      <c r="AV233" s="155">
        <v>46.42</v>
      </c>
      <c r="AW233" s="154">
        <v>3427.4</v>
      </c>
      <c r="AX233" s="156"/>
    </row>
    <row r="234" spans="1:50" ht="15.5" x14ac:dyDescent="0.35">
      <c r="A234" s="98">
        <f t="shared" si="54"/>
        <v>191</v>
      </c>
      <c r="B234" s="99">
        <f t="shared" ca="1" si="46"/>
        <v>51871</v>
      </c>
      <c r="C234" s="100">
        <f t="shared" si="43"/>
        <v>94444.444444443216</v>
      </c>
      <c r="D234" s="100">
        <f t="shared" si="47"/>
        <v>1029.4444444444312</v>
      </c>
      <c r="E234" s="100">
        <f t="shared" si="48"/>
        <v>95473.888888887654</v>
      </c>
      <c r="F234" s="100">
        <f t="shared" si="49"/>
        <v>555.55555555555554</v>
      </c>
      <c r="G234" s="100">
        <f t="shared" si="50"/>
        <v>2224.9119669789316</v>
      </c>
      <c r="H234" s="100">
        <f t="shared" si="51"/>
        <v>21.722222222221941</v>
      </c>
      <c r="I234" s="100">
        <f t="shared" si="44"/>
        <v>20</v>
      </c>
      <c r="J234" s="100">
        <f t="shared" si="52"/>
        <v>2266.6341892011533</v>
      </c>
      <c r="K234" s="101">
        <f t="shared" si="53"/>
        <v>93888.888888887654</v>
      </c>
      <c r="O234" s="118">
        <f t="shared" si="55"/>
        <v>16.666666666666664</v>
      </c>
      <c r="P234" s="119">
        <f t="shared" ca="1" si="45"/>
        <v>31</v>
      </c>
      <c r="Q234" s="120">
        <v>365</v>
      </c>
      <c r="AA234" s="96">
        <f t="shared" si="57"/>
        <v>196</v>
      </c>
      <c r="AB234" s="97" t="e">
        <f t="shared" si="58"/>
        <v>#N/A</v>
      </c>
      <c r="AC234" s="97">
        <f t="shared" si="59"/>
        <v>2265.9953003122646</v>
      </c>
      <c r="AE234" s="96">
        <f t="shared" si="60"/>
        <v>196</v>
      </c>
      <c r="AF234" s="97" t="str">
        <f>IFERROR(VLOOKUP(AE234,[1]Cálculos_PRICE!$A$32:$K$212,10,0),"")</f>
        <v/>
      </c>
      <c r="AG234" s="97">
        <f>IFERROR(VLOOKUP(AE234,'Cálculos_CGI - SAC FIXA'!A232:K624,10,0),"")</f>
        <v>2265.9953003122646</v>
      </c>
      <c r="AH234" s="97" t="str">
        <f>IFERROR(VLOOKUP(AE234,[1]Cálculos_PRICE!$A$32:$K$212,6,0),"")</f>
        <v/>
      </c>
      <c r="AI234" s="97">
        <f>IFERROR(VLOOKUP(AE234,'Cálculos_CGI - SAC FIXA'!A232:K624,6,0),"")</f>
        <v>555.55555555555554</v>
      </c>
      <c r="AJ234" s="97" t="str">
        <f>IFERROR(VLOOKUP(AE234,[1]Cálculos_PRICE!$A$32:$K$240,11,0),"")</f>
        <v/>
      </c>
      <c r="AK234" s="97">
        <f>IFERROR(VLOOKUP(AE234,'Cálculos_CGI - SAC FIXA'!A232:K624,11,0),"")</f>
        <v>91111.111111109843</v>
      </c>
      <c r="AN234" s="157">
        <f t="shared" si="56"/>
        <v>20495.454444445713</v>
      </c>
      <c r="AO234" s="147" t="s">
        <v>315</v>
      </c>
      <c r="AP234" s="147" t="s">
        <v>119</v>
      </c>
      <c r="AQ234" s="148">
        <v>50044</v>
      </c>
      <c r="AR234" s="149">
        <v>112974.62</v>
      </c>
      <c r="AS234" s="149">
        <v>1923.61</v>
      </c>
      <c r="AT234" s="150">
        <v>0</v>
      </c>
      <c r="AU234" s="149">
        <v>1457.37</v>
      </c>
      <c r="AV234" s="150">
        <v>45.98</v>
      </c>
      <c r="AW234" s="149">
        <v>3426.96</v>
      </c>
      <c r="AX234" s="151"/>
    </row>
    <row r="235" spans="1:50" ht="15.5" x14ac:dyDescent="0.35">
      <c r="A235" s="98">
        <f t="shared" si="54"/>
        <v>192</v>
      </c>
      <c r="B235" s="99">
        <f t="shared" ca="1" si="46"/>
        <v>51902</v>
      </c>
      <c r="C235" s="100">
        <f t="shared" si="43"/>
        <v>93888.888888887654</v>
      </c>
      <c r="D235" s="100">
        <f t="shared" si="47"/>
        <v>1023.3888888888754</v>
      </c>
      <c r="E235" s="100">
        <f t="shared" si="48"/>
        <v>94912.27777777653</v>
      </c>
      <c r="F235" s="100">
        <f t="shared" si="49"/>
        <v>555.55555555555554</v>
      </c>
      <c r="G235" s="100">
        <f t="shared" si="50"/>
        <v>2224.9119669789316</v>
      </c>
      <c r="H235" s="100">
        <f t="shared" si="51"/>
        <v>21.594444444444161</v>
      </c>
      <c r="I235" s="100">
        <f t="shared" si="44"/>
        <v>20</v>
      </c>
      <c r="J235" s="100">
        <f t="shared" si="52"/>
        <v>2266.5064114233755</v>
      </c>
      <c r="K235" s="101">
        <f t="shared" si="53"/>
        <v>93333.333333332092</v>
      </c>
      <c r="O235" s="118">
        <f t="shared" si="55"/>
        <v>16.666666666666664</v>
      </c>
      <c r="P235" s="119">
        <f t="shared" ca="1" si="45"/>
        <v>31</v>
      </c>
      <c r="Q235" s="120">
        <v>365</v>
      </c>
      <c r="AA235" s="96">
        <f t="shared" si="57"/>
        <v>197</v>
      </c>
      <c r="AB235" s="97" t="e">
        <f t="shared" si="58"/>
        <v>#N/A</v>
      </c>
      <c r="AC235" s="97">
        <f t="shared" si="59"/>
        <v>2265.8675225344869</v>
      </c>
      <c r="AE235" s="96">
        <f t="shared" si="60"/>
        <v>197</v>
      </c>
      <c r="AF235" s="97" t="str">
        <f>IFERROR(VLOOKUP(AE235,[1]Cálculos_PRICE!$A$32:$K$212,10,0),"")</f>
        <v/>
      </c>
      <c r="AG235" s="97">
        <f>IFERROR(VLOOKUP(AE235,'Cálculos_CGI - SAC FIXA'!A233:K625,10,0),"")</f>
        <v>2265.8675225344869</v>
      </c>
      <c r="AH235" s="97" t="str">
        <f>IFERROR(VLOOKUP(AE235,[1]Cálculos_PRICE!$A$32:$K$212,6,0),"")</f>
        <v/>
      </c>
      <c r="AI235" s="97">
        <f>IFERROR(VLOOKUP(AE235,'Cálculos_CGI - SAC FIXA'!A233:K625,6,0),"")</f>
        <v>555.55555555555554</v>
      </c>
      <c r="AJ235" s="97" t="str">
        <f>IFERROR(VLOOKUP(AE235,[1]Cálculos_PRICE!$A$32:$K$240,11,0),"")</f>
        <v/>
      </c>
      <c r="AK235" s="97">
        <f>IFERROR(VLOOKUP(AE235,'Cálculos_CGI - SAC FIXA'!A233:K625,11,0),"")</f>
        <v>90555.555555554281</v>
      </c>
      <c r="AN235" s="157">
        <f t="shared" si="56"/>
        <v>19102.590000001277</v>
      </c>
      <c r="AO235" s="152" t="s">
        <v>316</v>
      </c>
      <c r="AP235" s="152" t="s">
        <v>119</v>
      </c>
      <c r="AQ235" s="153">
        <v>50075</v>
      </c>
      <c r="AR235" s="154">
        <v>111051.01</v>
      </c>
      <c r="AS235" s="154">
        <v>1948.42</v>
      </c>
      <c r="AT235" s="155">
        <v>0</v>
      </c>
      <c r="AU235" s="154">
        <v>1432.56</v>
      </c>
      <c r="AV235" s="155">
        <v>45.54</v>
      </c>
      <c r="AW235" s="154">
        <v>3426.52</v>
      </c>
      <c r="AX235" s="156"/>
    </row>
    <row r="236" spans="1:50" ht="15.5" x14ac:dyDescent="0.35">
      <c r="A236" s="98">
        <f t="shared" si="54"/>
        <v>193</v>
      </c>
      <c r="B236" s="99">
        <f t="shared" ca="1" si="46"/>
        <v>51930</v>
      </c>
      <c r="C236" s="100">
        <f t="shared" ref="C236:C281" si="61">IF(A236="","",K235)</f>
        <v>93333.333333332092</v>
      </c>
      <c r="D236" s="100">
        <f t="shared" si="47"/>
        <v>1017.3333333333198</v>
      </c>
      <c r="E236" s="100">
        <f t="shared" si="48"/>
        <v>94350.666666665406</v>
      </c>
      <c r="F236" s="100">
        <f t="shared" si="49"/>
        <v>555.55555555555554</v>
      </c>
      <c r="G236" s="100">
        <f t="shared" si="50"/>
        <v>2224.9119669789316</v>
      </c>
      <c r="H236" s="100">
        <f t="shared" si="51"/>
        <v>21.466666666666381</v>
      </c>
      <c r="I236" s="100">
        <f t="shared" ref="I236:I281" si="62">IF(A236="","",IF(K235="","",IF(K235=0,"",$J$28*$I$14)))</f>
        <v>20</v>
      </c>
      <c r="J236" s="100">
        <f t="shared" si="52"/>
        <v>2266.3786336455978</v>
      </c>
      <c r="K236" s="101">
        <f t="shared" si="53"/>
        <v>92777.77777777653</v>
      </c>
      <c r="O236" s="118">
        <f t="shared" si="55"/>
        <v>16.666666666666664</v>
      </c>
      <c r="P236" s="119">
        <f t="shared" ref="P236:P278" ca="1" si="63">IF($A236&lt;=$I$18,B236-B235,)</f>
        <v>28</v>
      </c>
      <c r="Q236" s="120">
        <v>365</v>
      </c>
      <c r="AA236" s="96">
        <f t="shared" si="57"/>
        <v>198</v>
      </c>
      <c r="AB236" s="97" t="e">
        <f t="shared" si="58"/>
        <v>#N/A</v>
      </c>
      <c r="AC236" s="97">
        <f t="shared" si="59"/>
        <v>2265.7397447567091</v>
      </c>
      <c r="AE236" s="96">
        <f t="shared" si="60"/>
        <v>198</v>
      </c>
      <c r="AF236" s="97" t="str">
        <f>IFERROR(VLOOKUP(AE236,[1]Cálculos_PRICE!$A$32:$K$212,10,0),"")</f>
        <v/>
      </c>
      <c r="AG236" s="97">
        <f>IFERROR(VLOOKUP(AE236,'Cálculos_CGI - SAC FIXA'!A234:K626,10,0),"")</f>
        <v>2265.7397447567091</v>
      </c>
      <c r="AH236" s="97" t="str">
        <f>IFERROR(VLOOKUP(AE236,[1]Cálculos_PRICE!$A$32:$K$212,6,0),"")</f>
        <v/>
      </c>
      <c r="AI236" s="97">
        <f>IFERROR(VLOOKUP(AE236,'Cálculos_CGI - SAC FIXA'!A234:K626,6,0),"")</f>
        <v>555.55555555555554</v>
      </c>
      <c r="AJ236" s="97" t="str">
        <f>IFERROR(VLOOKUP(AE236,[1]Cálculos_PRICE!$A$32:$K$240,11,0),"")</f>
        <v/>
      </c>
      <c r="AK236" s="97">
        <f>IFERROR(VLOOKUP(AE236,'Cálculos_CGI - SAC FIXA'!A234:K626,11,0),"")</f>
        <v>89999.999999998719</v>
      </c>
      <c r="AN236" s="157">
        <f t="shared" si="56"/>
        <v>17684.585555556841</v>
      </c>
      <c r="AO236" s="147" t="s">
        <v>317</v>
      </c>
      <c r="AP236" s="147" t="s">
        <v>119</v>
      </c>
      <c r="AQ236" s="148">
        <v>50103</v>
      </c>
      <c r="AR236" s="149">
        <v>109102.59</v>
      </c>
      <c r="AS236" s="149">
        <v>1973.56</v>
      </c>
      <c r="AT236" s="150">
        <v>0</v>
      </c>
      <c r="AU236" s="149">
        <v>1407.42</v>
      </c>
      <c r="AV236" s="150">
        <v>45.09</v>
      </c>
      <c r="AW236" s="149">
        <v>3426.07</v>
      </c>
      <c r="AX236" s="151"/>
    </row>
    <row r="237" spans="1:50" ht="15.5" x14ac:dyDescent="0.35">
      <c r="A237" s="98">
        <f t="shared" si="54"/>
        <v>194</v>
      </c>
      <c r="B237" s="99">
        <f t="shared" ref="B237:B281" ca="1" si="64">IFERROR(IF(A237&lt;=$I$18,DATE(YEAR($B$44),MONTH($B$44)+A236,DAY($B$44)),"-"),"")</f>
        <v>51961</v>
      </c>
      <c r="C237" s="100">
        <f t="shared" si="61"/>
        <v>92777.77777777653</v>
      </c>
      <c r="D237" s="100">
        <f t="shared" ref="D237:D282" si="65">C237*$I$20</f>
        <v>1011.2777777777642</v>
      </c>
      <c r="E237" s="100">
        <f t="shared" ref="E237:E282" si="66">IFERROR(C237+D237,"")</f>
        <v>93789.055555554296</v>
      </c>
      <c r="F237" s="100">
        <f t="shared" ref="F237:F403" si="67">$I$13/$I$18</f>
        <v>555.55555555555554</v>
      </c>
      <c r="G237" s="100">
        <f t="shared" ref="G237:G282" si="68">IF(A237="","",PMT($I$20,$I$18,$C$44)*-1)</f>
        <v>2224.9119669789316</v>
      </c>
      <c r="H237" s="100">
        <f t="shared" ref="H237:H282" si="69">C237*$J$27</f>
        <v>21.338888888888601</v>
      </c>
      <c r="I237" s="100">
        <f t="shared" si="62"/>
        <v>20</v>
      </c>
      <c r="J237" s="100">
        <f t="shared" ref="J237:J282" si="70">IFERROR(SUM(I237+H237+G237),"")</f>
        <v>2266.2508558678201</v>
      </c>
      <c r="K237" s="101">
        <f t="shared" ref="K237:K282" si="71">C237-F237</f>
        <v>92222.222222220968</v>
      </c>
      <c r="O237" s="118">
        <f t="shared" si="55"/>
        <v>16.666666666666664</v>
      </c>
      <c r="P237" s="119">
        <f t="shared" ca="1" si="63"/>
        <v>31</v>
      </c>
      <c r="Q237" s="120">
        <v>365</v>
      </c>
      <c r="AA237" s="96">
        <f t="shared" si="57"/>
        <v>199</v>
      </c>
      <c r="AB237" s="97" t="e">
        <f t="shared" si="58"/>
        <v>#N/A</v>
      </c>
      <c r="AC237" s="97">
        <f t="shared" si="59"/>
        <v>2265.6119669789314</v>
      </c>
      <c r="AE237" s="96">
        <f t="shared" si="60"/>
        <v>199</v>
      </c>
      <c r="AF237" s="97" t="str">
        <f>IFERROR(VLOOKUP(AE237,[1]Cálculos_PRICE!$A$32:$K$212,10,0),"")</f>
        <v/>
      </c>
      <c r="AG237" s="97">
        <f>IFERROR(VLOOKUP(AE237,'Cálculos_CGI - SAC FIXA'!A235:K627,10,0),"")</f>
        <v>2265.6119669789314</v>
      </c>
      <c r="AH237" s="97" t="str">
        <f>IFERROR(VLOOKUP(AE237,[1]Cálculos_PRICE!$A$32:$K$212,6,0),"")</f>
        <v/>
      </c>
      <c r="AI237" s="97">
        <f>IFERROR(VLOOKUP(AE237,'Cálculos_CGI - SAC FIXA'!A235:K627,6,0),"")</f>
        <v>555.55555555555554</v>
      </c>
      <c r="AJ237" s="97" t="str">
        <f>IFERROR(VLOOKUP(AE237,[1]Cálculos_PRICE!$A$32:$K$240,11,0),"")</f>
        <v/>
      </c>
      <c r="AK237" s="97">
        <f>IFERROR(VLOOKUP(AE237,'Cálculos_CGI - SAC FIXA'!A235:K627,11,0),"")</f>
        <v>89444.444444443157</v>
      </c>
      <c r="AN237" s="157">
        <f t="shared" si="56"/>
        <v>16241.121111112399</v>
      </c>
      <c r="AO237" s="152" t="s">
        <v>318</v>
      </c>
      <c r="AP237" s="152" t="s">
        <v>119</v>
      </c>
      <c r="AQ237" s="153">
        <v>50134</v>
      </c>
      <c r="AR237" s="154">
        <v>107129.03</v>
      </c>
      <c r="AS237" s="154">
        <v>1999.02</v>
      </c>
      <c r="AT237" s="155">
        <v>0</v>
      </c>
      <c r="AU237" s="154">
        <v>1381.96</v>
      </c>
      <c r="AV237" s="155">
        <v>44.64</v>
      </c>
      <c r="AW237" s="154">
        <v>3425.62</v>
      </c>
      <c r="AX237" s="156"/>
    </row>
    <row r="238" spans="1:50" ht="15.5" x14ac:dyDescent="0.35">
      <c r="A238" s="98">
        <f t="shared" ref="A238:A281" si="72">IF(IF(AND(A237&gt;0,A237&lt;$I$18),A237+1,0)=0,"",IF(AND(A237&gt;0,A237&lt;$I$18),A237+1,0))</f>
        <v>195</v>
      </c>
      <c r="B238" s="99">
        <f t="shared" ca="1" si="64"/>
        <v>51991</v>
      </c>
      <c r="C238" s="100">
        <f t="shared" si="61"/>
        <v>92222.222222220968</v>
      </c>
      <c r="D238" s="100">
        <f t="shared" si="65"/>
        <v>1005.2222222222085</v>
      </c>
      <c r="E238" s="100">
        <f t="shared" si="66"/>
        <v>93227.444444443172</v>
      </c>
      <c r="F238" s="100">
        <f t="shared" si="67"/>
        <v>555.55555555555554</v>
      </c>
      <c r="G238" s="100">
        <f t="shared" si="68"/>
        <v>2224.9119669789316</v>
      </c>
      <c r="H238" s="100">
        <f t="shared" si="69"/>
        <v>21.211111111110824</v>
      </c>
      <c r="I238" s="100">
        <f t="shared" si="62"/>
        <v>20</v>
      </c>
      <c r="J238" s="100">
        <f t="shared" si="70"/>
        <v>2266.1230780900423</v>
      </c>
      <c r="K238" s="101">
        <f t="shared" si="71"/>
        <v>91666.666666665406</v>
      </c>
      <c r="O238" s="118">
        <f t="shared" si="55"/>
        <v>16.666666666666664</v>
      </c>
      <c r="P238" s="119">
        <f t="shared" ca="1" si="63"/>
        <v>30</v>
      </c>
      <c r="Q238" s="120">
        <v>365</v>
      </c>
      <c r="AA238" s="96">
        <f t="shared" si="57"/>
        <v>200</v>
      </c>
      <c r="AB238" s="97" t="e">
        <f t="shared" si="58"/>
        <v>#N/A</v>
      </c>
      <c r="AC238" s="97">
        <f t="shared" si="59"/>
        <v>2265.4841892011536</v>
      </c>
      <c r="AE238" s="96">
        <f t="shared" si="60"/>
        <v>200</v>
      </c>
      <c r="AF238" s="97" t="str">
        <f>IFERROR(VLOOKUP(AE238,[1]Cálculos_PRICE!$A$32:$K$212,10,0),"")</f>
        <v/>
      </c>
      <c r="AG238" s="97">
        <f>IFERROR(VLOOKUP(AE238,'Cálculos_CGI - SAC FIXA'!A236:K628,10,0),"")</f>
        <v>2265.4841892011536</v>
      </c>
      <c r="AH238" s="97" t="str">
        <f>IFERROR(VLOOKUP(AE238,[1]Cálculos_PRICE!$A$32:$K$212,6,0),"")</f>
        <v/>
      </c>
      <c r="AI238" s="97">
        <f>IFERROR(VLOOKUP(AE238,'Cálculos_CGI - SAC FIXA'!A236:K628,6,0),"")</f>
        <v>555.55555555555554</v>
      </c>
      <c r="AJ238" s="97" t="str">
        <f>IFERROR(VLOOKUP(AE238,[1]Cálculos_PRICE!$A$32:$K$240,11,0),"")</f>
        <v/>
      </c>
      <c r="AK238" s="97">
        <f>IFERROR(VLOOKUP(AE238,'Cálculos_CGI - SAC FIXA'!A236:K628,11,0),"")</f>
        <v>88888.888888887595</v>
      </c>
      <c r="AN238" s="157">
        <f t="shared" si="56"/>
        <v>14771.876666667973</v>
      </c>
      <c r="AO238" s="147" t="s">
        <v>319</v>
      </c>
      <c r="AP238" s="147" t="s">
        <v>119</v>
      </c>
      <c r="AQ238" s="148">
        <v>50164</v>
      </c>
      <c r="AR238" s="149">
        <v>105130.01</v>
      </c>
      <c r="AS238" s="149">
        <v>2024.8</v>
      </c>
      <c r="AT238" s="150">
        <v>0</v>
      </c>
      <c r="AU238" s="149">
        <v>1356.18</v>
      </c>
      <c r="AV238" s="150">
        <v>44.18</v>
      </c>
      <c r="AW238" s="149">
        <v>3425.16</v>
      </c>
      <c r="AX238" s="151"/>
    </row>
    <row r="239" spans="1:50" ht="15.5" x14ac:dyDescent="0.35">
      <c r="A239" s="98">
        <f t="shared" si="72"/>
        <v>196</v>
      </c>
      <c r="B239" s="99">
        <f t="shared" ca="1" si="64"/>
        <v>52022</v>
      </c>
      <c r="C239" s="100">
        <f t="shared" si="61"/>
        <v>91666.666666665406</v>
      </c>
      <c r="D239" s="100">
        <f t="shared" si="65"/>
        <v>999.16666666665287</v>
      </c>
      <c r="E239" s="100">
        <f t="shared" si="66"/>
        <v>92665.833333332062</v>
      </c>
      <c r="F239" s="100">
        <f t="shared" si="67"/>
        <v>555.55555555555554</v>
      </c>
      <c r="G239" s="100">
        <f t="shared" si="68"/>
        <v>2224.9119669789316</v>
      </c>
      <c r="H239" s="100">
        <f t="shared" si="69"/>
        <v>21.083333333333044</v>
      </c>
      <c r="I239" s="100">
        <f t="shared" si="62"/>
        <v>20</v>
      </c>
      <c r="J239" s="100">
        <f t="shared" si="70"/>
        <v>2265.9953003122646</v>
      </c>
      <c r="K239" s="101">
        <f t="shared" si="71"/>
        <v>91111.111111109843</v>
      </c>
      <c r="O239" s="118">
        <f t="shared" si="55"/>
        <v>16.666666666666664</v>
      </c>
      <c r="P239" s="119">
        <f t="shared" ca="1" si="63"/>
        <v>31</v>
      </c>
      <c r="Q239" s="120">
        <v>365</v>
      </c>
      <c r="AA239" s="96">
        <f t="shared" si="57"/>
        <v>201</v>
      </c>
      <c r="AB239" s="97" t="e">
        <f t="shared" si="58"/>
        <v>#N/A</v>
      </c>
      <c r="AC239" s="97">
        <f t="shared" si="59"/>
        <v>2265.3564114233759</v>
      </c>
      <c r="AE239" s="96">
        <f t="shared" si="60"/>
        <v>201</v>
      </c>
      <c r="AF239" s="97" t="str">
        <f>IFERROR(VLOOKUP(AE239,[1]Cálculos_PRICE!$A$32:$K$212,10,0),"")</f>
        <v/>
      </c>
      <c r="AG239" s="97">
        <f>IFERROR(VLOOKUP(AE239,'Cálculos_CGI - SAC FIXA'!A237:K629,10,0),"")</f>
        <v>2265.3564114233759</v>
      </c>
      <c r="AH239" s="97" t="str">
        <f>IFERROR(VLOOKUP(AE239,[1]Cálculos_PRICE!$A$32:$K$212,6,0),"")</f>
        <v/>
      </c>
      <c r="AI239" s="97">
        <f>IFERROR(VLOOKUP(AE239,'Cálculos_CGI - SAC FIXA'!A237:K629,6,0),"")</f>
        <v>555.55555555555554</v>
      </c>
      <c r="AJ239" s="97" t="str">
        <f>IFERROR(VLOOKUP(AE239,[1]Cálculos_PRICE!$A$32:$K$240,11,0),"")</f>
        <v/>
      </c>
      <c r="AK239" s="97">
        <f>IFERROR(VLOOKUP(AE239,'Cálculos_CGI - SAC FIXA'!A237:K629,11,0),"")</f>
        <v>88333.333333332033</v>
      </c>
      <c r="AN239" s="157">
        <f t="shared" si="56"/>
        <v>13276.512222223522</v>
      </c>
      <c r="AO239" s="152" t="s">
        <v>320</v>
      </c>
      <c r="AP239" s="152" t="s">
        <v>119</v>
      </c>
      <c r="AQ239" s="153">
        <v>50195</v>
      </c>
      <c r="AR239" s="154">
        <v>103105.21</v>
      </c>
      <c r="AS239" s="154">
        <v>2050.92</v>
      </c>
      <c r="AT239" s="155">
        <v>0</v>
      </c>
      <c r="AU239" s="154">
        <v>1330.06</v>
      </c>
      <c r="AV239" s="155">
        <v>43.71</v>
      </c>
      <c r="AW239" s="154">
        <v>3424.69</v>
      </c>
      <c r="AX239" s="156"/>
    </row>
    <row r="240" spans="1:50" ht="15.5" x14ac:dyDescent="0.35">
      <c r="A240" s="98">
        <f t="shared" si="72"/>
        <v>197</v>
      </c>
      <c r="B240" s="99">
        <f t="shared" ca="1" si="64"/>
        <v>52052</v>
      </c>
      <c r="C240" s="100">
        <f t="shared" si="61"/>
        <v>91111.111111109843</v>
      </c>
      <c r="D240" s="100">
        <f t="shared" si="65"/>
        <v>993.11111111109733</v>
      </c>
      <c r="E240" s="100">
        <f t="shared" si="66"/>
        <v>92104.222222220938</v>
      </c>
      <c r="F240" s="100">
        <f t="shared" si="67"/>
        <v>555.55555555555554</v>
      </c>
      <c r="G240" s="100">
        <f t="shared" si="68"/>
        <v>2224.9119669789316</v>
      </c>
      <c r="H240" s="100">
        <f t="shared" si="69"/>
        <v>20.955555555555264</v>
      </c>
      <c r="I240" s="100">
        <f t="shared" si="62"/>
        <v>20</v>
      </c>
      <c r="J240" s="100">
        <f t="shared" si="70"/>
        <v>2265.8675225344869</v>
      </c>
      <c r="K240" s="101">
        <f t="shared" si="71"/>
        <v>90555.555555554281</v>
      </c>
      <c r="O240" s="118">
        <f t="shared" si="55"/>
        <v>16.666666666666664</v>
      </c>
      <c r="P240" s="119">
        <f t="shared" ca="1" si="63"/>
        <v>30</v>
      </c>
      <c r="Q240" s="120">
        <v>365</v>
      </c>
      <c r="AA240" s="96">
        <f t="shared" si="57"/>
        <v>202</v>
      </c>
      <c r="AB240" s="97" t="e">
        <f t="shared" si="58"/>
        <v>#N/A</v>
      </c>
      <c r="AC240" s="97">
        <f t="shared" si="59"/>
        <v>2265.2286336455977</v>
      </c>
      <c r="AE240" s="96">
        <f t="shared" si="60"/>
        <v>202</v>
      </c>
      <c r="AF240" s="97" t="str">
        <f>IFERROR(VLOOKUP(AE240,[1]Cálculos_PRICE!$A$32:$K$212,10,0),"")</f>
        <v/>
      </c>
      <c r="AG240" s="97">
        <f>IFERROR(VLOOKUP(AE240,'Cálculos_CGI - SAC FIXA'!A238:K630,10,0),"")</f>
        <v>2265.2286336455977</v>
      </c>
      <c r="AH240" s="97" t="str">
        <f>IFERROR(VLOOKUP(AE240,[1]Cálculos_PRICE!$A$32:$K$212,6,0),"")</f>
        <v/>
      </c>
      <c r="AI240" s="97">
        <f>IFERROR(VLOOKUP(AE240,'Cálculos_CGI - SAC FIXA'!A238:K630,6,0),"")</f>
        <v>555.55555555555554</v>
      </c>
      <c r="AJ240" s="97" t="str">
        <f>IFERROR(VLOOKUP(AE240,[1]Cálculos_PRICE!$A$32:$K$240,11,0),"")</f>
        <v/>
      </c>
      <c r="AK240" s="97">
        <f>IFERROR(VLOOKUP(AE240,'Cálculos_CGI - SAC FIXA'!A238:K630,11,0),"")</f>
        <v>87777.777777776471</v>
      </c>
      <c r="AN240" s="157">
        <f t="shared" si="56"/>
        <v>11754.687777779094</v>
      </c>
      <c r="AO240" s="147" t="s">
        <v>321</v>
      </c>
      <c r="AP240" s="147" t="s">
        <v>119</v>
      </c>
      <c r="AQ240" s="148">
        <v>50225</v>
      </c>
      <c r="AR240" s="149">
        <v>101054.29</v>
      </c>
      <c r="AS240" s="149">
        <v>2077.38</v>
      </c>
      <c r="AT240" s="150">
        <v>0</v>
      </c>
      <c r="AU240" s="149">
        <v>1303.5999999999999</v>
      </c>
      <c r="AV240" s="150">
        <v>43.24</v>
      </c>
      <c r="AW240" s="149">
        <v>3424.22</v>
      </c>
      <c r="AX240" s="151"/>
    </row>
    <row r="241" spans="1:50" ht="15.5" x14ac:dyDescent="0.35">
      <c r="A241" s="98">
        <f t="shared" si="72"/>
        <v>198</v>
      </c>
      <c r="B241" s="99">
        <f t="shared" ca="1" si="64"/>
        <v>52083</v>
      </c>
      <c r="C241" s="100">
        <f t="shared" si="61"/>
        <v>90555.555555554281</v>
      </c>
      <c r="D241" s="100">
        <f t="shared" si="65"/>
        <v>987.05555555554167</v>
      </c>
      <c r="E241" s="100">
        <f t="shared" si="66"/>
        <v>91542.611111109829</v>
      </c>
      <c r="F241" s="100">
        <f t="shared" si="67"/>
        <v>555.55555555555554</v>
      </c>
      <c r="G241" s="100">
        <f t="shared" si="68"/>
        <v>2224.9119669789316</v>
      </c>
      <c r="H241" s="100">
        <f t="shared" si="69"/>
        <v>20.827777777777484</v>
      </c>
      <c r="I241" s="100">
        <f t="shared" si="62"/>
        <v>20</v>
      </c>
      <c r="J241" s="100">
        <f t="shared" si="70"/>
        <v>2265.7397447567091</v>
      </c>
      <c r="K241" s="101">
        <f t="shared" si="71"/>
        <v>89999.999999998719</v>
      </c>
      <c r="O241" s="118">
        <f t="shared" si="55"/>
        <v>16.666666666666664</v>
      </c>
      <c r="P241" s="119">
        <f t="shared" ca="1" si="63"/>
        <v>31</v>
      </c>
      <c r="Q241" s="120">
        <v>365</v>
      </c>
      <c r="AA241" s="96">
        <f t="shared" si="57"/>
        <v>203</v>
      </c>
      <c r="AB241" s="97" t="e">
        <f t="shared" si="58"/>
        <v>#N/A</v>
      </c>
      <c r="AC241" s="97">
        <f t="shared" si="59"/>
        <v>2265.10085586782</v>
      </c>
      <c r="AE241" s="96">
        <f t="shared" si="60"/>
        <v>203</v>
      </c>
      <c r="AF241" s="97" t="str">
        <f>IFERROR(VLOOKUP(AE241,[1]Cálculos_PRICE!$A$32:$K$212,10,0),"")</f>
        <v/>
      </c>
      <c r="AG241" s="97">
        <f>IFERROR(VLOOKUP(AE241,'Cálculos_CGI - SAC FIXA'!A239:K631,10,0),"")</f>
        <v>2265.10085586782</v>
      </c>
      <c r="AH241" s="97" t="str">
        <f>IFERROR(VLOOKUP(AE241,[1]Cálculos_PRICE!$A$32:$K$212,6,0),"")</f>
        <v/>
      </c>
      <c r="AI241" s="97">
        <f>IFERROR(VLOOKUP(AE241,'Cálculos_CGI - SAC FIXA'!A239:K631,6,0),"")</f>
        <v>555.55555555555554</v>
      </c>
      <c r="AJ241" s="97" t="str">
        <f>IFERROR(VLOOKUP(AE241,[1]Cálculos_PRICE!$A$32:$K$240,11,0),"")</f>
        <v/>
      </c>
      <c r="AK241" s="97">
        <f>IFERROR(VLOOKUP(AE241,'Cálculos_CGI - SAC FIXA'!A239:K631,11,0),"")</f>
        <v>87222.222222220909</v>
      </c>
      <c r="AN241" s="157">
        <f t="shared" si="56"/>
        <v>10206.063333334649</v>
      </c>
      <c r="AO241" s="152" t="s">
        <v>322</v>
      </c>
      <c r="AP241" s="152" t="s">
        <v>119</v>
      </c>
      <c r="AQ241" s="153">
        <v>50256</v>
      </c>
      <c r="AR241" s="154">
        <v>98976.91</v>
      </c>
      <c r="AS241" s="154">
        <v>2104.1799999999998</v>
      </c>
      <c r="AT241" s="155">
        <v>0</v>
      </c>
      <c r="AU241" s="154">
        <v>1276.8</v>
      </c>
      <c r="AV241" s="155">
        <v>42.76</v>
      </c>
      <c r="AW241" s="154">
        <v>3423.74</v>
      </c>
      <c r="AX241" s="156"/>
    </row>
    <row r="242" spans="1:50" ht="15.5" x14ac:dyDescent="0.35">
      <c r="A242" s="98">
        <f t="shared" si="72"/>
        <v>199</v>
      </c>
      <c r="B242" s="99">
        <f t="shared" ca="1" si="64"/>
        <v>52114</v>
      </c>
      <c r="C242" s="100">
        <f t="shared" si="61"/>
        <v>89999.999999998719</v>
      </c>
      <c r="D242" s="100">
        <f t="shared" si="65"/>
        <v>980.99999999998602</v>
      </c>
      <c r="E242" s="100">
        <f t="shared" si="66"/>
        <v>90980.999999998705</v>
      </c>
      <c r="F242" s="100">
        <f t="shared" si="67"/>
        <v>555.55555555555554</v>
      </c>
      <c r="G242" s="100">
        <f t="shared" si="68"/>
        <v>2224.9119669789316</v>
      </c>
      <c r="H242" s="100">
        <f t="shared" si="69"/>
        <v>20.699999999999704</v>
      </c>
      <c r="I242" s="100">
        <f t="shared" si="62"/>
        <v>20</v>
      </c>
      <c r="J242" s="100">
        <f t="shared" si="70"/>
        <v>2265.6119669789314</v>
      </c>
      <c r="K242" s="101">
        <f t="shared" si="71"/>
        <v>89444.444444443157</v>
      </c>
      <c r="O242" s="118">
        <f t="shared" si="55"/>
        <v>16.666666666666664</v>
      </c>
      <c r="P242" s="119">
        <f t="shared" ca="1" si="63"/>
        <v>31</v>
      </c>
      <c r="Q242" s="120">
        <v>365</v>
      </c>
      <c r="AA242" s="96">
        <f t="shared" si="57"/>
        <v>204</v>
      </c>
      <c r="AB242" s="97" t="e">
        <f t="shared" si="58"/>
        <v>#N/A</v>
      </c>
      <c r="AC242" s="97">
        <f t="shared" si="59"/>
        <v>2264.9730780900422</v>
      </c>
      <c r="AE242" s="96">
        <f t="shared" si="60"/>
        <v>204</v>
      </c>
      <c r="AF242" s="97" t="str">
        <f>IFERROR(VLOOKUP(AE242,[1]Cálculos_PRICE!$A$32:$K$212,10,0),"")</f>
        <v/>
      </c>
      <c r="AG242" s="97">
        <f>IFERROR(VLOOKUP(AE242,'Cálculos_CGI - SAC FIXA'!A240:K632,10,0),"")</f>
        <v>2264.9730780900422</v>
      </c>
      <c r="AH242" s="97" t="str">
        <f>IFERROR(VLOOKUP(AE242,[1]Cálculos_PRICE!$A$32:$K$212,6,0),"")</f>
        <v/>
      </c>
      <c r="AI242" s="97">
        <f>IFERROR(VLOOKUP(AE242,'Cálculos_CGI - SAC FIXA'!A240:K632,6,0),"")</f>
        <v>555.55555555555554</v>
      </c>
      <c r="AJ242" s="97" t="str">
        <f>IFERROR(VLOOKUP(AE242,[1]Cálculos_PRICE!$A$32:$K$240,11,0),"")</f>
        <v/>
      </c>
      <c r="AK242" s="97">
        <f>IFERROR(VLOOKUP(AE242,'Cálculos_CGI - SAC FIXA'!A240:K632,11,0),"")</f>
        <v>86666.666666665347</v>
      </c>
      <c r="AN242" s="157">
        <f t="shared" si="56"/>
        <v>8630.2988888902182</v>
      </c>
      <c r="AO242" s="147" t="s">
        <v>323</v>
      </c>
      <c r="AP242" s="147" t="s">
        <v>119</v>
      </c>
      <c r="AQ242" s="148">
        <v>50287</v>
      </c>
      <c r="AR242" s="149">
        <v>96872.73</v>
      </c>
      <c r="AS242" s="149">
        <v>2131.3200000000002</v>
      </c>
      <c r="AT242" s="150">
        <v>0</v>
      </c>
      <c r="AU242" s="149">
        <v>1249.6600000000001</v>
      </c>
      <c r="AV242" s="150">
        <v>42.28</v>
      </c>
      <c r="AW242" s="149">
        <v>3423.26</v>
      </c>
      <c r="AX242" s="151"/>
    </row>
    <row r="243" spans="1:50" ht="15.5" x14ac:dyDescent="0.35">
      <c r="A243" s="98">
        <f t="shared" si="72"/>
        <v>200</v>
      </c>
      <c r="B243" s="99">
        <f t="shared" ca="1" si="64"/>
        <v>52144</v>
      </c>
      <c r="C243" s="100">
        <f t="shared" si="61"/>
        <v>89444.444444443157</v>
      </c>
      <c r="D243" s="100">
        <f t="shared" si="65"/>
        <v>974.94444444443036</v>
      </c>
      <c r="E243" s="100">
        <f t="shared" si="66"/>
        <v>90419.388888887581</v>
      </c>
      <c r="F243" s="100">
        <f t="shared" si="67"/>
        <v>555.55555555555554</v>
      </c>
      <c r="G243" s="100">
        <f t="shared" si="68"/>
        <v>2224.9119669789316</v>
      </c>
      <c r="H243" s="100">
        <f t="shared" si="69"/>
        <v>20.572222222221928</v>
      </c>
      <c r="I243" s="100">
        <f t="shared" si="62"/>
        <v>20</v>
      </c>
      <c r="J243" s="100">
        <f t="shared" si="70"/>
        <v>2265.4841892011536</v>
      </c>
      <c r="K243" s="101">
        <f t="shared" si="71"/>
        <v>88888.888888887595</v>
      </c>
      <c r="O243" s="118">
        <f t="shared" si="55"/>
        <v>16.666666666666664</v>
      </c>
      <c r="P243" s="119">
        <f t="shared" ca="1" si="63"/>
        <v>30</v>
      </c>
      <c r="Q243" s="120">
        <v>365</v>
      </c>
      <c r="Y243" s="124"/>
      <c r="AA243" s="96">
        <f t="shared" si="57"/>
        <v>205</v>
      </c>
      <c r="AB243" s="97" t="e">
        <f t="shared" si="58"/>
        <v>#N/A</v>
      </c>
      <c r="AC243" s="97">
        <f t="shared" si="59"/>
        <v>2264.8453003122645</v>
      </c>
      <c r="AE243" s="96">
        <f t="shared" si="60"/>
        <v>205</v>
      </c>
      <c r="AF243" s="97" t="str">
        <f>IFERROR(VLOOKUP(AE243,[1]Cálculos_PRICE!$A$32:$K$212,10,0),"")</f>
        <v/>
      </c>
      <c r="AG243" s="97">
        <f>IFERROR(VLOOKUP(AE243,'Cálculos_CGI - SAC FIXA'!A241:K633,10,0),"")</f>
        <v>2264.8453003122645</v>
      </c>
      <c r="AH243" s="97" t="str">
        <f>IFERROR(VLOOKUP(AE243,[1]Cálculos_PRICE!$A$32:$K$212,6,0),"")</f>
        <v/>
      </c>
      <c r="AI243" s="97">
        <f>IFERROR(VLOOKUP(AE243,'Cálculos_CGI - SAC FIXA'!A241:K633,6,0),"")</f>
        <v>555.55555555555554</v>
      </c>
      <c r="AJ243" s="97" t="str">
        <f>IFERROR(VLOOKUP(AE243,[1]Cálculos_PRICE!$A$32:$K$240,11,0),"")</f>
        <v/>
      </c>
      <c r="AK243" s="97">
        <f>IFERROR(VLOOKUP(AE243,'Cálculos_CGI - SAC FIXA'!A241:K633,11,0),"")</f>
        <v>86111.111111109785</v>
      </c>
      <c r="AN243" s="157">
        <f t="shared" si="56"/>
        <v>7027.0344444457733</v>
      </c>
      <c r="AO243" s="152" t="s">
        <v>324</v>
      </c>
      <c r="AP243" s="152" t="s">
        <v>119</v>
      </c>
      <c r="AQ243" s="153">
        <v>50317</v>
      </c>
      <c r="AR243" s="154">
        <v>94741.41</v>
      </c>
      <c r="AS243" s="154">
        <v>2158.8200000000002</v>
      </c>
      <c r="AT243" s="155">
        <v>0</v>
      </c>
      <c r="AU243" s="154">
        <v>1222.1600000000001</v>
      </c>
      <c r="AV243" s="155">
        <v>41.79</v>
      </c>
      <c r="AW243" s="154">
        <v>3422.77</v>
      </c>
      <c r="AX243" s="156"/>
    </row>
    <row r="244" spans="1:50" ht="15.5" x14ac:dyDescent="0.35">
      <c r="A244" s="98">
        <f t="shared" si="72"/>
        <v>201</v>
      </c>
      <c r="B244" s="99">
        <f t="shared" ca="1" si="64"/>
        <v>52175</v>
      </c>
      <c r="C244" s="100">
        <f t="shared" si="61"/>
        <v>88888.888888887595</v>
      </c>
      <c r="D244" s="100">
        <f t="shared" si="65"/>
        <v>968.88888888887482</v>
      </c>
      <c r="E244" s="100">
        <f t="shared" si="66"/>
        <v>89857.777777776471</v>
      </c>
      <c r="F244" s="100">
        <f t="shared" si="67"/>
        <v>555.55555555555554</v>
      </c>
      <c r="G244" s="100">
        <f t="shared" si="68"/>
        <v>2224.9119669789316</v>
      </c>
      <c r="H244" s="100">
        <f t="shared" si="69"/>
        <v>20.444444444444148</v>
      </c>
      <c r="I244" s="100">
        <f t="shared" si="62"/>
        <v>20</v>
      </c>
      <c r="J244" s="100">
        <f t="shared" si="70"/>
        <v>2265.3564114233759</v>
      </c>
      <c r="K244" s="101">
        <f t="shared" si="71"/>
        <v>88333.333333332033</v>
      </c>
      <c r="O244" s="118">
        <f t="shared" si="55"/>
        <v>16.666666666666664</v>
      </c>
      <c r="P244" s="119">
        <f t="shared" ca="1" si="63"/>
        <v>31</v>
      </c>
      <c r="Q244" s="120">
        <v>365</v>
      </c>
      <c r="AA244" s="96">
        <f t="shared" si="57"/>
        <v>206</v>
      </c>
      <c r="AB244" s="97" t="e">
        <f t="shared" si="58"/>
        <v>#N/A</v>
      </c>
      <c r="AC244" s="97">
        <f t="shared" si="59"/>
        <v>2264.7175225344868</v>
      </c>
      <c r="AE244" s="96">
        <f t="shared" si="60"/>
        <v>206</v>
      </c>
      <c r="AF244" s="97" t="str">
        <f>IFERROR(VLOOKUP(AE244,[1]Cálculos_PRICE!$A$32:$K$212,10,0),"")</f>
        <v/>
      </c>
      <c r="AG244" s="97">
        <f>IFERROR(VLOOKUP(AE244,'Cálculos_CGI - SAC FIXA'!A242:K634,10,0),"")</f>
        <v>2264.7175225344868</v>
      </c>
      <c r="AH244" s="97" t="str">
        <f>IFERROR(VLOOKUP(AE244,[1]Cálculos_PRICE!$A$32:$K$212,6,0),"")</f>
        <v/>
      </c>
      <c r="AI244" s="97">
        <f>IFERROR(VLOOKUP(AE244,'Cálculos_CGI - SAC FIXA'!A242:K634,6,0),"")</f>
        <v>555.55555555555554</v>
      </c>
      <c r="AJ244" s="97" t="str">
        <f>IFERROR(VLOOKUP(AE244,[1]Cálculos_PRICE!$A$32:$K$240,11,0),"")</f>
        <v/>
      </c>
      <c r="AK244" s="97">
        <f>IFERROR(VLOOKUP(AE244,'Cálculos_CGI - SAC FIXA'!A242:K634,11,0),"")</f>
        <v>85555.555555554223</v>
      </c>
      <c r="AN244" s="157">
        <f t="shared" si="56"/>
        <v>5395.9300000013318</v>
      </c>
      <c r="AO244" s="147" t="s">
        <v>325</v>
      </c>
      <c r="AP244" s="147" t="s">
        <v>119</v>
      </c>
      <c r="AQ244" s="148">
        <v>50348</v>
      </c>
      <c r="AR244" s="149">
        <v>92582.59</v>
      </c>
      <c r="AS244" s="149">
        <v>2186.66</v>
      </c>
      <c r="AT244" s="150">
        <v>0</v>
      </c>
      <c r="AU244" s="149">
        <v>1194.32</v>
      </c>
      <c r="AV244" s="150">
        <v>41.29</v>
      </c>
      <c r="AW244" s="149">
        <v>3422.27</v>
      </c>
      <c r="AX244" s="151"/>
    </row>
    <row r="245" spans="1:50" ht="15.5" x14ac:dyDescent="0.35">
      <c r="A245" s="98">
        <f t="shared" si="72"/>
        <v>202</v>
      </c>
      <c r="B245" s="99">
        <f t="shared" ca="1" si="64"/>
        <v>52205</v>
      </c>
      <c r="C245" s="100">
        <f t="shared" si="61"/>
        <v>88333.333333332033</v>
      </c>
      <c r="D245" s="100">
        <f t="shared" si="65"/>
        <v>962.83333333331916</v>
      </c>
      <c r="E245" s="100">
        <f t="shared" si="66"/>
        <v>89296.166666665347</v>
      </c>
      <c r="F245" s="100">
        <f t="shared" si="67"/>
        <v>555.55555555555554</v>
      </c>
      <c r="G245" s="100">
        <f t="shared" si="68"/>
        <v>2224.9119669789316</v>
      </c>
      <c r="H245" s="100">
        <f t="shared" si="69"/>
        <v>20.316666666666368</v>
      </c>
      <c r="I245" s="100">
        <f t="shared" si="62"/>
        <v>20</v>
      </c>
      <c r="J245" s="100">
        <f t="shared" si="70"/>
        <v>2265.2286336455977</v>
      </c>
      <c r="K245" s="101">
        <f t="shared" si="71"/>
        <v>87777.777777776471</v>
      </c>
      <c r="O245" s="118">
        <f t="shared" si="55"/>
        <v>16.666666666666664</v>
      </c>
      <c r="P245" s="119">
        <f t="shared" ca="1" si="63"/>
        <v>30</v>
      </c>
      <c r="Q245" s="120">
        <v>365</v>
      </c>
      <c r="AA245" s="96">
        <f t="shared" si="57"/>
        <v>207</v>
      </c>
      <c r="AB245" s="97" t="e">
        <f t="shared" si="58"/>
        <v>#N/A</v>
      </c>
      <c r="AC245" s="97">
        <f t="shared" si="59"/>
        <v>2264.589744756709</v>
      </c>
      <c r="AE245" s="96">
        <f t="shared" si="60"/>
        <v>207</v>
      </c>
      <c r="AF245" s="97" t="str">
        <f>IFERROR(VLOOKUP(AE245,[1]Cálculos_PRICE!$A$32:$K$212,10,0),"")</f>
        <v/>
      </c>
      <c r="AG245" s="97">
        <f>IFERROR(VLOOKUP(AE245,'Cálculos_CGI - SAC FIXA'!A243:K635,10,0),"")</f>
        <v>2264.589744756709</v>
      </c>
      <c r="AH245" s="97" t="str">
        <f>IFERROR(VLOOKUP(AE245,[1]Cálculos_PRICE!$A$32:$K$212,6,0),"")</f>
        <v/>
      </c>
      <c r="AI245" s="97">
        <f>IFERROR(VLOOKUP(AE245,'Cálculos_CGI - SAC FIXA'!A243:K635,6,0),"")</f>
        <v>555.55555555555554</v>
      </c>
      <c r="AJ245" s="97" t="str">
        <f>IFERROR(VLOOKUP(AE245,[1]Cálculos_PRICE!$A$32:$K$240,11,0),"")</f>
        <v/>
      </c>
      <c r="AK245" s="97">
        <f>IFERROR(VLOOKUP(AE245,'Cálculos_CGI - SAC FIXA'!A243:K635,11,0),"")</f>
        <v>84999.999999998661</v>
      </c>
      <c r="AN245" s="157">
        <f t="shared" si="56"/>
        <v>3736.6155555568985</v>
      </c>
      <c r="AO245" s="152" t="s">
        <v>326</v>
      </c>
      <c r="AP245" s="152" t="s">
        <v>119</v>
      </c>
      <c r="AQ245" s="153">
        <v>50378</v>
      </c>
      <c r="AR245" s="154">
        <v>90395.93</v>
      </c>
      <c r="AS245" s="154">
        <v>2214.87</v>
      </c>
      <c r="AT245" s="155">
        <v>0</v>
      </c>
      <c r="AU245" s="154">
        <v>1166.1099999999999</v>
      </c>
      <c r="AV245" s="155">
        <v>40.79</v>
      </c>
      <c r="AW245" s="154">
        <v>3421.77</v>
      </c>
      <c r="AX245" s="156"/>
    </row>
    <row r="246" spans="1:50" s="124" customFormat="1" ht="15.5" x14ac:dyDescent="0.35">
      <c r="A246" s="98">
        <f t="shared" si="72"/>
        <v>203</v>
      </c>
      <c r="B246" s="99">
        <f t="shared" ca="1" si="64"/>
        <v>52236</v>
      </c>
      <c r="C246" s="100">
        <f t="shared" si="61"/>
        <v>87777.777777776471</v>
      </c>
      <c r="D246" s="100">
        <f t="shared" si="65"/>
        <v>956.7777777777635</v>
      </c>
      <c r="E246" s="100">
        <f t="shared" si="66"/>
        <v>88734.555555554238</v>
      </c>
      <c r="F246" s="100">
        <f t="shared" si="67"/>
        <v>555.55555555555554</v>
      </c>
      <c r="G246" s="100">
        <f t="shared" si="68"/>
        <v>2224.9119669789316</v>
      </c>
      <c r="H246" s="100">
        <f t="shared" si="69"/>
        <v>20.188888888888588</v>
      </c>
      <c r="I246" s="100">
        <f t="shared" si="62"/>
        <v>20</v>
      </c>
      <c r="J246" s="100">
        <f t="shared" si="70"/>
        <v>2265.10085586782</v>
      </c>
      <c r="K246" s="101">
        <f t="shared" si="71"/>
        <v>87222.222222220909</v>
      </c>
      <c r="N246" s="10"/>
      <c r="O246" s="118">
        <f t="shared" si="55"/>
        <v>16.666666666666664</v>
      </c>
      <c r="P246" s="119">
        <f t="shared" ca="1" si="63"/>
        <v>31</v>
      </c>
      <c r="Q246" s="120">
        <v>365</v>
      </c>
      <c r="R246" s="10"/>
      <c r="S246" s="10"/>
      <c r="T246" s="10"/>
      <c r="U246" s="10"/>
      <c r="V246" s="10"/>
      <c r="W246" s="10"/>
      <c r="X246" s="10"/>
      <c r="Y246" s="10"/>
      <c r="AA246" s="96">
        <f t="shared" si="57"/>
        <v>208</v>
      </c>
      <c r="AB246" s="97" t="e">
        <f t="shared" si="58"/>
        <v>#N/A</v>
      </c>
      <c r="AC246" s="97">
        <f t="shared" si="59"/>
        <v>2264.4619669789313</v>
      </c>
      <c r="AE246" s="96">
        <f t="shared" si="60"/>
        <v>208</v>
      </c>
      <c r="AF246" s="97" t="str">
        <f>IFERROR(VLOOKUP(AE246,[1]Cálculos_PRICE!$A$32:$K$212,10,0),"")</f>
        <v/>
      </c>
      <c r="AG246" s="97">
        <f>IFERROR(VLOOKUP(AE246,'Cálculos_CGI - SAC FIXA'!A244:K636,10,0),"")</f>
        <v>2264.4619669789313</v>
      </c>
      <c r="AH246" s="97" t="str">
        <f>IFERROR(VLOOKUP(AE246,[1]Cálculos_PRICE!$A$32:$K$212,6,0),"")</f>
        <v/>
      </c>
      <c r="AI246" s="97">
        <f>IFERROR(VLOOKUP(AE246,'Cálculos_CGI - SAC FIXA'!A244:K636,6,0),"")</f>
        <v>555.55555555555554</v>
      </c>
      <c r="AJ246" s="97" t="str">
        <f>IFERROR(VLOOKUP(AE246,[1]Cálculos_PRICE!$A$32:$K$240,11,0),"")</f>
        <v/>
      </c>
      <c r="AK246" s="97">
        <f>IFERROR(VLOOKUP(AE246,'Cálculos_CGI - SAC FIXA'!A244:K636,11,0),"")</f>
        <v>84444.444444443099</v>
      </c>
      <c r="AN246" s="157">
        <f t="shared" si="56"/>
        <v>2048.7311111124582</v>
      </c>
      <c r="AO246" s="147" t="s">
        <v>327</v>
      </c>
      <c r="AP246" s="147" t="s">
        <v>119</v>
      </c>
      <c r="AQ246" s="148">
        <v>50409</v>
      </c>
      <c r="AR246" s="149">
        <v>88181.06</v>
      </c>
      <c r="AS246" s="149">
        <v>2243.44</v>
      </c>
      <c r="AT246" s="150">
        <v>0</v>
      </c>
      <c r="AU246" s="149">
        <v>1137.54</v>
      </c>
      <c r="AV246" s="150">
        <v>40.28</v>
      </c>
      <c r="AW246" s="149">
        <v>3421.26</v>
      </c>
      <c r="AX246" s="151"/>
    </row>
    <row r="247" spans="1:50" ht="15.5" x14ac:dyDescent="0.35">
      <c r="A247" s="98">
        <f t="shared" si="72"/>
        <v>204</v>
      </c>
      <c r="B247" s="99">
        <f t="shared" ca="1" si="64"/>
        <v>52267</v>
      </c>
      <c r="C247" s="100">
        <f t="shared" si="61"/>
        <v>87222.222222220909</v>
      </c>
      <c r="D247" s="100">
        <f t="shared" si="65"/>
        <v>950.72222222220796</v>
      </c>
      <c r="E247" s="100">
        <f t="shared" si="66"/>
        <v>88172.944444443114</v>
      </c>
      <c r="F247" s="100">
        <f t="shared" si="67"/>
        <v>555.55555555555554</v>
      </c>
      <c r="G247" s="100">
        <f t="shared" si="68"/>
        <v>2224.9119669789316</v>
      </c>
      <c r="H247" s="100">
        <f t="shared" si="69"/>
        <v>20.061111111110808</v>
      </c>
      <c r="I247" s="100">
        <f t="shared" si="62"/>
        <v>20</v>
      </c>
      <c r="J247" s="100">
        <f t="shared" si="70"/>
        <v>2264.9730780900422</v>
      </c>
      <c r="K247" s="101">
        <f t="shared" si="71"/>
        <v>86666.666666665347</v>
      </c>
      <c r="O247" s="118">
        <f t="shared" si="55"/>
        <v>16.666666666666664</v>
      </c>
      <c r="P247" s="119">
        <f t="shared" ca="1" si="63"/>
        <v>31</v>
      </c>
      <c r="Q247" s="120">
        <v>365</v>
      </c>
      <c r="AA247" s="96">
        <f t="shared" si="57"/>
        <v>209</v>
      </c>
      <c r="AB247" s="97" t="e">
        <f t="shared" si="58"/>
        <v>#N/A</v>
      </c>
      <c r="AC247" s="97">
        <f t="shared" si="59"/>
        <v>2264.3341892011535</v>
      </c>
      <c r="AE247" s="96">
        <f t="shared" si="60"/>
        <v>209</v>
      </c>
      <c r="AF247" s="97" t="str">
        <f>IFERROR(VLOOKUP(AE247,[1]Cálculos_PRICE!$A$32:$K$212,10,0),"")</f>
        <v/>
      </c>
      <c r="AG247" s="97">
        <f>IFERROR(VLOOKUP(AE247,'Cálculos_CGI - SAC FIXA'!A245:K637,10,0),"")</f>
        <v>2264.3341892011535</v>
      </c>
      <c r="AH247" s="97" t="str">
        <f>IFERROR(VLOOKUP(AE247,[1]Cálculos_PRICE!$A$32:$K$212,6,0),"")</f>
        <v/>
      </c>
      <c r="AI247" s="97">
        <f>IFERROR(VLOOKUP(AE247,'Cálculos_CGI - SAC FIXA'!A245:K637,6,0),"")</f>
        <v>555.55555555555554</v>
      </c>
      <c r="AJ247" s="97" t="str">
        <f>IFERROR(VLOOKUP(AE247,[1]Cálculos_PRICE!$A$32:$K$240,11,0),"")</f>
        <v/>
      </c>
      <c r="AK247" s="97">
        <f>IFERROR(VLOOKUP(AE247,'Cálculos_CGI - SAC FIXA'!A245:K637,11,0),"")</f>
        <v>83888.888888887537</v>
      </c>
      <c r="AN247" s="157">
        <f t="shared" si="56"/>
        <v>331.90666666803008</v>
      </c>
      <c r="AO247" s="152" t="s">
        <v>328</v>
      </c>
      <c r="AP247" s="152" t="s">
        <v>119</v>
      </c>
      <c r="AQ247" s="153">
        <v>50440</v>
      </c>
      <c r="AR247" s="154">
        <v>85937.62</v>
      </c>
      <c r="AS247" s="154">
        <v>2272.38</v>
      </c>
      <c r="AT247" s="155">
        <v>0</v>
      </c>
      <c r="AU247" s="154">
        <v>1108.5999999999999</v>
      </c>
      <c r="AV247" s="155">
        <v>39.770000000000003</v>
      </c>
      <c r="AW247" s="154">
        <v>3420.75</v>
      </c>
      <c r="AX247" s="156"/>
    </row>
    <row r="248" spans="1:50" ht="15.5" x14ac:dyDescent="0.35">
      <c r="A248" s="98">
        <f t="shared" si="72"/>
        <v>205</v>
      </c>
      <c r="B248" s="99">
        <f t="shared" ca="1" si="64"/>
        <v>52295</v>
      </c>
      <c r="C248" s="100">
        <f t="shared" si="61"/>
        <v>86666.666666665347</v>
      </c>
      <c r="D248" s="100">
        <f t="shared" si="65"/>
        <v>944.6666666666523</v>
      </c>
      <c r="E248" s="100">
        <f t="shared" si="66"/>
        <v>87611.333333332004</v>
      </c>
      <c r="F248" s="100">
        <f t="shared" si="67"/>
        <v>555.55555555555554</v>
      </c>
      <c r="G248" s="100">
        <f t="shared" si="68"/>
        <v>2224.9119669789316</v>
      </c>
      <c r="H248" s="100">
        <f t="shared" si="69"/>
        <v>19.933333333333032</v>
      </c>
      <c r="I248" s="100">
        <f t="shared" si="62"/>
        <v>20</v>
      </c>
      <c r="J248" s="100">
        <f t="shared" si="70"/>
        <v>2264.8453003122645</v>
      </c>
      <c r="K248" s="101">
        <f t="shared" si="71"/>
        <v>86111.111111109785</v>
      </c>
      <c r="O248" s="118">
        <f t="shared" ref="O248:O278" si="73">IFERROR(F248*$O$39,0)</f>
        <v>16.666666666666664</v>
      </c>
      <c r="P248" s="119">
        <f t="shared" ca="1" si="63"/>
        <v>28</v>
      </c>
      <c r="Q248" s="120">
        <v>365</v>
      </c>
      <c r="AA248" s="96">
        <f t="shared" si="57"/>
        <v>210</v>
      </c>
      <c r="AB248" s="97" t="e">
        <f t="shared" si="58"/>
        <v>#N/A</v>
      </c>
      <c r="AC248" s="97">
        <f t="shared" si="59"/>
        <v>2264.2064114233758</v>
      </c>
      <c r="AE248" s="96">
        <f t="shared" si="60"/>
        <v>210</v>
      </c>
      <c r="AF248" s="97" t="str">
        <f>IFERROR(VLOOKUP(AE248,[1]Cálculos_PRICE!$A$32:$K$212,10,0),"")</f>
        <v/>
      </c>
      <c r="AG248" s="97">
        <f>IFERROR(VLOOKUP(AE248,'Cálculos_CGI - SAC FIXA'!A246:K638,10,0),"")</f>
        <v>2264.2064114233758</v>
      </c>
      <c r="AH248" s="97" t="str">
        <f>IFERROR(VLOOKUP(AE248,[1]Cálculos_PRICE!$A$32:$K$212,6,0),"")</f>
        <v/>
      </c>
      <c r="AI248" s="97">
        <f>IFERROR(VLOOKUP(AE248,'Cálculos_CGI - SAC FIXA'!A246:K638,6,0),"")</f>
        <v>555.55555555555554</v>
      </c>
      <c r="AJ248" s="97" t="str">
        <f>IFERROR(VLOOKUP(AE248,[1]Cálculos_PRICE!$A$32:$K$240,11,0),"")</f>
        <v/>
      </c>
      <c r="AK248" s="97">
        <f>IFERROR(VLOOKUP(AE248,'Cálculos_CGI - SAC FIXA'!A246:K638,11,0),"")</f>
        <v>83333.333333331975</v>
      </c>
      <c r="AN248" s="157">
        <f t="shared" si="56"/>
        <v>-1414.2377777764195</v>
      </c>
      <c r="AO248" s="147" t="s">
        <v>329</v>
      </c>
      <c r="AP248" s="147" t="s">
        <v>119</v>
      </c>
      <c r="AQ248" s="148">
        <v>50468</v>
      </c>
      <c r="AR248" s="149">
        <v>83665.240000000005</v>
      </c>
      <c r="AS248" s="149">
        <v>2301.6999999999998</v>
      </c>
      <c r="AT248" s="150">
        <v>0</v>
      </c>
      <c r="AU248" s="149">
        <v>1079.28</v>
      </c>
      <c r="AV248" s="150">
        <v>39.24</v>
      </c>
      <c r="AW248" s="149">
        <v>3420.22</v>
      </c>
      <c r="AX248" s="151"/>
    </row>
    <row r="249" spans="1:50" ht="15.5" x14ac:dyDescent="0.35">
      <c r="A249" s="98">
        <f t="shared" si="72"/>
        <v>206</v>
      </c>
      <c r="B249" s="99">
        <f t="shared" ca="1" si="64"/>
        <v>52326</v>
      </c>
      <c r="C249" s="100">
        <f t="shared" si="61"/>
        <v>86111.111111109785</v>
      </c>
      <c r="D249" s="100">
        <f t="shared" si="65"/>
        <v>938.61111111109665</v>
      </c>
      <c r="E249" s="100">
        <f t="shared" si="66"/>
        <v>87049.72222222088</v>
      </c>
      <c r="F249" s="100">
        <f t="shared" si="67"/>
        <v>555.55555555555554</v>
      </c>
      <c r="G249" s="100">
        <f t="shared" si="68"/>
        <v>2224.9119669789316</v>
      </c>
      <c r="H249" s="100">
        <f t="shared" si="69"/>
        <v>19.805555555555252</v>
      </c>
      <c r="I249" s="100">
        <f t="shared" si="62"/>
        <v>20</v>
      </c>
      <c r="J249" s="100">
        <f t="shared" si="70"/>
        <v>2264.7175225344868</v>
      </c>
      <c r="K249" s="101">
        <f t="shared" si="71"/>
        <v>85555.555555554223</v>
      </c>
      <c r="O249" s="118">
        <f t="shared" si="73"/>
        <v>16.666666666666664</v>
      </c>
      <c r="P249" s="119">
        <f t="shared" ca="1" si="63"/>
        <v>31</v>
      </c>
      <c r="Q249" s="120">
        <v>365</v>
      </c>
      <c r="AA249" s="96">
        <f t="shared" si="57"/>
        <v>211</v>
      </c>
      <c r="AB249" s="97" t="e">
        <f t="shared" si="58"/>
        <v>#N/A</v>
      </c>
      <c r="AC249" s="97">
        <f t="shared" si="59"/>
        <v>2264.0786336455981</v>
      </c>
      <c r="AE249" s="96">
        <f t="shared" si="60"/>
        <v>211</v>
      </c>
      <c r="AF249" s="97" t="str">
        <f>IFERROR(VLOOKUP(AE249,[1]Cálculos_PRICE!$A$32:$K$212,10,0),"")</f>
        <v/>
      </c>
      <c r="AG249" s="97">
        <f>IFERROR(VLOOKUP(AE249,'Cálculos_CGI - SAC FIXA'!A247:K639,10,0),"")</f>
        <v>2264.0786336455981</v>
      </c>
      <c r="AH249" s="97" t="str">
        <f>IFERROR(VLOOKUP(AE249,[1]Cálculos_PRICE!$A$32:$K$212,6,0),"")</f>
        <v/>
      </c>
      <c r="AI249" s="97">
        <f>IFERROR(VLOOKUP(AE249,'Cálculos_CGI - SAC FIXA'!A247:K639,6,0),"")</f>
        <v>555.55555555555554</v>
      </c>
      <c r="AJ249" s="97" t="str">
        <f>IFERROR(VLOOKUP(AE249,[1]Cálculos_PRICE!$A$32:$K$240,11,0),"")</f>
        <v/>
      </c>
      <c r="AK249" s="97">
        <f>IFERROR(VLOOKUP(AE249,'Cálculos_CGI - SAC FIXA'!A247:K639,11,0),"")</f>
        <v>82777.777777776413</v>
      </c>
      <c r="AN249" s="157">
        <f t="shared" si="56"/>
        <v>-3190.0722222208569</v>
      </c>
      <c r="AO249" s="152" t="s">
        <v>330</v>
      </c>
      <c r="AP249" s="152" t="s">
        <v>119</v>
      </c>
      <c r="AQ249" s="153">
        <v>50499</v>
      </c>
      <c r="AR249" s="154">
        <v>81363.539999999994</v>
      </c>
      <c r="AS249" s="154">
        <v>2331.39</v>
      </c>
      <c r="AT249" s="155">
        <v>0</v>
      </c>
      <c r="AU249" s="154">
        <v>1049.5899999999999</v>
      </c>
      <c r="AV249" s="155">
        <v>38.71</v>
      </c>
      <c r="AW249" s="154">
        <v>3419.69</v>
      </c>
      <c r="AX249" s="156"/>
    </row>
    <row r="250" spans="1:50" ht="15.5" x14ac:dyDescent="0.35">
      <c r="A250" s="98">
        <f t="shared" si="72"/>
        <v>207</v>
      </c>
      <c r="B250" s="99">
        <f t="shared" ca="1" si="64"/>
        <v>52356</v>
      </c>
      <c r="C250" s="100">
        <f t="shared" si="61"/>
        <v>85555.555555554223</v>
      </c>
      <c r="D250" s="100">
        <f t="shared" si="65"/>
        <v>932.55555555554099</v>
      </c>
      <c r="E250" s="100">
        <f t="shared" si="66"/>
        <v>86488.111111109771</v>
      </c>
      <c r="F250" s="100">
        <f t="shared" si="67"/>
        <v>555.55555555555554</v>
      </c>
      <c r="G250" s="100">
        <f t="shared" si="68"/>
        <v>2224.9119669789316</v>
      </c>
      <c r="H250" s="100">
        <f t="shared" si="69"/>
        <v>19.677777777777472</v>
      </c>
      <c r="I250" s="100">
        <f t="shared" si="62"/>
        <v>20</v>
      </c>
      <c r="J250" s="100">
        <f t="shared" si="70"/>
        <v>2264.589744756709</v>
      </c>
      <c r="K250" s="101">
        <f t="shared" si="71"/>
        <v>84999.999999998661</v>
      </c>
      <c r="O250" s="118">
        <f t="shared" si="73"/>
        <v>16.666666666666664</v>
      </c>
      <c r="P250" s="119">
        <f t="shared" ca="1" si="63"/>
        <v>30</v>
      </c>
      <c r="Q250" s="120">
        <v>365</v>
      </c>
      <c r="AA250" s="96">
        <f t="shared" si="57"/>
        <v>212</v>
      </c>
      <c r="AB250" s="97" t="e">
        <f t="shared" si="58"/>
        <v>#N/A</v>
      </c>
      <c r="AC250" s="97">
        <f t="shared" si="59"/>
        <v>2263.9508558678203</v>
      </c>
      <c r="AE250" s="96">
        <f t="shared" si="60"/>
        <v>212</v>
      </c>
      <c r="AF250" s="97" t="str">
        <f>IFERROR(VLOOKUP(AE250,[1]Cálculos_PRICE!$A$32:$K$212,10,0),"")</f>
        <v/>
      </c>
      <c r="AG250" s="97">
        <f>IFERROR(VLOOKUP(AE250,'Cálculos_CGI - SAC FIXA'!A248:K640,10,0),"")</f>
        <v>2263.9508558678203</v>
      </c>
      <c r="AH250" s="97" t="str">
        <f>IFERROR(VLOOKUP(AE250,[1]Cálculos_PRICE!$A$32:$K$212,6,0),"")</f>
        <v/>
      </c>
      <c r="AI250" s="97">
        <f>IFERROR(VLOOKUP(AE250,'Cálculos_CGI - SAC FIXA'!A248:K640,6,0),"")</f>
        <v>555.55555555555554</v>
      </c>
      <c r="AJ250" s="97" t="str">
        <f>IFERROR(VLOOKUP(AE250,[1]Cálculos_PRICE!$A$32:$K$240,11,0),"")</f>
        <v/>
      </c>
      <c r="AK250" s="97">
        <f>IFERROR(VLOOKUP(AE250,'Cálculos_CGI - SAC FIXA'!A248:K640,11,0),"")</f>
        <v>82222.222222220851</v>
      </c>
      <c r="AN250" s="157">
        <f t="shared" si="56"/>
        <v>-4995.9866666652961</v>
      </c>
      <c r="AO250" s="147" t="s">
        <v>331</v>
      </c>
      <c r="AP250" s="147" t="s">
        <v>119</v>
      </c>
      <c r="AQ250" s="148">
        <v>50529</v>
      </c>
      <c r="AR250" s="149">
        <v>79032.149999999994</v>
      </c>
      <c r="AS250" s="149">
        <v>2361.4699999999998</v>
      </c>
      <c r="AT250" s="150">
        <v>0</v>
      </c>
      <c r="AU250" s="149">
        <v>1019.51</v>
      </c>
      <c r="AV250" s="150">
        <v>38.18</v>
      </c>
      <c r="AW250" s="149">
        <v>3419.16</v>
      </c>
      <c r="AX250" s="151"/>
    </row>
    <row r="251" spans="1:50" ht="15.5" x14ac:dyDescent="0.35">
      <c r="A251" s="98">
        <f t="shared" si="72"/>
        <v>208</v>
      </c>
      <c r="B251" s="99">
        <f t="shared" ca="1" si="64"/>
        <v>52387</v>
      </c>
      <c r="C251" s="100">
        <f t="shared" si="61"/>
        <v>84999.999999998661</v>
      </c>
      <c r="D251" s="100">
        <f t="shared" si="65"/>
        <v>926.49999999998545</v>
      </c>
      <c r="E251" s="100">
        <f t="shared" si="66"/>
        <v>85926.499999998647</v>
      </c>
      <c r="F251" s="100">
        <f t="shared" si="67"/>
        <v>555.55555555555554</v>
      </c>
      <c r="G251" s="100">
        <f t="shared" si="68"/>
        <v>2224.9119669789316</v>
      </c>
      <c r="H251" s="100">
        <f t="shared" si="69"/>
        <v>19.549999999999692</v>
      </c>
      <c r="I251" s="100">
        <f t="shared" si="62"/>
        <v>20</v>
      </c>
      <c r="J251" s="100">
        <f t="shared" si="70"/>
        <v>2264.4619669789313</v>
      </c>
      <c r="K251" s="101">
        <f t="shared" si="71"/>
        <v>84444.444444443099</v>
      </c>
      <c r="O251" s="118">
        <f t="shared" si="73"/>
        <v>16.666666666666664</v>
      </c>
      <c r="P251" s="119">
        <f t="shared" ca="1" si="63"/>
        <v>31</v>
      </c>
      <c r="Q251" s="120">
        <v>365</v>
      </c>
      <c r="AA251" s="96">
        <f t="shared" si="57"/>
        <v>213</v>
      </c>
      <c r="AB251" s="97" t="e">
        <f t="shared" si="58"/>
        <v>#N/A</v>
      </c>
      <c r="AC251" s="97">
        <f t="shared" si="59"/>
        <v>2263.8230780900421</v>
      </c>
      <c r="AE251" s="96">
        <f t="shared" si="60"/>
        <v>213</v>
      </c>
      <c r="AF251" s="97" t="str">
        <f>IFERROR(VLOOKUP(AE251,[1]Cálculos_PRICE!$A$32:$K$212,10,0),"")</f>
        <v/>
      </c>
      <c r="AG251" s="97">
        <f>IFERROR(VLOOKUP(AE251,'Cálculos_CGI - SAC FIXA'!A249:K641,10,0),"")</f>
        <v>2263.8230780900421</v>
      </c>
      <c r="AH251" s="97" t="str">
        <f>IFERROR(VLOOKUP(AE251,[1]Cálculos_PRICE!$A$32:$K$212,6,0),"")</f>
        <v/>
      </c>
      <c r="AI251" s="97">
        <f>IFERROR(VLOOKUP(AE251,'Cálculos_CGI - SAC FIXA'!A249:K641,6,0),"")</f>
        <v>555.55555555555554</v>
      </c>
      <c r="AJ251" s="97" t="str">
        <f>IFERROR(VLOOKUP(AE251,[1]Cálculos_PRICE!$A$32:$K$240,11,0),"")</f>
        <v/>
      </c>
      <c r="AK251" s="97">
        <f>IFERROR(VLOOKUP(AE251,'Cálculos_CGI - SAC FIXA'!A249:K641,11,0),"")</f>
        <v>81666.666666665289</v>
      </c>
      <c r="AN251" s="157">
        <f t="shared" si="56"/>
        <v>-6832.3611111097271</v>
      </c>
      <c r="AO251" s="152" t="s">
        <v>332</v>
      </c>
      <c r="AP251" s="152" t="s">
        <v>119</v>
      </c>
      <c r="AQ251" s="153">
        <v>50560</v>
      </c>
      <c r="AR251" s="154">
        <v>76670.679999999993</v>
      </c>
      <c r="AS251" s="154">
        <v>2391.9299999999998</v>
      </c>
      <c r="AT251" s="155">
        <v>0</v>
      </c>
      <c r="AU251" s="155">
        <v>989.05</v>
      </c>
      <c r="AV251" s="155">
        <v>37.630000000000003</v>
      </c>
      <c r="AW251" s="154">
        <v>3418.61</v>
      </c>
      <c r="AX251" s="156"/>
    </row>
    <row r="252" spans="1:50" ht="15.5" x14ac:dyDescent="0.35">
      <c r="A252" s="98">
        <f t="shared" si="72"/>
        <v>209</v>
      </c>
      <c r="B252" s="99">
        <f t="shared" ca="1" si="64"/>
        <v>52417</v>
      </c>
      <c r="C252" s="100">
        <f t="shared" si="61"/>
        <v>84444.444444443099</v>
      </c>
      <c r="D252" s="100">
        <f t="shared" si="65"/>
        <v>920.44444444442979</v>
      </c>
      <c r="E252" s="100">
        <f t="shared" si="66"/>
        <v>85364.888888887523</v>
      </c>
      <c r="F252" s="100">
        <f t="shared" si="67"/>
        <v>555.55555555555554</v>
      </c>
      <c r="G252" s="100">
        <f t="shared" si="68"/>
        <v>2224.9119669789316</v>
      </c>
      <c r="H252" s="100">
        <f t="shared" si="69"/>
        <v>19.422222222221912</v>
      </c>
      <c r="I252" s="100">
        <f t="shared" si="62"/>
        <v>20</v>
      </c>
      <c r="J252" s="100">
        <f t="shared" si="70"/>
        <v>2264.3341892011535</v>
      </c>
      <c r="K252" s="101">
        <f t="shared" si="71"/>
        <v>83888.888888887537</v>
      </c>
      <c r="O252" s="118">
        <f t="shared" si="73"/>
        <v>16.666666666666664</v>
      </c>
      <c r="P252" s="119">
        <f t="shared" ca="1" si="63"/>
        <v>30</v>
      </c>
      <c r="Q252" s="120">
        <v>365</v>
      </c>
      <c r="AA252" s="96">
        <f t="shared" si="57"/>
        <v>214</v>
      </c>
      <c r="AB252" s="97" t="e">
        <f t="shared" si="58"/>
        <v>#N/A</v>
      </c>
      <c r="AC252" s="97">
        <f t="shared" si="59"/>
        <v>2263.6953003122644</v>
      </c>
      <c r="AE252" s="96">
        <f t="shared" si="60"/>
        <v>214</v>
      </c>
      <c r="AF252" s="97" t="str">
        <f>IFERROR(VLOOKUP(AE252,[1]Cálculos_PRICE!$A$32:$K$212,10,0),"")</f>
        <v/>
      </c>
      <c r="AG252" s="97">
        <f>IFERROR(VLOOKUP(AE252,'Cálculos_CGI - SAC FIXA'!A250:K642,10,0),"")</f>
        <v>2263.6953003122644</v>
      </c>
      <c r="AH252" s="97" t="str">
        <f>IFERROR(VLOOKUP(AE252,[1]Cálculos_PRICE!$A$32:$K$212,6,0),"")</f>
        <v/>
      </c>
      <c r="AI252" s="97">
        <f>IFERROR(VLOOKUP(AE252,'Cálculos_CGI - SAC FIXA'!A250:K642,6,0),"")</f>
        <v>555.55555555555554</v>
      </c>
      <c r="AJ252" s="97" t="str">
        <f>IFERROR(VLOOKUP(AE252,[1]Cálculos_PRICE!$A$32:$K$240,11,0),"")</f>
        <v/>
      </c>
      <c r="AK252" s="97">
        <f>IFERROR(VLOOKUP(AE252,'Cálculos_CGI - SAC FIXA'!A250:K642,11,0),"")</f>
        <v>81111.111111109727</v>
      </c>
      <c r="AN252" s="157">
        <f t="shared" si="56"/>
        <v>-8699.5855555541639</v>
      </c>
      <c r="AO252" s="147" t="s">
        <v>333</v>
      </c>
      <c r="AP252" s="147" t="s">
        <v>119</v>
      </c>
      <c r="AQ252" s="148">
        <v>50590</v>
      </c>
      <c r="AR252" s="149">
        <v>74278.75</v>
      </c>
      <c r="AS252" s="149">
        <v>2422.7800000000002</v>
      </c>
      <c r="AT252" s="150">
        <v>0</v>
      </c>
      <c r="AU252" s="150">
        <v>958.2</v>
      </c>
      <c r="AV252" s="150">
        <v>37.08</v>
      </c>
      <c r="AW252" s="149">
        <v>3418.06</v>
      </c>
      <c r="AX252" s="151"/>
    </row>
    <row r="253" spans="1:50" ht="15.5" x14ac:dyDescent="0.35">
      <c r="A253" s="98">
        <f t="shared" si="72"/>
        <v>210</v>
      </c>
      <c r="B253" s="99">
        <f t="shared" ca="1" si="64"/>
        <v>52448</v>
      </c>
      <c r="C253" s="100">
        <f t="shared" si="61"/>
        <v>83888.888888887537</v>
      </c>
      <c r="D253" s="100">
        <f t="shared" si="65"/>
        <v>914.38888888887413</v>
      </c>
      <c r="E253" s="100">
        <f t="shared" si="66"/>
        <v>84803.277777776413</v>
      </c>
      <c r="F253" s="100">
        <f t="shared" si="67"/>
        <v>555.55555555555554</v>
      </c>
      <c r="G253" s="100">
        <f t="shared" si="68"/>
        <v>2224.9119669789316</v>
      </c>
      <c r="H253" s="100">
        <f t="shared" si="69"/>
        <v>19.294444444444135</v>
      </c>
      <c r="I253" s="100">
        <f t="shared" si="62"/>
        <v>20</v>
      </c>
      <c r="J253" s="100">
        <f t="shared" si="70"/>
        <v>2264.2064114233758</v>
      </c>
      <c r="K253" s="101">
        <f t="shared" si="71"/>
        <v>83333.333333331975</v>
      </c>
      <c r="O253" s="118">
        <f t="shared" si="73"/>
        <v>16.666666666666664</v>
      </c>
      <c r="P253" s="119">
        <f t="shared" ca="1" si="63"/>
        <v>31</v>
      </c>
      <c r="Q253" s="120">
        <v>365</v>
      </c>
      <c r="AA253" s="96">
        <f t="shared" si="57"/>
        <v>215</v>
      </c>
      <c r="AB253" s="97" t="e">
        <f t="shared" si="58"/>
        <v>#N/A</v>
      </c>
      <c r="AC253" s="97">
        <f t="shared" si="59"/>
        <v>2263.5675225344867</v>
      </c>
      <c r="AE253" s="96">
        <f t="shared" si="60"/>
        <v>215</v>
      </c>
      <c r="AF253" s="97" t="str">
        <f>IFERROR(VLOOKUP(AE253,[1]Cálculos_PRICE!$A$32:$K$212,10,0),"")</f>
        <v/>
      </c>
      <c r="AG253" s="97">
        <f>IFERROR(VLOOKUP(AE253,'Cálculos_CGI - SAC FIXA'!A251:K643,10,0),"")</f>
        <v>2263.5675225344867</v>
      </c>
      <c r="AH253" s="97" t="str">
        <f>IFERROR(VLOOKUP(AE253,[1]Cálculos_PRICE!$A$32:$K$212,6,0),"")</f>
        <v/>
      </c>
      <c r="AI253" s="97">
        <f>IFERROR(VLOOKUP(AE253,'Cálculos_CGI - SAC FIXA'!A251:K643,6,0),"")</f>
        <v>555.55555555555554</v>
      </c>
      <c r="AJ253" s="97" t="str">
        <f>IFERROR(VLOOKUP(AE253,[1]Cálculos_PRICE!$A$32:$K$240,11,0),"")</f>
        <v/>
      </c>
      <c r="AK253" s="97">
        <f>IFERROR(VLOOKUP(AE253,'Cálculos_CGI - SAC FIXA'!A251:K643,11,0),"")</f>
        <v>80555.555555554165</v>
      </c>
      <c r="AN253" s="157">
        <f t="shared" si="56"/>
        <v>-10598.06999999861</v>
      </c>
      <c r="AO253" s="152" t="s">
        <v>334</v>
      </c>
      <c r="AP253" s="152" t="s">
        <v>119</v>
      </c>
      <c r="AQ253" s="153">
        <v>50621</v>
      </c>
      <c r="AR253" s="154">
        <v>71855.97</v>
      </c>
      <c r="AS253" s="154">
        <v>2454.04</v>
      </c>
      <c r="AT253" s="155">
        <v>0</v>
      </c>
      <c r="AU253" s="155">
        <v>926.94</v>
      </c>
      <c r="AV253" s="155">
        <v>36.53</v>
      </c>
      <c r="AW253" s="154">
        <v>3417.51</v>
      </c>
      <c r="AX253" s="156"/>
    </row>
    <row r="254" spans="1:50" ht="15.5" x14ac:dyDescent="0.35">
      <c r="A254" s="98">
        <f t="shared" si="72"/>
        <v>211</v>
      </c>
      <c r="B254" s="99">
        <f t="shared" ca="1" si="64"/>
        <v>52479</v>
      </c>
      <c r="C254" s="100">
        <f t="shared" si="61"/>
        <v>83333.333333331975</v>
      </c>
      <c r="D254" s="100">
        <f t="shared" si="65"/>
        <v>908.33333333331848</v>
      </c>
      <c r="E254" s="100">
        <f t="shared" si="66"/>
        <v>84241.666666665289</v>
      </c>
      <c r="F254" s="100">
        <f t="shared" si="67"/>
        <v>555.55555555555554</v>
      </c>
      <c r="G254" s="100">
        <f t="shared" si="68"/>
        <v>2224.9119669789316</v>
      </c>
      <c r="H254" s="100">
        <f t="shared" si="69"/>
        <v>19.166666666666355</v>
      </c>
      <c r="I254" s="100">
        <f t="shared" si="62"/>
        <v>20</v>
      </c>
      <c r="J254" s="100">
        <f t="shared" si="70"/>
        <v>2264.0786336455981</v>
      </c>
      <c r="K254" s="101">
        <f t="shared" si="71"/>
        <v>82777.777777776413</v>
      </c>
      <c r="O254" s="118">
        <f t="shared" si="73"/>
        <v>16.666666666666664</v>
      </c>
      <c r="P254" s="119">
        <f t="shared" ca="1" si="63"/>
        <v>31</v>
      </c>
      <c r="Q254" s="120">
        <v>365</v>
      </c>
      <c r="AA254" s="96">
        <f t="shared" si="57"/>
        <v>216</v>
      </c>
      <c r="AB254" s="97" t="e">
        <f t="shared" si="58"/>
        <v>#N/A</v>
      </c>
      <c r="AC254" s="97">
        <f t="shared" si="59"/>
        <v>2263.4397447567089</v>
      </c>
      <c r="AE254" s="96">
        <f t="shared" si="60"/>
        <v>216</v>
      </c>
      <c r="AF254" s="97" t="str">
        <f>IFERROR(VLOOKUP(AE254,[1]Cálculos_PRICE!$A$32:$K$212,10,0),"")</f>
        <v/>
      </c>
      <c r="AG254" s="97">
        <f>IFERROR(VLOOKUP(AE254,'Cálculos_CGI - SAC FIXA'!A252:K644,10,0),"")</f>
        <v>2263.4397447567089</v>
      </c>
      <c r="AH254" s="97" t="str">
        <f>IFERROR(VLOOKUP(AE254,[1]Cálculos_PRICE!$A$32:$K$212,6,0),"")</f>
        <v/>
      </c>
      <c r="AI254" s="97">
        <f>IFERROR(VLOOKUP(AE254,'Cálculos_CGI - SAC FIXA'!A252:K644,6,0),"")</f>
        <v>555.55555555555554</v>
      </c>
      <c r="AJ254" s="97" t="str">
        <f>IFERROR(VLOOKUP(AE254,[1]Cálculos_PRICE!$A$32:$K$240,11,0),"")</f>
        <v/>
      </c>
      <c r="AK254" s="97">
        <f>IFERROR(VLOOKUP(AE254,'Cálculos_CGI - SAC FIXA'!A252:K644,11,0),"")</f>
        <v>79999.999999998603</v>
      </c>
      <c r="AN254" s="157">
        <f t="shared" si="56"/>
        <v>-12528.214444443045</v>
      </c>
      <c r="AO254" s="147" t="s">
        <v>335</v>
      </c>
      <c r="AP254" s="147" t="s">
        <v>119</v>
      </c>
      <c r="AQ254" s="148">
        <v>50652</v>
      </c>
      <c r="AR254" s="149">
        <v>69401.929999999993</v>
      </c>
      <c r="AS254" s="149">
        <v>2485.6999999999998</v>
      </c>
      <c r="AT254" s="150">
        <v>0</v>
      </c>
      <c r="AU254" s="150">
        <v>895.28</v>
      </c>
      <c r="AV254" s="150">
        <v>35.96</v>
      </c>
      <c r="AW254" s="149">
        <v>3416.94</v>
      </c>
      <c r="AX254" s="151"/>
    </row>
    <row r="255" spans="1:50" ht="15.5" x14ac:dyDescent="0.35">
      <c r="A255" s="98">
        <f t="shared" si="72"/>
        <v>212</v>
      </c>
      <c r="B255" s="99">
        <f t="shared" ca="1" si="64"/>
        <v>52509</v>
      </c>
      <c r="C255" s="100">
        <f t="shared" si="61"/>
        <v>82777.777777776413</v>
      </c>
      <c r="D255" s="100">
        <f t="shared" si="65"/>
        <v>902.27777777776294</v>
      </c>
      <c r="E255" s="100">
        <f t="shared" si="66"/>
        <v>83680.05555555418</v>
      </c>
      <c r="F255" s="100">
        <f t="shared" si="67"/>
        <v>555.55555555555554</v>
      </c>
      <c r="G255" s="100">
        <f t="shared" si="68"/>
        <v>2224.9119669789316</v>
      </c>
      <c r="H255" s="100">
        <f t="shared" si="69"/>
        <v>19.038888888888575</v>
      </c>
      <c r="I255" s="100">
        <f t="shared" si="62"/>
        <v>20</v>
      </c>
      <c r="J255" s="100">
        <f t="shared" si="70"/>
        <v>2263.9508558678203</v>
      </c>
      <c r="K255" s="101">
        <f t="shared" si="71"/>
        <v>82222.222222220851</v>
      </c>
      <c r="O255" s="118">
        <f t="shared" si="73"/>
        <v>16.666666666666664</v>
      </c>
      <c r="P255" s="119">
        <f t="shared" ca="1" si="63"/>
        <v>30</v>
      </c>
      <c r="Q255" s="120">
        <v>365</v>
      </c>
      <c r="W255" s="124"/>
      <c r="AA255" s="96">
        <f t="shared" si="57"/>
        <v>217</v>
      </c>
      <c r="AB255" s="97" t="e">
        <f t="shared" si="58"/>
        <v>#N/A</v>
      </c>
      <c r="AC255" s="97">
        <f t="shared" si="59"/>
        <v>2263.3119669789312</v>
      </c>
      <c r="AE255" s="96">
        <f t="shared" si="60"/>
        <v>217</v>
      </c>
      <c r="AF255" s="97" t="str">
        <f>IFERROR(VLOOKUP(AE255,[1]Cálculos_PRICE!$A$32:$K$212,10,0),"")</f>
        <v/>
      </c>
      <c r="AG255" s="97">
        <f>IFERROR(VLOOKUP(AE255,'Cálculos_CGI - SAC FIXA'!A253:K645,10,0),"")</f>
        <v>2263.3119669789312</v>
      </c>
      <c r="AH255" s="97" t="str">
        <f>IFERROR(VLOOKUP(AE255,[1]Cálculos_PRICE!$A$32:$K$212,6,0),"")</f>
        <v/>
      </c>
      <c r="AI255" s="97">
        <f>IFERROR(VLOOKUP(AE255,'Cálculos_CGI - SAC FIXA'!A253:K645,6,0),"")</f>
        <v>555.55555555555554</v>
      </c>
      <c r="AJ255" s="97" t="str">
        <f>IFERROR(VLOOKUP(AE255,[1]Cálculos_PRICE!$A$32:$K$240,11,0),"")</f>
        <v/>
      </c>
      <c r="AK255" s="97">
        <f>IFERROR(VLOOKUP(AE255,'Cálculos_CGI - SAC FIXA'!A253:K645,11,0),"")</f>
        <v>79444.444444443041</v>
      </c>
      <c r="AN255" s="157">
        <f t="shared" si="56"/>
        <v>-14490.418888887478</v>
      </c>
      <c r="AO255" s="152" t="s">
        <v>336</v>
      </c>
      <c r="AP255" s="152" t="s">
        <v>119</v>
      </c>
      <c r="AQ255" s="153">
        <v>50682</v>
      </c>
      <c r="AR255" s="154">
        <v>66916.23</v>
      </c>
      <c r="AS255" s="154">
        <v>2517.7600000000002</v>
      </c>
      <c r="AT255" s="155">
        <v>0</v>
      </c>
      <c r="AU255" s="155">
        <v>863.22</v>
      </c>
      <c r="AV255" s="155">
        <v>35.39</v>
      </c>
      <c r="AW255" s="154">
        <v>3416.37</v>
      </c>
      <c r="AX255" s="156"/>
    </row>
    <row r="256" spans="1:50" ht="15.5" x14ac:dyDescent="0.35">
      <c r="A256" s="98">
        <f t="shared" si="72"/>
        <v>213</v>
      </c>
      <c r="B256" s="99">
        <f t="shared" ca="1" si="64"/>
        <v>52540</v>
      </c>
      <c r="C256" s="100">
        <f t="shared" si="61"/>
        <v>82222.222222220851</v>
      </c>
      <c r="D256" s="100">
        <f t="shared" si="65"/>
        <v>896.22222222220728</v>
      </c>
      <c r="E256" s="100">
        <f t="shared" si="66"/>
        <v>83118.444444443056</v>
      </c>
      <c r="F256" s="100">
        <f t="shared" si="67"/>
        <v>555.55555555555554</v>
      </c>
      <c r="G256" s="100">
        <f t="shared" si="68"/>
        <v>2224.9119669789316</v>
      </c>
      <c r="H256" s="100">
        <f t="shared" si="69"/>
        <v>18.911111111110795</v>
      </c>
      <c r="I256" s="100">
        <f t="shared" si="62"/>
        <v>20</v>
      </c>
      <c r="J256" s="100">
        <f t="shared" si="70"/>
        <v>2263.8230780900421</v>
      </c>
      <c r="K256" s="101">
        <f t="shared" si="71"/>
        <v>81666.666666665289</v>
      </c>
      <c r="O256" s="118">
        <f t="shared" si="73"/>
        <v>16.666666666666664</v>
      </c>
      <c r="P256" s="119">
        <f t="shared" ca="1" si="63"/>
        <v>31</v>
      </c>
      <c r="Q256" s="120">
        <v>365</v>
      </c>
      <c r="V256" s="124"/>
      <c r="AA256" s="96">
        <f t="shared" si="57"/>
        <v>218</v>
      </c>
      <c r="AB256" s="97" t="e">
        <f t="shared" si="58"/>
        <v>#N/A</v>
      </c>
      <c r="AC256" s="97">
        <f t="shared" si="59"/>
        <v>2263.1841892011535</v>
      </c>
      <c r="AE256" s="96">
        <f t="shared" si="60"/>
        <v>218</v>
      </c>
      <c r="AF256" s="97" t="str">
        <f>IFERROR(VLOOKUP(AE256,[1]Cálculos_PRICE!$A$32:$K$212,10,0),"")</f>
        <v/>
      </c>
      <c r="AG256" s="97">
        <f>IFERROR(VLOOKUP(AE256,'Cálculos_CGI - SAC FIXA'!A254:K646,10,0),"")</f>
        <v>2263.1841892011535</v>
      </c>
      <c r="AH256" s="97" t="str">
        <f>IFERROR(VLOOKUP(AE256,[1]Cálculos_PRICE!$A$32:$K$212,6,0),"")</f>
        <v/>
      </c>
      <c r="AI256" s="97">
        <f>IFERROR(VLOOKUP(AE256,'Cálculos_CGI - SAC FIXA'!A254:K646,6,0),"")</f>
        <v>555.55555555555554</v>
      </c>
      <c r="AJ256" s="97" t="str">
        <f>IFERROR(VLOOKUP(AE256,[1]Cálculos_PRICE!$A$32:$K$240,11,0),"")</f>
        <v/>
      </c>
      <c r="AK256" s="97">
        <f>IFERROR(VLOOKUP(AE256,'Cálculos_CGI - SAC FIXA'!A254:K646,11,0),"")</f>
        <v>78888.888888887479</v>
      </c>
      <c r="AN256" s="157">
        <f t="shared" si="56"/>
        <v>-16485.103333331914</v>
      </c>
      <c r="AO256" s="147" t="s">
        <v>337</v>
      </c>
      <c r="AP256" s="147" t="s">
        <v>119</v>
      </c>
      <c r="AQ256" s="148">
        <v>50713</v>
      </c>
      <c r="AR256" s="149">
        <v>64398.47</v>
      </c>
      <c r="AS256" s="149">
        <v>2550.2399999999998</v>
      </c>
      <c r="AT256" s="150">
        <v>0</v>
      </c>
      <c r="AU256" s="150">
        <v>830.74</v>
      </c>
      <c r="AV256" s="150">
        <v>34.81</v>
      </c>
      <c r="AW256" s="149">
        <v>3415.79</v>
      </c>
      <c r="AX256" s="151"/>
    </row>
    <row r="257" spans="1:50" ht="15.5" x14ac:dyDescent="0.35">
      <c r="A257" s="98">
        <f t="shared" si="72"/>
        <v>214</v>
      </c>
      <c r="B257" s="99">
        <f t="shared" ca="1" si="64"/>
        <v>52570</v>
      </c>
      <c r="C257" s="100">
        <f t="shared" si="61"/>
        <v>81666.666666665289</v>
      </c>
      <c r="D257" s="100">
        <f t="shared" si="65"/>
        <v>890.16666666665162</v>
      </c>
      <c r="E257" s="100">
        <f t="shared" si="66"/>
        <v>82556.833333331946</v>
      </c>
      <c r="F257" s="100">
        <f t="shared" si="67"/>
        <v>555.55555555555554</v>
      </c>
      <c r="G257" s="100">
        <f t="shared" si="68"/>
        <v>2224.9119669789316</v>
      </c>
      <c r="H257" s="100">
        <f t="shared" si="69"/>
        <v>18.783333333333019</v>
      </c>
      <c r="I257" s="100">
        <f t="shared" si="62"/>
        <v>20</v>
      </c>
      <c r="J257" s="100">
        <f t="shared" si="70"/>
        <v>2263.6953003122644</v>
      </c>
      <c r="K257" s="101">
        <f t="shared" si="71"/>
        <v>81111.111111109727</v>
      </c>
      <c r="O257" s="118">
        <f t="shared" si="73"/>
        <v>16.666666666666664</v>
      </c>
      <c r="P257" s="119">
        <f t="shared" ca="1" si="63"/>
        <v>30</v>
      </c>
      <c r="Q257" s="120">
        <v>365</v>
      </c>
      <c r="T257" s="124"/>
      <c r="U257" s="124"/>
      <c r="AA257" s="96">
        <f t="shared" si="57"/>
        <v>219</v>
      </c>
      <c r="AB257" s="97" t="e">
        <f t="shared" si="58"/>
        <v>#N/A</v>
      </c>
      <c r="AC257" s="97">
        <f t="shared" si="59"/>
        <v>2263.0564114233757</v>
      </c>
      <c r="AE257" s="96">
        <f t="shared" si="60"/>
        <v>219</v>
      </c>
      <c r="AF257" s="97" t="str">
        <f>IFERROR(VLOOKUP(AE257,[1]Cálculos_PRICE!$A$32:$K$212,10,0),"")</f>
        <v/>
      </c>
      <c r="AG257" s="97">
        <f>IFERROR(VLOOKUP(AE257,'Cálculos_CGI - SAC FIXA'!A255:K647,10,0),"")</f>
        <v>2263.0564114233757</v>
      </c>
      <c r="AH257" s="97" t="str">
        <f>IFERROR(VLOOKUP(AE257,[1]Cálculos_PRICE!$A$32:$K$212,6,0),"")</f>
        <v/>
      </c>
      <c r="AI257" s="97">
        <f>IFERROR(VLOOKUP(AE257,'Cálculos_CGI - SAC FIXA'!A255:K647,6,0),"")</f>
        <v>555.55555555555554</v>
      </c>
      <c r="AJ257" s="97" t="str">
        <f>IFERROR(VLOOKUP(AE257,[1]Cálculos_PRICE!$A$32:$K$240,11,0),"")</f>
        <v/>
      </c>
      <c r="AK257" s="97">
        <f>IFERROR(VLOOKUP(AE257,'Cálculos_CGI - SAC FIXA'!A255:K647,11,0),"")</f>
        <v>78333.333333331917</v>
      </c>
      <c r="AN257" s="157">
        <f t="shared" si="56"/>
        <v>-18512.687777776358</v>
      </c>
      <c r="AO257" s="152" t="s">
        <v>338</v>
      </c>
      <c r="AP257" s="152" t="s">
        <v>119</v>
      </c>
      <c r="AQ257" s="153">
        <v>50743</v>
      </c>
      <c r="AR257" s="154">
        <v>61848.23</v>
      </c>
      <c r="AS257" s="154">
        <v>2583.14</v>
      </c>
      <c r="AT257" s="155">
        <v>0</v>
      </c>
      <c r="AU257" s="155">
        <v>797.84</v>
      </c>
      <c r="AV257" s="155">
        <v>34.229999999999997</v>
      </c>
      <c r="AW257" s="154">
        <v>3415.21</v>
      </c>
      <c r="AX257" s="156"/>
    </row>
    <row r="258" spans="1:50" ht="15.5" x14ac:dyDescent="0.35">
      <c r="A258" s="98">
        <f t="shared" si="72"/>
        <v>215</v>
      </c>
      <c r="B258" s="99">
        <f t="shared" ca="1" si="64"/>
        <v>52601</v>
      </c>
      <c r="C258" s="100">
        <f t="shared" si="61"/>
        <v>81111.111111109727</v>
      </c>
      <c r="D258" s="100">
        <f t="shared" si="65"/>
        <v>884.11111111109597</v>
      </c>
      <c r="E258" s="100">
        <f t="shared" si="66"/>
        <v>81995.222222220822</v>
      </c>
      <c r="F258" s="100">
        <f t="shared" si="67"/>
        <v>555.55555555555554</v>
      </c>
      <c r="G258" s="100">
        <f t="shared" si="68"/>
        <v>2224.9119669789316</v>
      </c>
      <c r="H258" s="100">
        <f t="shared" si="69"/>
        <v>18.655555555555239</v>
      </c>
      <c r="I258" s="100">
        <f t="shared" si="62"/>
        <v>20</v>
      </c>
      <c r="J258" s="100">
        <f t="shared" si="70"/>
        <v>2263.5675225344867</v>
      </c>
      <c r="K258" s="101">
        <f t="shared" si="71"/>
        <v>80555.555555554165</v>
      </c>
      <c r="O258" s="118">
        <f t="shared" si="73"/>
        <v>16.666666666666664</v>
      </c>
      <c r="P258" s="119">
        <f t="shared" ca="1" si="63"/>
        <v>31</v>
      </c>
      <c r="Q258" s="120">
        <v>365</v>
      </c>
      <c r="AA258" s="96">
        <f t="shared" si="57"/>
        <v>220</v>
      </c>
      <c r="AB258" s="97" t="e">
        <f t="shared" si="58"/>
        <v>#N/A</v>
      </c>
      <c r="AC258" s="97">
        <f t="shared" si="59"/>
        <v>2262.928633645598</v>
      </c>
      <c r="AE258" s="96">
        <f t="shared" si="60"/>
        <v>220</v>
      </c>
      <c r="AF258" s="97" t="str">
        <f>IFERROR(VLOOKUP(AE258,[1]Cálculos_PRICE!$A$32:$K$212,10,0),"")</f>
        <v/>
      </c>
      <c r="AG258" s="97">
        <f>IFERROR(VLOOKUP(AE258,'Cálculos_CGI - SAC FIXA'!A256:K648,10,0),"")</f>
        <v>2262.928633645598</v>
      </c>
      <c r="AH258" s="97" t="str">
        <f>IFERROR(VLOOKUP(AE258,[1]Cálculos_PRICE!$A$32:$K$212,6,0),"")</f>
        <v/>
      </c>
      <c r="AI258" s="97">
        <f>IFERROR(VLOOKUP(AE258,'Cálculos_CGI - SAC FIXA'!A256:K648,6,0),"")</f>
        <v>555.55555555555554</v>
      </c>
      <c r="AJ258" s="97" t="str">
        <f>IFERROR(VLOOKUP(AE258,[1]Cálculos_PRICE!$A$32:$K$240,11,0),"")</f>
        <v/>
      </c>
      <c r="AK258" s="97">
        <f>IFERROR(VLOOKUP(AE258,'Cálculos_CGI - SAC FIXA'!A256:K648,11,0),"")</f>
        <v>77777.777777776355</v>
      </c>
      <c r="AN258" s="157">
        <f t="shared" si="56"/>
        <v>-20573.592222220796</v>
      </c>
      <c r="AO258" s="147" t="s">
        <v>339</v>
      </c>
      <c r="AP258" s="147" t="s">
        <v>119</v>
      </c>
      <c r="AQ258" s="148">
        <v>50774</v>
      </c>
      <c r="AR258" s="149">
        <v>59265.09</v>
      </c>
      <c r="AS258" s="149">
        <v>2616.46</v>
      </c>
      <c r="AT258" s="150">
        <v>0</v>
      </c>
      <c r="AU258" s="150">
        <v>764.52</v>
      </c>
      <c r="AV258" s="150">
        <v>33.630000000000003</v>
      </c>
      <c r="AW258" s="149">
        <v>3414.61</v>
      </c>
      <c r="AX258" s="151"/>
    </row>
    <row r="259" spans="1:50" ht="15.5" x14ac:dyDescent="0.35">
      <c r="A259" s="98">
        <f t="shared" si="72"/>
        <v>216</v>
      </c>
      <c r="B259" s="99">
        <f t="shared" ca="1" si="64"/>
        <v>52632</v>
      </c>
      <c r="C259" s="100">
        <f t="shared" si="61"/>
        <v>80555.555555554165</v>
      </c>
      <c r="D259" s="100">
        <f t="shared" si="65"/>
        <v>878.05555555554042</v>
      </c>
      <c r="E259" s="100">
        <f t="shared" si="66"/>
        <v>81433.611111109713</v>
      </c>
      <c r="F259" s="100">
        <f t="shared" si="67"/>
        <v>555.55555555555554</v>
      </c>
      <c r="G259" s="100">
        <f t="shared" si="68"/>
        <v>2224.9119669789316</v>
      </c>
      <c r="H259" s="100">
        <f t="shared" si="69"/>
        <v>18.527777777777459</v>
      </c>
      <c r="I259" s="100">
        <f t="shared" si="62"/>
        <v>20</v>
      </c>
      <c r="J259" s="100">
        <f t="shared" si="70"/>
        <v>2263.4397447567089</v>
      </c>
      <c r="K259" s="101">
        <f t="shared" si="71"/>
        <v>79999.999999998603</v>
      </c>
      <c r="O259" s="118">
        <f t="shared" si="73"/>
        <v>16.666666666666664</v>
      </c>
      <c r="P259" s="119">
        <f t="shared" ca="1" si="63"/>
        <v>31</v>
      </c>
      <c r="Q259" s="120">
        <v>365</v>
      </c>
      <c r="AA259" s="96">
        <f t="shared" si="57"/>
        <v>221</v>
      </c>
      <c r="AB259" s="97" t="e">
        <f t="shared" si="58"/>
        <v>#N/A</v>
      </c>
      <c r="AC259" s="97">
        <f t="shared" si="59"/>
        <v>2262.8008558678202</v>
      </c>
      <c r="AE259" s="96">
        <f t="shared" si="60"/>
        <v>221</v>
      </c>
      <c r="AF259" s="97" t="str">
        <f>IFERROR(VLOOKUP(AE259,[1]Cálculos_PRICE!$A$32:$K$212,10,0),"")</f>
        <v/>
      </c>
      <c r="AG259" s="97">
        <f>IFERROR(VLOOKUP(AE259,'Cálculos_CGI - SAC FIXA'!A257:K649,10,0),"")</f>
        <v>2262.8008558678202</v>
      </c>
      <c r="AH259" s="97" t="str">
        <f>IFERROR(VLOOKUP(AE259,[1]Cálculos_PRICE!$A$32:$K$212,6,0),"")</f>
        <v/>
      </c>
      <c r="AI259" s="97">
        <f>IFERROR(VLOOKUP(AE259,'Cálculos_CGI - SAC FIXA'!A257:K649,6,0),"")</f>
        <v>555.55555555555554</v>
      </c>
      <c r="AJ259" s="97" t="str">
        <f>IFERROR(VLOOKUP(AE259,[1]Cálculos_PRICE!$A$32:$K$240,11,0),"")</f>
        <v/>
      </c>
      <c r="AK259" s="97">
        <f>IFERROR(VLOOKUP(AE259,'Cálculos_CGI - SAC FIXA'!A257:K649,11,0),"")</f>
        <v>77222.222222220793</v>
      </c>
      <c r="AN259" s="157">
        <f t="shared" si="56"/>
        <v>-22668.246666665233</v>
      </c>
      <c r="AO259" s="152" t="s">
        <v>340</v>
      </c>
      <c r="AP259" s="152" t="s">
        <v>119</v>
      </c>
      <c r="AQ259" s="153">
        <v>50805</v>
      </c>
      <c r="AR259" s="154">
        <v>56648.63</v>
      </c>
      <c r="AS259" s="154">
        <v>2650.21</v>
      </c>
      <c r="AT259" s="155">
        <v>0</v>
      </c>
      <c r="AU259" s="155">
        <v>730.77</v>
      </c>
      <c r="AV259" s="155">
        <v>33.03</v>
      </c>
      <c r="AW259" s="154">
        <v>3414.01</v>
      </c>
      <c r="AX259" s="156"/>
    </row>
    <row r="260" spans="1:50" ht="15.5" x14ac:dyDescent="0.35">
      <c r="A260" s="98">
        <f t="shared" si="72"/>
        <v>217</v>
      </c>
      <c r="B260" s="99">
        <f t="shared" ca="1" si="64"/>
        <v>52661</v>
      </c>
      <c r="C260" s="100">
        <f t="shared" si="61"/>
        <v>79999.999999998603</v>
      </c>
      <c r="D260" s="100">
        <f t="shared" si="65"/>
        <v>871.99999999998477</v>
      </c>
      <c r="E260" s="100">
        <f t="shared" si="66"/>
        <v>80871.999999998588</v>
      </c>
      <c r="F260" s="100">
        <f t="shared" si="67"/>
        <v>555.55555555555554</v>
      </c>
      <c r="G260" s="100">
        <f t="shared" si="68"/>
        <v>2224.9119669789316</v>
      </c>
      <c r="H260" s="100">
        <f t="shared" si="69"/>
        <v>18.399999999999679</v>
      </c>
      <c r="I260" s="100">
        <f t="shared" si="62"/>
        <v>20</v>
      </c>
      <c r="J260" s="100">
        <f t="shared" si="70"/>
        <v>2263.3119669789312</v>
      </c>
      <c r="K260" s="101">
        <f t="shared" si="71"/>
        <v>79444.444444443041</v>
      </c>
      <c r="O260" s="118">
        <f t="shared" si="73"/>
        <v>16.666666666666664</v>
      </c>
      <c r="P260" s="119">
        <f t="shared" ca="1" si="63"/>
        <v>29</v>
      </c>
      <c r="Q260" s="120">
        <v>365</v>
      </c>
      <c r="AA260" s="96">
        <f t="shared" si="57"/>
        <v>222</v>
      </c>
      <c r="AB260" s="97" t="e">
        <f t="shared" si="58"/>
        <v>#N/A</v>
      </c>
      <c r="AC260" s="97">
        <f t="shared" si="59"/>
        <v>2262.6730780900425</v>
      </c>
      <c r="AE260" s="96">
        <f t="shared" si="60"/>
        <v>222</v>
      </c>
      <c r="AF260" s="97" t="str">
        <f>IFERROR(VLOOKUP(AE260,[1]Cálculos_PRICE!$A$32:$K$212,10,0),"")</f>
        <v/>
      </c>
      <c r="AG260" s="97">
        <f>IFERROR(VLOOKUP(AE260,'Cálculos_CGI - SAC FIXA'!A258:K650,10,0),"")</f>
        <v>2262.6730780900425</v>
      </c>
      <c r="AH260" s="97" t="str">
        <f>IFERROR(VLOOKUP(AE260,[1]Cálculos_PRICE!$A$32:$K$212,6,0),"")</f>
        <v/>
      </c>
      <c r="AI260" s="97">
        <f>IFERROR(VLOOKUP(AE260,'Cálculos_CGI - SAC FIXA'!A258:K650,6,0),"")</f>
        <v>555.55555555555554</v>
      </c>
      <c r="AJ260" s="97" t="str">
        <f>IFERROR(VLOOKUP(AE260,[1]Cálculos_PRICE!$A$32:$K$240,11,0),"")</f>
        <v/>
      </c>
      <c r="AK260" s="97">
        <f>IFERROR(VLOOKUP(AE260,'Cálculos_CGI - SAC FIXA'!A258:K650,11,0),"")</f>
        <v>76666.666666665231</v>
      </c>
      <c r="AN260" s="157">
        <f t="shared" si="56"/>
        <v>-24797.091111109672</v>
      </c>
      <c r="AO260" s="147" t="s">
        <v>341</v>
      </c>
      <c r="AP260" s="147" t="s">
        <v>119</v>
      </c>
      <c r="AQ260" s="148">
        <v>50833</v>
      </c>
      <c r="AR260" s="149">
        <v>53998.42</v>
      </c>
      <c r="AS260" s="149">
        <v>2684.4</v>
      </c>
      <c r="AT260" s="150">
        <v>0</v>
      </c>
      <c r="AU260" s="150">
        <v>696.58</v>
      </c>
      <c r="AV260" s="150">
        <v>32.42</v>
      </c>
      <c r="AW260" s="149">
        <v>3413.4</v>
      </c>
      <c r="AX260" s="151"/>
    </row>
    <row r="261" spans="1:50" ht="15.5" x14ac:dyDescent="0.35">
      <c r="A261" s="98">
        <f t="shared" si="72"/>
        <v>218</v>
      </c>
      <c r="B261" s="99">
        <f t="shared" ca="1" si="64"/>
        <v>52692</v>
      </c>
      <c r="C261" s="100">
        <f t="shared" si="61"/>
        <v>79444.444444443041</v>
      </c>
      <c r="D261" s="100">
        <f t="shared" si="65"/>
        <v>865.94444444442911</v>
      </c>
      <c r="E261" s="100">
        <f t="shared" si="66"/>
        <v>80310.388888887464</v>
      </c>
      <c r="F261" s="100">
        <f t="shared" si="67"/>
        <v>555.55555555555554</v>
      </c>
      <c r="G261" s="100">
        <f t="shared" si="68"/>
        <v>2224.9119669789316</v>
      </c>
      <c r="H261" s="100">
        <f t="shared" si="69"/>
        <v>18.272222222221899</v>
      </c>
      <c r="I261" s="100">
        <f t="shared" si="62"/>
        <v>20</v>
      </c>
      <c r="J261" s="100">
        <f t="shared" si="70"/>
        <v>2263.1841892011535</v>
      </c>
      <c r="K261" s="101">
        <f t="shared" si="71"/>
        <v>78888.888888887479</v>
      </c>
      <c r="O261" s="118">
        <f t="shared" si="73"/>
        <v>16.666666666666664</v>
      </c>
      <c r="P261" s="119">
        <f t="shared" ca="1" si="63"/>
        <v>31</v>
      </c>
      <c r="Q261" s="120">
        <v>365</v>
      </c>
      <c r="AA261" s="96">
        <f t="shared" si="57"/>
        <v>223</v>
      </c>
      <c r="AB261" s="97" t="e">
        <f t="shared" si="58"/>
        <v>#N/A</v>
      </c>
      <c r="AC261" s="97">
        <f t="shared" si="59"/>
        <v>2262.5453003122648</v>
      </c>
      <c r="AE261" s="96">
        <f t="shared" si="60"/>
        <v>223</v>
      </c>
      <c r="AF261" s="97" t="str">
        <f>IFERROR(VLOOKUP(AE261,[1]Cálculos_PRICE!$A$32:$K$212,10,0),"")</f>
        <v/>
      </c>
      <c r="AG261" s="97">
        <f>IFERROR(VLOOKUP(AE261,'Cálculos_CGI - SAC FIXA'!A259:K651,10,0),"")</f>
        <v>2262.5453003122648</v>
      </c>
      <c r="AH261" s="97" t="str">
        <f>IFERROR(VLOOKUP(AE261,[1]Cálculos_PRICE!$A$32:$K$212,6,0),"")</f>
        <v/>
      </c>
      <c r="AI261" s="97">
        <f>IFERROR(VLOOKUP(AE261,'Cálculos_CGI - SAC FIXA'!A259:K651,6,0),"")</f>
        <v>555.55555555555554</v>
      </c>
      <c r="AJ261" s="97" t="str">
        <f>IFERROR(VLOOKUP(AE261,[1]Cálculos_PRICE!$A$32:$K$240,11,0),"")</f>
        <v/>
      </c>
      <c r="AK261" s="97">
        <f>IFERROR(VLOOKUP(AE261,'Cálculos_CGI - SAC FIXA'!A259:K651,11,0),"")</f>
        <v>76111.111111109669</v>
      </c>
      <c r="AN261" s="157">
        <f t="shared" si="56"/>
        <v>-26960.565555554109</v>
      </c>
      <c r="AO261" s="152" t="s">
        <v>342</v>
      </c>
      <c r="AP261" s="152" t="s">
        <v>119</v>
      </c>
      <c r="AQ261" s="153">
        <v>50864</v>
      </c>
      <c r="AR261" s="154">
        <v>51314.02</v>
      </c>
      <c r="AS261" s="154">
        <v>2719.03</v>
      </c>
      <c r="AT261" s="155">
        <v>0</v>
      </c>
      <c r="AU261" s="155">
        <v>661.95</v>
      </c>
      <c r="AV261" s="155">
        <v>31.8</v>
      </c>
      <c r="AW261" s="154">
        <v>3412.78</v>
      </c>
      <c r="AX261" s="156"/>
    </row>
    <row r="262" spans="1:50" ht="15.5" x14ac:dyDescent="0.35">
      <c r="A262" s="98">
        <f t="shared" si="72"/>
        <v>219</v>
      </c>
      <c r="B262" s="99">
        <f t="shared" ca="1" si="64"/>
        <v>52722</v>
      </c>
      <c r="C262" s="100">
        <f t="shared" si="61"/>
        <v>78888.888888887479</v>
      </c>
      <c r="D262" s="100">
        <f t="shared" si="65"/>
        <v>859.88888888887357</v>
      </c>
      <c r="E262" s="100">
        <f t="shared" si="66"/>
        <v>79748.777777776355</v>
      </c>
      <c r="F262" s="100">
        <f t="shared" si="67"/>
        <v>555.55555555555554</v>
      </c>
      <c r="G262" s="100">
        <f t="shared" si="68"/>
        <v>2224.9119669789316</v>
      </c>
      <c r="H262" s="100">
        <f t="shared" si="69"/>
        <v>18.144444444444122</v>
      </c>
      <c r="I262" s="100">
        <f t="shared" si="62"/>
        <v>20</v>
      </c>
      <c r="J262" s="100">
        <f t="shared" si="70"/>
        <v>2263.0564114233757</v>
      </c>
      <c r="K262" s="101">
        <f t="shared" si="71"/>
        <v>78333.333333331917</v>
      </c>
      <c r="O262" s="118">
        <f t="shared" si="73"/>
        <v>16.666666666666664</v>
      </c>
      <c r="P262" s="119">
        <f t="shared" ca="1" si="63"/>
        <v>30</v>
      </c>
      <c r="Q262" s="120">
        <v>365</v>
      </c>
      <c r="AA262" s="96">
        <f t="shared" si="57"/>
        <v>224</v>
      </c>
      <c r="AB262" s="97" t="e">
        <f t="shared" si="58"/>
        <v>#N/A</v>
      </c>
      <c r="AC262" s="97">
        <f t="shared" si="59"/>
        <v>2262.4175225344866</v>
      </c>
      <c r="AE262" s="96">
        <f t="shared" si="60"/>
        <v>224</v>
      </c>
      <c r="AF262" s="97" t="str">
        <f>IFERROR(VLOOKUP(AE262,[1]Cálculos_PRICE!$A$32:$K$212,10,0),"")</f>
        <v/>
      </c>
      <c r="AG262" s="97">
        <f>IFERROR(VLOOKUP(AE262,'Cálculos_CGI - SAC FIXA'!A260:K652,10,0),"")</f>
        <v>2262.4175225344866</v>
      </c>
      <c r="AH262" s="97" t="str">
        <f>IFERROR(VLOOKUP(AE262,[1]Cálculos_PRICE!$A$32:$K$212,6,0),"")</f>
        <v/>
      </c>
      <c r="AI262" s="97">
        <f>IFERROR(VLOOKUP(AE262,'Cálculos_CGI - SAC FIXA'!A260:K652,6,0),"")</f>
        <v>555.55555555555554</v>
      </c>
      <c r="AJ262" s="97" t="str">
        <f>IFERROR(VLOOKUP(AE262,[1]Cálculos_PRICE!$A$32:$K$240,11,0),"")</f>
        <v/>
      </c>
      <c r="AK262" s="97">
        <f>IFERROR(VLOOKUP(AE262,'Cálculos_CGI - SAC FIXA'!A260:K652,11,0),"")</f>
        <v>75555.555555554107</v>
      </c>
      <c r="AN262" s="157">
        <f t="shared" si="56"/>
        <v>-29159.109999998545</v>
      </c>
      <c r="AO262" s="147" t="s">
        <v>343</v>
      </c>
      <c r="AP262" s="147" t="s">
        <v>119</v>
      </c>
      <c r="AQ262" s="148">
        <v>50894</v>
      </c>
      <c r="AR262" s="149">
        <v>48594.99</v>
      </c>
      <c r="AS262" s="149">
        <v>2754.1</v>
      </c>
      <c r="AT262" s="150">
        <v>0</v>
      </c>
      <c r="AU262" s="150">
        <v>626.88</v>
      </c>
      <c r="AV262" s="150">
        <v>31.18</v>
      </c>
      <c r="AW262" s="149">
        <v>3412.16</v>
      </c>
      <c r="AX262" s="151"/>
    </row>
    <row r="263" spans="1:50" ht="15.5" x14ac:dyDescent="0.35">
      <c r="A263" s="98">
        <f t="shared" si="72"/>
        <v>220</v>
      </c>
      <c r="B263" s="99">
        <f t="shared" ca="1" si="64"/>
        <v>52753</v>
      </c>
      <c r="C263" s="100">
        <f t="shared" si="61"/>
        <v>78333.333333331917</v>
      </c>
      <c r="D263" s="100">
        <f t="shared" si="65"/>
        <v>853.83333333331791</v>
      </c>
      <c r="E263" s="100">
        <f t="shared" si="66"/>
        <v>79187.166666665231</v>
      </c>
      <c r="F263" s="100">
        <f t="shared" si="67"/>
        <v>555.55555555555554</v>
      </c>
      <c r="G263" s="100">
        <f t="shared" si="68"/>
        <v>2224.9119669789316</v>
      </c>
      <c r="H263" s="100">
        <f t="shared" si="69"/>
        <v>18.016666666666342</v>
      </c>
      <c r="I263" s="100">
        <f t="shared" si="62"/>
        <v>20</v>
      </c>
      <c r="J263" s="100">
        <f t="shared" si="70"/>
        <v>2262.928633645598</v>
      </c>
      <c r="K263" s="101">
        <f t="shared" si="71"/>
        <v>77777.777777776355</v>
      </c>
      <c r="O263" s="118">
        <f t="shared" si="73"/>
        <v>16.666666666666664</v>
      </c>
      <c r="P263" s="119">
        <f t="shared" ca="1" si="63"/>
        <v>31</v>
      </c>
      <c r="Q263" s="120">
        <v>365</v>
      </c>
      <c r="AA263" s="96">
        <f t="shared" si="57"/>
        <v>225</v>
      </c>
      <c r="AB263" s="97" t="e">
        <f t="shared" si="58"/>
        <v>#N/A</v>
      </c>
      <c r="AC263" s="97">
        <f t="shared" si="59"/>
        <v>2262.2897447567088</v>
      </c>
      <c r="AE263" s="96">
        <f t="shared" si="60"/>
        <v>225</v>
      </c>
      <c r="AF263" s="97" t="str">
        <f>IFERROR(VLOOKUP(AE263,[1]Cálculos_PRICE!$A$32:$K$212,10,0),"")</f>
        <v/>
      </c>
      <c r="AG263" s="97">
        <f>IFERROR(VLOOKUP(AE263,'Cálculos_CGI - SAC FIXA'!A261:K653,10,0),"")</f>
        <v>2262.2897447567088</v>
      </c>
      <c r="AH263" s="97" t="str">
        <f>IFERROR(VLOOKUP(AE263,[1]Cálculos_PRICE!$A$32:$K$212,6,0),"")</f>
        <v/>
      </c>
      <c r="AI263" s="97">
        <f>IFERROR(VLOOKUP(AE263,'Cálculos_CGI - SAC FIXA'!A261:K653,6,0),"")</f>
        <v>555.55555555555554</v>
      </c>
      <c r="AJ263" s="97" t="str">
        <f>IFERROR(VLOOKUP(AE263,[1]Cálculos_PRICE!$A$32:$K$240,11,0),"")</f>
        <v/>
      </c>
      <c r="AK263" s="97">
        <f>IFERROR(VLOOKUP(AE263,'Cálculos_CGI - SAC FIXA'!A261:K653,11,0),"")</f>
        <v>74999.999999998545</v>
      </c>
      <c r="AN263" s="157">
        <f t="shared" si="56"/>
        <v>-31393.184444442981</v>
      </c>
      <c r="AO263" s="152" t="s">
        <v>344</v>
      </c>
      <c r="AP263" s="152" t="s">
        <v>119</v>
      </c>
      <c r="AQ263" s="153">
        <v>50925</v>
      </c>
      <c r="AR263" s="154">
        <v>45840.89</v>
      </c>
      <c r="AS263" s="154">
        <v>2789.63</v>
      </c>
      <c r="AT263" s="155">
        <v>0</v>
      </c>
      <c r="AU263" s="155">
        <v>591.35</v>
      </c>
      <c r="AV263" s="155">
        <v>30.54</v>
      </c>
      <c r="AW263" s="154">
        <v>3411.52</v>
      </c>
      <c r="AX263" s="156"/>
    </row>
    <row r="264" spans="1:50" ht="15.5" x14ac:dyDescent="0.35">
      <c r="A264" s="98">
        <f t="shared" si="72"/>
        <v>221</v>
      </c>
      <c r="B264" s="99">
        <f t="shared" ca="1" si="64"/>
        <v>52783</v>
      </c>
      <c r="C264" s="100">
        <f t="shared" si="61"/>
        <v>77777.777777776355</v>
      </c>
      <c r="D264" s="100">
        <f t="shared" si="65"/>
        <v>847.77777777776225</v>
      </c>
      <c r="E264" s="100">
        <f t="shared" si="66"/>
        <v>78625.555555554121</v>
      </c>
      <c r="F264" s="100">
        <f t="shared" si="67"/>
        <v>555.55555555555554</v>
      </c>
      <c r="G264" s="100">
        <f t="shared" si="68"/>
        <v>2224.9119669789316</v>
      </c>
      <c r="H264" s="100">
        <f t="shared" si="69"/>
        <v>17.888888888888562</v>
      </c>
      <c r="I264" s="100">
        <f t="shared" si="62"/>
        <v>20</v>
      </c>
      <c r="J264" s="100">
        <f t="shared" si="70"/>
        <v>2262.8008558678202</v>
      </c>
      <c r="K264" s="101">
        <f t="shared" si="71"/>
        <v>77222.222222220793</v>
      </c>
      <c r="O264" s="118">
        <f t="shared" si="73"/>
        <v>16.666666666666664</v>
      </c>
      <c r="P264" s="119">
        <f t="shared" ca="1" si="63"/>
        <v>30</v>
      </c>
      <c r="Q264" s="120">
        <v>365</v>
      </c>
      <c r="AA264" s="96">
        <f t="shared" si="57"/>
        <v>226</v>
      </c>
      <c r="AB264" s="97" t="e">
        <f t="shared" si="58"/>
        <v>#N/A</v>
      </c>
      <c r="AC264" s="97">
        <f t="shared" si="59"/>
        <v>2262.1619669789311</v>
      </c>
      <c r="AE264" s="96">
        <f t="shared" si="60"/>
        <v>226</v>
      </c>
      <c r="AF264" s="97" t="str">
        <f>IFERROR(VLOOKUP(AE264,[1]Cálculos_PRICE!$A$32:$K$212,10,0),"")</f>
        <v/>
      </c>
      <c r="AG264" s="97">
        <f>IFERROR(VLOOKUP(AE264,'Cálculos_CGI - SAC FIXA'!A262:K654,10,0),"")</f>
        <v>2262.1619669789311</v>
      </c>
      <c r="AH264" s="97" t="str">
        <f>IFERROR(VLOOKUP(AE264,[1]Cálculos_PRICE!$A$32:$K$212,6,0),"")</f>
        <v/>
      </c>
      <c r="AI264" s="97">
        <f>IFERROR(VLOOKUP(AE264,'Cálculos_CGI - SAC FIXA'!A262:K654,6,0),"")</f>
        <v>555.55555555555554</v>
      </c>
      <c r="AJ264" s="97" t="str">
        <f>IFERROR(VLOOKUP(AE264,[1]Cálculos_PRICE!$A$32:$K$240,11,0),"")</f>
        <v/>
      </c>
      <c r="AK264" s="97">
        <f>IFERROR(VLOOKUP(AE264,'Cálculos_CGI - SAC FIXA'!A262:K654,11,0),"")</f>
        <v>74444.444444442983</v>
      </c>
      <c r="AN264" s="157">
        <f t="shared" si="56"/>
        <v>-33663.248888887421</v>
      </c>
      <c r="AO264" s="147" t="s">
        <v>345</v>
      </c>
      <c r="AP264" s="147" t="s">
        <v>119</v>
      </c>
      <c r="AQ264" s="148">
        <v>50955</v>
      </c>
      <c r="AR264" s="149">
        <v>43051.26</v>
      </c>
      <c r="AS264" s="149">
        <v>2825.62</v>
      </c>
      <c r="AT264" s="150">
        <v>0</v>
      </c>
      <c r="AU264" s="150">
        <v>555.36</v>
      </c>
      <c r="AV264" s="150">
        <v>29.9</v>
      </c>
      <c r="AW264" s="149">
        <v>3410.88</v>
      </c>
      <c r="AX264" s="151"/>
    </row>
    <row r="265" spans="1:50" ht="15.5" x14ac:dyDescent="0.35">
      <c r="A265" s="98">
        <f t="shared" si="72"/>
        <v>222</v>
      </c>
      <c r="B265" s="99">
        <f t="shared" ca="1" si="64"/>
        <v>52814</v>
      </c>
      <c r="C265" s="100">
        <f t="shared" si="61"/>
        <v>77222.222222220793</v>
      </c>
      <c r="D265" s="100">
        <f t="shared" si="65"/>
        <v>841.7222222222066</v>
      </c>
      <c r="E265" s="100">
        <f t="shared" si="66"/>
        <v>78063.944444442997</v>
      </c>
      <c r="F265" s="100">
        <f t="shared" si="67"/>
        <v>555.55555555555554</v>
      </c>
      <c r="G265" s="100">
        <f t="shared" si="68"/>
        <v>2224.9119669789316</v>
      </c>
      <c r="H265" s="100">
        <f t="shared" si="69"/>
        <v>17.761111111110782</v>
      </c>
      <c r="I265" s="100">
        <f t="shared" si="62"/>
        <v>20</v>
      </c>
      <c r="J265" s="100">
        <f t="shared" si="70"/>
        <v>2262.6730780900425</v>
      </c>
      <c r="K265" s="101">
        <f t="shared" si="71"/>
        <v>76666.666666665231</v>
      </c>
      <c r="O265" s="118">
        <f t="shared" si="73"/>
        <v>16.666666666666664</v>
      </c>
      <c r="P265" s="119">
        <f t="shared" ca="1" si="63"/>
        <v>31</v>
      </c>
      <c r="Q265" s="120">
        <v>365</v>
      </c>
      <c r="AA265" s="96">
        <f t="shared" si="57"/>
        <v>227</v>
      </c>
      <c r="AB265" s="97" t="e">
        <f t="shared" si="58"/>
        <v>#N/A</v>
      </c>
      <c r="AC265" s="97">
        <f t="shared" si="59"/>
        <v>2262.0341892011534</v>
      </c>
      <c r="AE265" s="96">
        <f t="shared" si="60"/>
        <v>227</v>
      </c>
      <c r="AF265" s="97" t="str">
        <f>IFERROR(VLOOKUP(AE265,[1]Cálculos_PRICE!$A$32:$K$212,10,0),"")</f>
        <v/>
      </c>
      <c r="AG265" s="97">
        <f>IFERROR(VLOOKUP(AE265,'Cálculos_CGI - SAC FIXA'!A263:K655,10,0),"")</f>
        <v>2262.0341892011534</v>
      </c>
      <c r="AH265" s="97" t="str">
        <f>IFERROR(VLOOKUP(AE265,[1]Cálculos_PRICE!$A$32:$K$212,6,0),"")</f>
        <v/>
      </c>
      <c r="AI265" s="97">
        <f>IFERROR(VLOOKUP(AE265,'Cálculos_CGI - SAC FIXA'!A263:K655,6,0),"")</f>
        <v>555.55555555555554</v>
      </c>
      <c r="AJ265" s="97" t="str">
        <f>IFERROR(VLOOKUP(AE265,[1]Cálculos_PRICE!$A$32:$K$240,11,0),"")</f>
        <v/>
      </c>
      <c r="AK265" s="97">
        <f>IFERROR(VLOOKUP(AE265,'Cálculos_CGI - SAC FIXA'!A263:K655,11,0),"")</f>
        <v>73888.888888887421</v>
      </c>
      <c r="AN265" s="157">
        <f t="shared" si="56"/>
        <v>-35969.763333331859</v>
      </c>
      <c r="AO265" s="152" t="s">
        <v>346</v>
      </c>
      <c r="AP265" s="152" t="s">
        <v>119</v>
      </c>
      <c r="AQ265" s="153">
        <v>50986</v>
      </c>
      <c r="AR265" s="154">
        <v>40225.64</v>
      </c>
      <c r="AS265" s="154">
        <v>2862.07</v>
      </c>
      <c r="AT265" s="155">
        <v>0</v>
      </c>
      <c r="AU265" s="155">
        <v>518.91</v>
      </c>
      <c r="AV265" s="155">
        <v>29.25</v>
      </c>
      <c r="AW265" s="154">
        <v>3410.23</v>
      </c>
      <c r="AX265" s="156"/>
    </row>
    <row r="266" spans="1:50" ht="15.5" x14ac:dyDescent="0.35">
      <c r="A266" s="98">
        <f t="shared" si="72"/>
        <v>223</v>
      </c>
      <c r="B266" s="99">
        <f t="shared" ca="1" si="64"/>
        <v>52845</v>
      </c>
      <c r="C266" s="100">
        <f t="shared" si="61"/>
        <v>76666.666666665231</v>
      </c>
      <c r="D266" s="100">
        <f t="shared" si="65"/>
        <v>835.66666666665105</v>
      </c>
      <c r="E266" s="100">
        <f t="shared" si="66"/>
        <v>77502.333333331888</v>
      </c>
      <c r="F266" s="100">
        <f t="shared" si="67"/>
        <v>555.55555555555554</v>
      </c>
      <c r="G266" s="100">
        <f t="shared" si="68"/>
        <v>2224.9119669789316</v>
      </c>
      <c r="H266" s="100">
        <f t="shared" si="69"/>
        <v>17.633333333333002</v>
      </c>
      <c r="I266" s="100">
        <f t="shared" si="62"/>
        <v>20</v>
      </c>
      <c r="J266" s="100">
        <f t="shared" si="70"/>
        <v>2262.5453003122648</v>
      </c>
      <c r="K266" s="101">
        <f t="shared" si="71"/>
        <v>76111.111111109669</v>
      </c>
      <c r="O266" s="118">
        <f t="shared" si="73"/>
        <v>16.666666666666664</v>
      </c>
      <c r="P266" s="119">
        <f t="shared" ca="1" si="63"/>
        <v>31</v>
      </c>
      <c r="Q266" s="120">
        <v>365</v>
      </c>
      <c r="AA266" s="96">
        <f t="shared" si="57"/>
        <v>228</v>
      </c>
      <c r="AB266" s="97" t="e">
        <f t="shared" si="58"/>
        <v>#N/A</v>
      </c>
      <c r="AC266" s="97">
        <f t="shared" si="59"/>
        <v>2261.9064114233756</v>
      </c>
      <c r="AE266" s="96">
        <f t="shared" si="60"/>
        <v>228</v>
      </c>
      <c r="AF266" s="97" t="str">
        <f>IFERROR(VLOOKUP(AE266,[1]Cálculos_PRICE!$A$32:$K$212,10,0),"")</f>
        <v/>
      </c>
      <c r="AG266" s="97">
        <f>IFERROR(VLOOKUP(AE266,'Cálculos_CGI - SAC FIXA'!A264:K656,10,0),"")</f>
        <v>2261.9064114233756</v>
      </c>
      <c r="AH266" s="97" t="str">
        <f>IFERROR(VLOOKUP(AE266,[1]Cálculos_PRICE!$A$32:$K$212,6,0),"")</f>
        <v/>
      </c>
      <c r="AI266" s="97">
        <f>IFERROR(VLOOKUP(AE266,'Cálculos_CGI - SAC FIXA'!A264:K656,6,0),"")</f>
        <v>555.55555555555554</v>
      </c>
      <c r="AJ266" s="97" t="str">
        <f>IFERROR(VLOOKUP(AE266,[1]Cálculos_PRICE!$A$32:$K$240,11,0),"")</f>
        <v/>
      </c>
      <c r="AK266" s="97">
        <f>IFERROR(VLOOKUP(AE266,'Cálculos_CGI - SAC FIXA'!A264:K656,11,0),"")</f>
        <v>73333.333333331859</v>
      </c>
      <c r="AN266" s="157">
        <f t="shared" si="56"/>
        <v>-38313.197777776295</v>
      </c>
      <c r="AO266" s="147" t="s">
        <v>347</v>
      </c>
      <c r="AP266" s="147" t="s">
        <v>119</v>
      </c>
      <c r="AQ266" s="148">
        <v>51017</v>
      </c>
      <c r="AR266" s="149">
        <v>37363.57</v>
      </c>
      <c r="AS266" s="149">
        <v>2898.99</v>
      </c>
      <c r="AT266" s="150">
        <v>0</v>
      </c>
      <c r="AU266" s="150">
        <v>481.99</v>
      </c>
      <c r="AV266" s="150">
        <v>28.59</v>
      </c>
      <c r="AW266" s="149">
        <v>3409.57</v>
      </c>
      <c r="AX266" s="151"/>
    </row>
    <row r="267" spans="1:50" ht="15.5" x14ac:dyDescent="0.35">
      <c r="A267" s="98">
        <f t="shared" si="72"/>
        <v>224</v>
      </c>
      <c r="B267" s="99">
        <f t="shared" ca="1" si="64"/>
        <v>52875</v>
      </c>
      <c r="C267" s="100">
        <f t="shared" si="61"/>
        <v>76111.111111109669</v>
      </c>
      <c r="D267" s="100">
        <f t="shared" si="65"/>
        <v>829.6111111110954</v>
      </c>
      <c r="E267" s="100">
        <f t="shared" si="66"/>
        <v>76940.722222220764</v>
      </c>
      <c r="F267" s="100">
        <f t="shared" si="67"/>
        <v>555.55555555555554</v>
      </c>
      <c r="G267" s="100">
        <f t="shared" si="68"/>
        <v>2224.9119669789316</v>
      </c>
      <c r="H267" s="100">
        <f t="shared" si="69"/>
        <v>17.505555555555226</v>
      </c>
      <c r="I267" s="100">
        <f t="shared" si="62"/>
        <v>20</v>
      </c>
      <c r="J267" s="100">
        <f t="shared" si="70"/>
        <v>2262.4175225344866</v>
      </c>
      <c r="K267" s="101">
        <f t="shared" si="71"/>
        <v>75555.555555554107</v>
      </c>
      <c r="O267" s="118">
        <f t="shared" si="73"/>
        <v>16.666666666666664</v>
      </c>
      <c r="P267" s="119">
        <f t="shared" ca="1" si="63"/>
        <v>30</v>
      </c>
      <c r="Q267" s="120">
        <v>365</v>
      </c>
      <c r="AA267" s="96">
        <f t="shared" si="57"/>
        <v>229</v>
      </c>
      <c r="AB267" s="97" t="e">
        <f t="shared" si="58"/>
        <v>#N/A</v>
      </c>
      <c r="AC267" s="97">
        <f t="shared" si="59"/>
        <v>2261.7786336455979</v>
      </c>
      <c r="AE267" s="96">
        <f t="shared" si="60"/>
        <v>229</v>
      </c>
      <c r="AF267" s="97" t="str">
        <f>IFERROR(VLOOKUP(AE267,[1]Cálculos_PRICE!$A$32:$K$212,10,0),"")</f>
        <v/>
      </c>
      <c r="AG267" s="97">
        <f>IFERROR(VLOOKUP(AE267,'Cálculos_CGI - SAC FIXA'!A265:K657,10,0),"")</f>
        <v>2261.7786336455979</v>
      </c>
      <c r="AH267" s="97" t="str">
        <f>IFERROR(VLOOKUP(AE267,[1]Cálculos_PRICE!$A$32:$K$212,6,0),"")</f>
        <v/>
      </c>
      <c r="AI267" s="97">
        <f>IFERROR(VLOOKUP(AE267,'Cálculos_CGI - SAC FIXA'!A265:K657,6,0),"")</f>
        <v>555.55555555555554</v>
      </c>
      <c r="AJ267" s="97" t="str">
        <f>IFERROR(VLOOKUP(AE267,[1]Cálculos_PRICE!$A$32:$K$240,11,0),"")</f>
        <v/>
      </c>
      <c r="AK267" s="97">
        <f>IFERROR(VLOOKUP(AE267,'Cálculos_CGI - SAC FIXA'!A265:K657,11,0),"")</f>
        <v>72777.777777776297</v>
      </c>
      <c r="AN267" s="157">
        <f t="shared" si="56"/>
        <v>-40694.032222220732</v>
      </c>
      <c r="AO267" s="152" t="s">
        <v>348</v>
      </c>
      <c r="AP267" s="152" t="s">
        <v>119</v>
      </c>
      <c r="AQ267" s="153">
        <v>51047</v>
      </c>
      <c r="AR267" s="154">
        <v>34464.58</v>
      </c>
      <c r="AS267" s="154">
        <v>2936.39</v>
      </c>
      <c r="AT267" s="155">
        <v>0</v>
      </c>
      <c r="AU267" s="155">
        <v>444.59</v>
      </c>
      <c r="AV267" s="155">
        <v>27.93</v>
      </c>
      <c r="AW267" s="154">
        <v>3408.91</v>
      </c>
      <c r="AX267" s="156"/>
    </row>
    <row r="268" spans="1:50" ht="15.5" x14ac:dyDescent="0.35">
      <c r="A268" s="98">
        <f t="shared" si="72"/>
        <v>225</v>
      </c>
      <c r="B268" s="99">
        <f t="shared" ca="1" si="64"/>
        <v>52906</v>
      </c>
      <c r="C268" s="100">
        <f t="shared" si="61"/>
        <v>75555.555555554107</v>
      </c>
      <c r="D268" s="100">
        <f t="shared" si="65"/>
        <v>823.55555555553974</v>
      </c>
      <c r="E268" s="100">
        <f t="shared" si="66"/>
        <v>76379.11111110964</v>
      </c>
      <c r="F268" s="100">
        <f t="shared" si="67"/>
        <v>555.55555555555554</v>
      </c>
      <c r="G268" s="100">
        <f t="shared" si="68"/>
        <v>2224.9119669789316</v>
      </c>
      <c r="H268" s="100">
        <f t="shared" si="69"/>
        <v>17.377777777777446</v>
      </c>
      <c r="I268" s="100">
        <f t="shared" si="62"/>
        <v>20</v>
      </c>
      <c r="J268" s="100">
        <f t="shared" si="70"/>
        <v>2262.2897447567088</v>
      </c>
      <c r="K268" s="101">
        <f t="shared" si="71"/>
        <v>74999.999999998545</v>
      </c>
      <c r="O268" s="118">
        <f t="shared" si="73"/>
        <v>16.666666666666664</v>
      </c>
      <c r="P268" s="119">
        <f t="shared" ca="1" si="63"/>
        <v>31</v>
      </c>
      <c r="Q268" s="120">
        <v>365</v>
      </c>
      <c r="AA268" s="96">
        <f t="shared" si="57"/>
        <v>230</v>
      </c>
      <c r="AB268" s="97" t="e">
        <f t="shared" si="58"/>
        <v>#N/A</v>
      </c>
      <c r="AC268" s="97">
        <f t="shared" si="59"/>
        <v>2261.6508558678202</v>
      </c>
      <c r="AE268" s="96">
        <f t="shared" si="60"/>
        <v>230</v>
      </c>
      <c r="AF268" s="97" t="str">
        <f>IFERROR(VLOOKUP(AE268,[1]Cálculos_PRICE!$A$32:$K$212,10,0),"")</f>
        <v/>
      </c>
      <c r="AG268" s="97">
        <f>IFERROR(VLOOKUP(AE268,'Cálculos_CGI - SAC FIXA'!A266:K658,10,0),"")</f>
        <v>2261.6508558678202</v>
      </c>
      <c r="AH268" s="97" t="str">
        <f>IFERROR(VLOOKUP(AE268,[1]Cálculos_PRICE!$A$32:$K$212,6,0),"")</f>
        <v/>
      </c>
      <c r="AI268" s="97">
        <f>IFERROR(VLOOKUP(AE268,'Cálculos_CGI - SAC FIXA'!A266:K658,6,0),"")</f>
        <v>555.55555555555554</v>
      </c>
      <c r="AJ268" s="97" t="str">
        <f>IFERROR(VLOOKUP(AE268,[1]Cálculos_PRICE!$A$32:$K$240,11,0),"")</f>
        <v/>
      </c>
      <c r="AK268" s="97">
        <f>IFERROR(VLOOKUP(AE268,'Cálculos_CGI - SAC FIXA'!A266:K658,11,0),"")</f>
        <v>72222.222222220735</v>
      </c>
      <c r="AN268" s="157">
        <f t="shared" si="56"/>
        <v>-43112.746666665174</v>
      </c>
      <c r="AO268" s="147" t="s">
        <v>349</v>
      </c>
      <c r="AP268" s="147" t="s">
        <v>119</v>
      </c>
      <c r="AQ268" s="148">
        <v>51078</v>
      </c>
      <c r="AR268" s="149">
        <v>31528.19</v>
      </c>
      <c r="AS268" s="149">
        <v>2974.27</v>
      </c>
      <c r="AT268" s="150">
        <v>0</v>
      </c>
      <c r="AU268" s="150">
        <v>406.71</v>
      </c>
      <c r="AV268" s="150">
        <v>27.25</v>
      </c>
      <c r="AW268" s="149">
        <v>3408.23</v>
      </c>
      <c r="AX268" s="151"/>
    </row>
    <row r="269" spans="1:50" ht="15.5" x14ac:dyDescent="0.35">
      <c r="A269" s="98">
        <f t="shared" si="72"/>
        <v>226</v>
      </c>
      <c r="B269" s="99">
        <f t="shared" ca="1" si="64"/>
        <v>52936</v>
      </c>
      <c r="C269" s="100">
        <f t="shared" si="61"/>
        <v>74999.999999998545</v>
      </c>
      <c r="D269" s="100">
        <f t="shared" si="65"/>
        <v>817.49999999998408</v>
      </c>
      <c r="E269" s="100">
        <f t="shared" si="66"/>
        <v>75817.49999999853</v>
      </c>
      <c r="F269" s="100">
        <f t="shared" si="67"/>
        <v>555.55555555555554</v>
      </c>
      <c r="G269" s="100">
        <f t="shared" si="68"/>
        <v>2224.9119669789316</v>
      </c>
      <c r="H269" s="100">
        <f t="shared" si="69"/>
        <v>17.249999999999666</v>
      </c>
      <c r="I269" s="100">
        <f t="shared" si="62"/>
        <v>20</v>
      </c>
      <c r="J269" s="100">
        <f t="shared" si="70"/>
        <v>2262.1619669789311</v>
      </c>
      <c r="K269" s="101">
        <f t="shared" si="71"/>
        <v>74444.444444442983</v>
      </c>
      <c r="O269" s="118">
        <f t="shared" si="73"/>
        <v>16.666666666666664</v>
      </c>
      <c r="P269" s="119">
        <f t="shared" ca="1" si="63"/>
        <v>30</v>
      </c>
      <c r="Q269" s="120">
        <v>365</v>
      </c>
      <c r="AA269" s="96">
        <f t="shared" si="57"/>
        <v>231</v>
      </c>
      <c r="AB269" s="97" t="e">
        <f t="shared" si="58"/>
        <v>#N/A</v>
      </c>
      <c r="AC269" s="97">
        <f t="shared" si="59"/>
        <v>2261.5230780900424</v>
      </c>
      <c r="AE269" s="96">
        <f t="shared" si="60"/>
        <v>231</v>
      </c>
      <c r="AF269" s="97" t="str">
        <f>IFERROR(VLOOKUP(AE269,[1]Cálculos_PRICE!$A$32:$K$212,10,0),"")</f>
        <v/>
      </c>
      <c r="AG269" s="97">
        <f>IFERROR(VLOOKUP(AE269,'Cálculos_CGI - SAC FIXA'!A267:K659,10,0),"")</f>
        <v>2261.5230780900424</v>
      </c>
      <c r="AH269" s="97" t="str">
        <f>IFERROR(VLOOKUP(AE269,[1]Cálculos_PRICE!$A$32:$K$212,6,0),"")</f>
        <v/>
      </c>
      <c r="AI269" s="97">
        <f>IFERROR(VLOOKUP(AE269,'Cálculos_CGI - SAC FIXA'!A267:K659,6,0),"")</f>
        <v>555.55555555555554</v>
      </c>
      <c r="AJ269" s="97" t="str">
        <f>IFERROR(VLOOKUP(AE269,[1]Cálculos_PRICE!$A$32:$K$240,11,0),"")</f>
        <v/>
      </c>
      <c r="AK269" s="97">
        <f>IFERROR(VLOOKUP(AE269,'Cálculos_CGI - SAC FIXA'!A267:K659,11,0),"")</f>
        <v>71666.666666665173</v>
      </c>
      <c r="AN269" s="157">
        <f t="shared" si="56"/>
        <v>-45569.82111110961</v>
      </c>
      <c r="AO269" s="152" t="s">
        <v>350</v>
      </c>
      <c r="AP269" s="152" t="s">
        <v>119</v>
      </c>
      <c r="AQ269" s="153">
        <v>51108</v>
      </c>
      <c r="AR269" s="154">
        <v>28553.919999999998</v>
      </c>
      <c r="AS269" s="154">
        <v>3012.63</v>
      </c>
      <c r="AT269" s="155">
        <v>0</v>
      </c>
      <c r="AU269" s="155">
        <v>368.35</v>
      </c>
      <c r="AV269" s="155">
        <v>26.57</v>
      </c>
      <c r="AW269" s="154">
        <v>3407.55</v>
      </c>
      <c r="AX269" s="156"/>
    </row>
    <row r="270" spans="1:50" ht="15.5" x14ac:dyDescent="0.35">
      <c r="A270" s="98">
        <f t="shared" si="72"/>
        <v>227</v>
      </c>
      <c r="B270" s="99">
        <f t="shared" ca="1" si="64"/>
        <v>52967</v>
      </c>
      <c r="C270" s="100">
        <f t="shared" si="61"/>
        <v>74444.444444442983</v>
      </c>
      <c r="D270" s="100">
        <f t="shared" si="65"/>
        <v>811.44444444442854</v>
      </c>
      <c r="E270" s="100">
        <f t="shared" si="66"/>
        <v>75255.888888887406</v>
      </c>
      <c r="F270" s="100">
        <f t="shared" si="67"/>
        <v>555.55555555555554</v>
      </c>
      <c r="G270" s="100">
        <f t="shared" si="68"/>
        <v>2224.9119669789316</v>
      </c>
      <c r="H270" s="100">
        <f t="shared" si="69"/>
        <v>17.122222222221886</v>
      </c>
      <c r="I270" s="100">
        <f t="shared" si="62"/>
        <v>20</v>
      </c>
      <c r="J270" s="100">
        <f t="shared" si="70"/>
        <v>2262.0341892011534</v>
      </c>
      <c r="K270" s="101">
        <f t="shared" si="71"/>
        <v>73888.888888887421</v>
      </c>
      <c r="O270" s="118">
        <f t="shared" si="73"/>
        <v>16.666666666666664</v>
      </c>
      <c r="P270" s="119">
        <f t="shared" ca="1" si="63"/>
        <v>31</v>
      </c>
      <c r="Q270" s="120">
        <v>365</v>
      </c>
      <c r="AA270" s="96">
        <f t="shared" si="57"/>
        <v>232</v>
      </c>
      <c r="AB270" s="97" t="e">
        <f t="shared" si="58"/>
        <v>#N/A</v>
      </c>
      <c r="AC270" s="97">
        <f t="shared" si="59"/>
        <v>2261.3953003122647</v>
      </c>
      <c r="AE270" s="96">
        <f t="shared" si="60"/>
        <v>232</v>
      </c>
      <c r="AF270" s="97" t="str">
        <f>IFERROR(VLOOKUP(AE270,[1]Cálculos_PRICE!$A$32:$K$212,10,0),"")</f>
        <v/>
      </c>
      <c r="AG270" s="97">
        <f>IFERROR(VLOOKUP(AE270,'Cálculos_CGI - SAC FIXA'!A268:K660,10,0),"")</f>
        <v>2261.3953003122647</v>
      </c>
      <c r="AH270" s="97" t="str">
        <f>IFERROR(VLOOKUP(AE270,[1]Cálculos_PRICE!$A$32:$K$212,6,0),"")</f>
        <v/>
      </c>
      <c r="AI270" s="97">
        <f>IFERROR(VLOOKUP(AE270,'Cálculos_CGI - SAC FIXA'!A268:K660,6,0),"")</f>
        <v>555.55555555555554</v>
      </c>
      <c r="AJ270" s="97" t="str">
        <f>IFERROR(VLOOKUP(AE270,[1]Cálculos_PRICE!$A$32:$K$240,11,0),"")</f>
        <v/>
      </c>
      <c r="AK270" s="97">
        <f>IFERROR(VLOOKUP(AE270,'Cálculos_CGI - SAC FIXA'!A268:K660,11,0),"")</f>
        <v>71111.111111109611</v>
      </c>
      <c r="AN270" s="157">
        <f t="shared" si="56"/>
        <v>-48065.765555554048</v>
      </c>
      <c r="AO270" s="147" t="s">
        <v>351</v>
      </c>
      <c r="AP270" s="147" t="s">
        <v>119</v>
      </c>
      <c r="AQ270" s="148">
        <v>51139</v>
      </c>
      <c r="AR270" s="149">
        <v>25541.29</v>
      </c>
      <c r="AS270" s="149">
        <v>3051.5</v>
      </c>
      <c r="AT270" s="150">
        <v>0</v>
      </c>
      <c r="AU270" s="150">
        <v>329.48</v>
      </c>
      <c r="AV270" s="150">
        <v>25.87</v>
      </c>
      <c r="AW270" s="149">
        <v>3406.85</v>
      </c>
      <c r="AX270" s="151"/>
    </row>
    <row r="271" spans="1:50" ht="15.5" x14ac:dyDescent="0.35">
      <c r="A271" s="98">
        <f t="shared" si="72"/>
        <v>228</v>
      </c>
      <c r="B271" s="99">
        <f t="shared" ca="1" si="64"/>
        <v>52998</v>
      </c>
      <c r="C271" s="100">
        <f t="shared" si="61"/>
        <v>73888.888888887421</v>
      </c>
      <c r="D271" s="100">
        <f t="shared" si="65"/>
        <v>805.38888888887288</v>
      </c>
      <c r="E271" s="100">
        <f t="shared" si="66"/>
        <v>74694.277777776297</v>
      </c>
      <c r="F271" s="100">
        <f t="shared" si="67"/>
        <v>555.55555555555554</v>
      </c>
      <c r="G271" s="100">
        <f t="shared" si="68"/>
        <v>2224.9119669789316</v>
      </c>
      <c r="H271" s="100">
        <f t="shared" si="69"/>
        <v>16.994444444444106</v>
      </c>
      <c r="I271" s="100">
        <f t="shared" si="62"/>
        <v>20</v>
      </c>
      <c r="J271" s="100">
        <f t="shared" si="70"/>
        <v>2261.9064114233756</v>
      </c>
      <c r="K271" s="101">
        <f t="shared" si="71"/>
        <v>73333.333333331859</v>
      </c>
      <c r="O271" s="118">
        <f t="shared" si="73"/>
        <v>16.666666666666664</v>
      </c>
      <c r="P271" s="119">
        <f t="shared" ca="1" si="63"/>
        <v>31</v>
      </c>
      <c r="Q271" s="120">
        <v>365</v>
      </c>
      <c r="AA271" s="96">
        <f t="shared" si="57"/>
        <v>233</v>
      </c>
      <c r="AB271" s="97" t="e">
        <f t="shared" si="58"/>
        <v>#N/A</v>
      </c>
      <c r="AC271" s="97">
        <f t="shared" si="59"/>
        <v>2261.2675225344869</v>
      </c>
      <c r="AE271" s="96">
        <f t="shared" si="60"/>
        <v>233</v>
      </c>
      <c r="AF271" s="97" t="str">
        <f>IFERROR(VLOOKUP(AE271,[1]Cálculos_PRICE!$A$32:$K$212,10,0),"")</f>
        <v/>
      </c>
      <c r="AG271" s="97">
        <f>IFERROR(VLOOKUP(AE271,'Cálculos_CGI - SAC FIXA'!A269:K661,10,0),"")</f>
        <v>2261.2675225344869</v>
      </c>
      <c r="AH271" s="97" t="str">
        <f>IFERROR(VLOOKUP(AE271,[1]Cálculos_PRICE!$A$32:$K$212,6,0),"")</f>
        <v/>
      </c>
      <c r="AI271" s="97">
        <f>IFERROR(VLOOKUP(AE271,'Cálculos_CGI - SAC FIXA'!A269:K661,6,0),"")</f>
        <v>555.55555555555554</v>
      </c>
      <c r="AJ271" s="97" t="str">
        <f>IFERROR(VLOOKUP(AE271,[1]Cálculos_PRICE!$A$32:$K$240,11,0),"")</f>
        <v/>
      </c>
      <c r="AK271" s="97">
        <f>IFERROR(VLOOKUP(AE271,'Cálculos_CGI - SAC FIXA'!A269:K661,11,0),"")</f>
        <v>70555.555555554049</v>
      </c>
      <c r="AN271" s="157">
        <f t="shared" si="56"/>
        <v>-50601.069999998486</v>
      </c>
      <c r="AO271" s="152" t="s">
        <v>352</v>
      </c>
      <c r="AP271" s="152" t="s">
        <v>119</v>
      </c>
      <c r="AQ271" s="153">
        <v>51170</v>
      </c>
      <c r="AR271" s="154">
        <v>22489.79</v>
      </c>
      <c r="AS271" s="154">
        <v>3090.86</v>
      </c>
      <c r="AT271" s="155">
        <v>0</v>
      </c>
      <c r="AU271" s="155">
        <v>290.12</v>
      </c>
      <c r="AV271" s="155">
        <v>25.17</v>
      </c>
      <c r="AW271" s="154">
        <v>3406.15</v>
      </c>
      <c r="AX271" s="156"/>
    </row>
    <row r="272" spans="1:50" ht="15.5" x14ac:dyDescent="0.35">
      <c r="A272" s="98">
        <f t="shared" si="72"/>
        <v>229</v>
      </c>
      <c r="B272" s="99">
        <f t="shared" ca="1" si="64"/>
        <v>53026</v>
      </c>
      <c r="C272" s="100">
        <f t="shared" si="61"/>
        <v>73333.333333331859</v>
      </c>
      <c r="D272" s="100">
        <f t="shared" si="65"/>
        <v>799.33333333331723</v>
      </c>
      <c r="E272" s="100">
        <f t="shared" si="66"/>
        <v>74132.666666665173</v>
      </c>
      <c r="F272" s="100">
        <f t="shared" si="67"/>
        <v>555.55555555555554</v>
      </c>
      <c r="G272" s="100">
        <f t="shared" si="68"/>
        <v>2224.9119669789316</v>
      </c>
      <c r="H272" s="100">
        <f t="shared" si="69"/>
        <v>16.86666666666633</v>
      </c>
      <c r="I272" s="100">
        <f t="shared" si="62"/>
        <v>20</v>
      </c>
      <c r="J272" s="100">
        <f t="shared" si="70"/>
        <v>2261.7786336455979</v>
      </c>
      <c r="K272" s="101">
        <f t="shared" si="71"/>
        <v>72777.777777776297</v>
      </c>
      <c r="O272" s="118">
        <f t="shared" si="73"/>
        <v>16.666666666666664</v>
      </c>
      <c r="P272" s="119">
        <f t="shared" ca="1" si="63"/>
        <v>28</v>
      </c>
      <c r="Q272" s="120">
        <v>365</v>
      </c>
      <c r="AA272" s="96">
        <f t="shared" si="57"/>
        <v>234</v>
      </c>
      <c r="AB272" s="97" t="e">
        <f t="shared" si="58"/>
        <v>#N/A</v>
      </c>
      <c r="AC272" s="97">
        <f t="shared" si="59"/>
        <v>2261.1397447567092</v>
      </c>
      <c r="AE272" s="96">
        <f t="shared" si="60"/>
        <v>234</v>
      </c>
      <c r="AF272" s="97" t="str">
        <f>IFERROR(VLOOKUP(AE272,[1]Cálculos_PRICE!$A$32:$K$212,10,0),"")</f>
        <v/>
      </c>
      <c r="AG272" s="97">
        <f>IFERROR(VLOOKUP(AE272,'Cálculos_CGI - SAC FIXA'!A270:K662,10,0),"")</f>
        <v>2261.1397447567092</v>
      </c>
      <c r="AH272" s="97" t="str">
        <f>IFERROR(VLOOKUP(AE272,[1]Cálculos_PRICE!$A$32:$K$212,6,0),"")</f>
        <v/>
      </c>
      <c r="AI272" s="97">
        <f>IFERROR(VLOOKUP(AE272,'Cálculos_CGI - SAC FIXA'!A270:K662,6,0),"")</f>
        <v>555.55555555555554</v>
      </c>
      <c r="AJ272" s="97" t="str">
        <f>IFERROR(VLOOKUP(AE272,[1]Cálculos_PRICE!$A$32:$K$240,11,0),"")</f>
        <v/>
      </c>
      <c r="AK272" s="97">
        <f>IFERROR(VLOOKUP(AE272,'Cálculos_CGI - SAC FIXA'!A270:K662,11,0),"")</f>
        <v>69999.999999998487</v>
      </c>
      <c r="AN272" s="157">
        <f t="shared" si="56"/>
        <v>-53176.244444442927</v>
      </c>
      <c r="AO272" s="147" t="s">
        <v>353</v>
      </c>
      <c r="AP272" s="147" t="s">
        <v>119</v>
      </c>
      <c r="AQ272" s="148">
        <v>51199</v>
      </c>
      <c r="AR272" s="149">
        <v>19398.93</v>
      </c>
      <c r="AS272" s="149">
        <v>3130.73</v>
      </c>
      <c r="AT272" s="150">
        <v>0</v>
      </c>
      <c r="AU272" s="150">
        <v>250.25</v>
      </c>
      <c r="AV272" s="150">
        <v>24.46</v>
      </c>
      <c r="AW272" s="149">
        <v>3405.44</v>
      </c>
      <c r="AX272" s="151"/>
    </row>
    <row r="273" spans="1:50" ht="15.5" x14ac:dyDescent="0.35">
      <c r="A273" s="98">
        <f t="shared" si="72"/>
        <v>230</v>
      </c>
      <c r="B273" s="99">
        <f t="shared" ca="1" si="64"/>
        <v>53057</v>
      </c>
      <c r="C273" s="100">
        <f t="shared" si="61"/>
        <v>72777.777777776297</v>
      </c>
      <c r="D273" s="100">
        <f t="shared" si="65"/>
        <v>793.27777777776168</v>
      </c>
      <c r="E273" s="100">
        <f t="shared" si="66"/>
        <v>73571.055555554063</v>
      </c>
      <c r="F273" s="100">
        <f t="shared" si="67"/>
        <v>555.55555555555554</v>
      </c>
      <c r="G273" s="100">
        <f t="shared" si="68"/>
        <v>2224.9119669789316</v>
      </c>
      <c r="H273" s="100">
        <f t="shared" si="69"/>
        <v>16.73888888888855</v>
      </c>
      <c r="I273" s="100">
        <f t="shared" si="62"/>
        <v>20</v>
      </c>
      <c r="J273" s="100">
        <f t="shared" si="70"/>
        <v>2261.6508558678202</v>
      </c>
      <c r="K273" s="101">
        <f t="shared" si="71"/>
        <v>72222.222222220735</v>
      </c>
      <c r="O273" s="118">
        <f t="shared" si="73"/>
        <v>16.666666666666664</v>
      </c>
      <c r="P273" s="119">
        <f t="shared" ca="1" si="63"/>
        <v>31</v>
      </c>
      <c r="Q273" s="120">
        <v>365</v>
      </c>
      <c r="AA273" s="96">
        <f t="shared" si="57"/>
        <v>235</v>
      </c>
      <c r="AB273" s="97" t="e">
        <f t="shared" si="58"/>
        <v>#N/A</v>
      </c>
      <c r="AC273" s="97">
        <f t="shared" si="59"/>
        <v>2261.011966978931</v>
      </c>
      <c r="AE273" s="96">
        <f t="shared" si="60"/>
        <v>235</v>
      </c>
      <c r="AF273" s="97" t="str">
        <f>IFERROR(VLOOKUP(AE273,[1]Cálculos_PRICE!$A$32:$K$212,10,0),"")</f>
        <v/>
      </c>
      <c r="AG273" s="97">
        <f>IFERROR(VLOOKUP(AE273,'Cálculos_CGI - SAC FIXA'!A271:K663,10,0),"")</f>
        <v>2261.011966978931</v>
      </c>
      <c r="AH273" s="97" t="str">
        <f>IFERROR(VLOOKUP(AE273,[1]Cálculos_PRICE!$A$32:$K$212,6,0),"")</f>
        <v/>
      </c>
      <c r="AI273" s="97">
        <f>IFERROR(VLOOKUP(AE273,'Cálculos_CGI - SAC FIXA'!A271:K663,6,0),"")</f>
        <v>555.55555555555554</v>
      </c>
      <c r="AJ273" s="97" t="str">
        <f>IFERROR(VLOOKUP(AE273,[1]Cálculos_PRICE!$A$32:$K$240,11,0),"")</f>
        <v/>
      </c>
      <c r="AK273" s="97">
        <f>IFERROR(VLOOKUP(AE273,'Cálculos_CGI - SAC FIXA'!A271:K663,11,0),"")</f>
        <v>69444.444444442925</v>
      </c>
      <c r="AN273" s="157">
        <f t="shared" si="56"/>
        <v>-55791.808888887361</v>
      </c>
      <c r="AO273" s="152" t="s">
        <v>354</v>
      </c>
      <c r="AP273" s="152" t="s">
        <v>119</v>
      </c>
      <c r="AQ273" s="153">
        <v>51230</v>
      </c>
      <c r="AR273" s="154">
        <v>16268.2</v>
      </c>
      <c r="AS273" s="154">
        <v>3171.12</v>
      </c>
      <c r="AT273" s="155">
        <v>0</v>
      </c>
      <c r="AU273" s="155">
        <v>209.86</v>
      </c>
      <c r="AV273" s="155">
        <v>23.74</v>
      </c>
      <c r="AW273" s="154">
        <v>3404.72</v>
      </c>
      <c r="AX273" s="156"/>
    </row>
    <row r="274" spans="1:50" ht="15.5" x14ac:dyDescent="0.35">
      <c r="A274" s="98">
        <f t="shared" si="72"/>
        <v>231</v>
      </c>
      <c r="B274" s="99">
        <f t="shared" ca="1" si="64"/>
        <v>53087</v>
      </c>
      <c r="C274" s="100">
        <f t="shared" si="61"/>
        <v>72222.222222220735</v>
      </c>
      <c r="D274" s="100">
        <f t="shared" si="65"/>
        <v>787.22222222220603</v>
      </c>
      <c r="E274" s="100">
        <f t="shared" si="66"/>
        <v>73009.444444442939</v>
      </c>
      <c r="F274" s="100">
        <f t="shared" si="67"/>
        <v>555.55555555555554</v>
      </c>
      <c r="G274" s="100">
        <f t="shared" si="68"/>
        <v>2224.9119669789316</v>
      </c>
      <c r="H274" s="100">
        <f t="shared" si="69"/>
        <v>16.61111111111077</v>
      </c>
      <c r="I274" s="100">
        <f t="shared" si="62"/>
        <v>20</v>
      </c>
      <c r="J274" s="100">
        <f t="shared" si="70"/>
        <v>2261.5230780900424</v>
      </c>
      <c r="K274" s="101">
        <f t="shared" si="71"/>
        <v>71666.666666665173</v>
      </c>
      <c r="O274" s="118">
        <f t="shared" si="73"/>
        <v>16.666666666666664</v>
      </c>
      <c r="P274" s="119">
        <f t="shared" ca="1" si="63"/>
        <v>30</v>
      </c>
      <c r="Q274" s="120">
        <v>365</v>
      </c>
      <c r="AA274" s="96">
        <f t="shared" si="57"/>
        <v>236</v>
      </c>
      <c r="AB274" s="97" t="e">
        <f t="shared" si="58"/>
        <v>#N/A</v>
      </c>
      <c r="AC274" s="97">
        <f t="shared" si="59"/>
        <v>2260.8841892011533</v>
      </c>
      <c r="AE274" s="96">
        <f t="shared" si="60"/>
        <v>236</v>
      </c>
      <c r="AF274" s="97" t="str">
        <f>IFERROR(VLOOKUP(AE274,[1]Cálculos_PRICE!$A$32:$K$212,10,0),"")</f>
        <v/>
      </c>
      <c r="AG274" s="97">
        <f>IFERROR(VLOOKUP(AE274,'Cálculos_CGI - SAC FIXA'!A272:K664,10,0),"")</f>
        <v>2260.8841892011533</v>
      </c>
      <c r="AH274" s="97" t="str">
        <f>IFERROR(VLOOKUP(AE274,[1]Cálculos_PRICE!$A$32:$K$212,6,0),"")</f>
        <v/>
      </c>
      <c r="AI274" s="97">
        <f>IFERROR(VLOOKUP(AE274,'Cálculos_CGI - SAC FIXA'!A272:K664,6,0),"")</f>
        <v>555.55555555555554</v>
      </c>
      <c r="AJ274" s="97" t="str">
        <f>IFERROR(VLOOKUP(AE274,[1]Cálculos_PRICE!$A$32:$K$240,11,0),"")</f>
        <v/>
      </c>
      <c r="AK274" s="97">
        <f>IFERROR(VLOOKUP(AE274,'Cálculos_CGI - SAC FIXA'!A272:K664,11,0),"")</f>
        <v>68888.888888887363</v>
      </c>
      <c r="AN274" s="157">
        <f t="shared" si="56"/>
        <v>-58448.283333331798</v>
      </c>
      <c r="AO274" s="147" t="s">
        <v>355</v>
      </c>
      <c r="AP274" s="147" t="s">
        <v>119</v>
      </c>
      <c r="AQ274" s="148">
        <v>51260</v>
      </c>
      <c r="AR274" s="149">
        <v>13097.08</v>
      </c>
      <c r="AS274" s="149">
        <v>3212.03</v>
      </c>
      <c r="AT274" s="150">
        <v>0</v>
      </c>
      <c r="AU274" s="150">
        <v>168.95</v>
      </c>
      <c r="AV274" s="150">
        <v>23.01</v>
      </c>
      <c r="AW274" s="149">
        <v>3403.99</v>
      </c>
      <c r="AX274" s="151"/>
    </row>
    <row r="275" spans="1:50" ht="15.5" x14ac:dyDescent="0.35">
      <c r="A275" s="98">
        <f t="shared" si="72"/>
        <v>232</v>
      </c>
      <c r="B275" s="99">
        <f t="shared" ca="1" si="64"/>
        <v>53118</v>
      </c>
      <c r="C275" s="100">
        <f t="shared" si="61"/>
        <v>71666.666666665173</v>
      </c>
      <c r="D275" s="100">
        <f t="shared" si="65"/>
        <v>781.16666666665037</v>
      </c>
      <c r="E275" s="100">
        <f t="shared" si="66"/>
        <v>72447.83333333183</v>
      </c>
      <c r="F275" s="100">
        <f t="shared" si="67"/>
        <v>555.55555555555554</v>
      </c>
      <c r="G275" s="100">
        <f t="shared" si="68"/>
        <v>2224.9119669789316</v>
      </c>
      <c r="H275" s="100">
        <f t="shared" si="69"/>
        <v>16.48333333333299</v>
      </c>
      <c r="I275" s="100">
        <f t="shared" si="62"/>
        <v>20</v>
      </c>
      <c r="J275" s="100">
        <f t="shared" si="70"/>
        <v>2261.3953003122647</v>
      </c>
      <c r="K275" s="101">
        <f t="shared" si="71"/>
        <v>71111.111111109611</v>
      </c>
      <c r="O275" s="118">
        <f t="shared" si="73"/>
        <v>16.666666666666664</v>
      </c>
      <c r="P275" s="119">
        <f t="shared" ca="1" si="63"/>
        <v>31</v>
      </c>
      <c r="Q275" s="120">
        <v>365</v>
      </c>
      <c r="AA275" s="96">
        <f t="shared" si="57"/>
        <v>237</v>
      </c>
      <c r="AB275" s="97" t="e">
        <f t="shared" si="58"/>
        <v>#N/A</v>
      </c>
      <c r="AC275" s="97">
        <f t="shared" si="59"/>
        <v>2260.7564114233755</v>
      </c>
      <c r="AE275" s="96">
        <f t="shared" si="60"/>
        <v>237</v>
      </c>
      <c r="AF275" s="97" t="str">
        <f>IFERROR(VLOOKUP(AE275,[1]Cálculos_PRICE!$A$32:$K$212,10,0),"")</f>
        <v/>
      </c>
      <c r="AG275" s="97">
        <f>IFERROR(VLOOKUP(AE275,'Cálculos_CGI - SAC FIXA'!A273:K665,10,0),"")</f>
        <v>2260.7564114233755</v>
      </c>
      <c r="AH275" s="97" t="str">
        <f>IFERROR(VLOOKUP(AE275,[1]Cálculos_PRICE!$A$32:$K$212,6,0),"")</f>
        <v/>
      </c>
      <c r="AI275" s="97">
        <f>IFERROR(VLOOKUP(AE275,'Cálculos_CGI - SAC FIXA'!A273:K665,6,0),"")</f>
        <v>555.55555555555554</v>
      </c>
      <c r="AJ275" s="97" t="str">
        <f>IFERROR(VLOOKUP(AE275,[1]Cálculos_PRICE!$A$32:$K$240,11,0),"")</f>
        <v/>
      </c>
      <c r="AK275" s="97">
        <f>IFERROR(VLOOKUP(AE275,'Cálculos_CGI - SAC FIXA'!A273:K665,11,0),"")</f>
        <v>68333.333333331801</v>
      </c>
      <c r="AN275" s="157">
        <f t="shared" si="56"/>
        <v>-61146.187777776242</v>
      </c>
      <c r="AO275" s="152" t="s">
        <v>356</v>
      </c>
      <c r="AP275" s="152" t="s">
        <v>119</v>
      </c>
      <c r="AQ275" s="153">
        <v>51291</v>
      </c>
      <c r="AR275" s="154">
        <v>9885.0499999999993</v>
      </c>
      <c r="AS275" s="154">
        <v>3253.46</v>
      </c>
      <c r="AT275" s="155">
        <v>0</v>
      </c>
      <c r="AU275" s="155">
        <v>127.52</v>
      </c>
      <c r="AV275" s="155">
        <v>22.27</v>
      </c>
      <c r="AW275" s="154">
        <v>3403.25</v>
      </c>
      <c r="AX275" s="156"/>
    </row>
    <row r="276" spans="1:50" ht="15.5" x14ac:dyDescent="0.35">
      <c r="A276" s="98">
        <f t="shared" si="72"/>
        <v>233</v>
      </c>
      <c r="B276" s="99">
        <f t="shared" ca="1" si="64"/>
        <v>53148</v>
      </c>
      <c r="C276" s="100">
        <f t="shared" si="61"/>
        <v>71111.111111109611</v>
      </c>
      <c r="D276" s="100">
        <f t="shared" si="65"/>
        <v>775.11111111109471</v>
      </c>
      <c r="E276" s="100">
        <f t="shared" si="66"/>
        <v>71886.222222220706</v>
      </c>
      <c r="F276" s="100">
        <f t="shared" si="67"/>
        <v>555.55555555555554</v>
      </c>
      <c r="G276" s="100">
        <f t="shared" si="68"/>
        <v>2224.9119669789316</v>
      </c>
      <c r="H276" s="100">
        <f t="shared" si="69"/>
        <v>16.35555555555521</v>
      </c>
      <c r="I276" s="100">
        <f t="shared" si="62"/>
        <v>20</v>
      </c>
      <c r="J276" s="100">
        <f t="shared" si="70"/>
        <v>2261.2675225344869</v>
      </c>
      <c r="K276" s="101">
        <f t="shared" si="71"/>
        <v>70555.555555554049</v>
      </c>
      <c r="O276" s="118">
        <f t="shared" si="73"/>
        <v>16.666666666666664</v>
      </c>
      <c r="P276" s="119">
        <f t="shared" ca="1" si="63"/>
        <v>30</v>
      </c>
      <c r="Q276" s="120">
        <v>365</v>
      </c>
      <c r="AA276" s="96">
        <f t="shared" si="57"/>
        <v>238</v>
      </c>
      <c r="AB276" s="97" t="e">
        <f t="shared" si="58"/>
        <v>#N/A</v>
      </c>
      <c r="AC276" s="97">
        <f t="shared" si="59"/>
        <v>2260.6286336455978</v>
      </c>
      <c r="AE276" s="96">
        <f t="shared" si="60"/>
        <v>238</v>
      </c>
      <c r="AF276" s="97" t="str">
        <f>IFERROR(VLOOKUP(AE276,[1]Cálculos_PRICE!$A$32:$K$212,10,0),"")</f>
        <v/>
      </c>
      <c r="AG276" s="97">
        <f>IFERROR(VLOOKUP(AE276,'Cálculos_CGI - SAC FIXA'!A274:K666,10,0),"")</f>
        <v>2260.6286336455978</v>
      </c>
      <c r="AH276" s="97" t="str">
        <f>IFERROR(VLOOKUP(AE276,[1]Cálculos_PRICE!$A$32:$K$212,6,0),"")</f>
        <v/>
      </c>
      <c r="AI276" s="97">
        <f>IFERROR(VLOOKUP(AE276,'Cálculos_CGI - SAC FIXA'!A274:K666,6,0),"")</f>
        <v>555.55555555555554</v>
      </c>
      <c r="AJ276" s="97" t="str">
        <f>IFERROR(VLOOKUP(AE276,[1]Cálculos_PRICE!$A$32:$K$240,11,0),"")</f>
        <v/>
      </c>
      <c r="AK276" s="97">
        <f>IFERROR(VLOOKUP(AE276,'Cálculos_CGI - SAC FIXA'!A274:K666,11,0),"")</f>
        <v>67777.777777776239</v>
      </c>
      <c r="AN276" s="157">
        <f>AR277-K282</f>
        <v>-63886.062222220673</v>
      </c>
      <c r="AO276" s="147" t="s">
        <v>357</v>
      </c>
      <c r="AP276" s="147" t="s">
        <v>119</v>
      </c>
      <c r="AQ276" s="148">
        <v>51321</v>
      </c>
      <c r="AR276" s="149">
        <v>6631.59</v>
      </c>
      <c r="AS276" s="149">
        <v>3295.43</v>
      </c>
      <c r="AT276" s="150">
        <v>0</v>
      </c>
      <c r="AU276" s="150">
        <v>85.55</v>
      </c>
      <c r="AV276" s="150">
        <v>21.53</v>
      </c>
      <c r="AW276" s="149">
        <v>3402.51</v>
      </c>
      <c r="AX276" s="151"/>
    </row>
    <row r="277" spans="1:50" ht="15.5" x14ac:dyDescent="0.35">
      <c r="A277" s="98">
        <f t="shared" si="72"/>
        <v>234</v>
      </c>
      <c r="B277" s="99">
        <f t="shared" ca="1" si="64"/>
        <v>53179</v>
      </c>
      <c r="C277" s="100">
        <f t="shared" si="61"/>
        <v>70555.555555554049</v>
      </c>
      <c r="D277" s="100">
        <f t="shared" si="65"/>
        <v>769.05555555553917</v>
      </c>
      <c r="E277" s="100">
        <f t="shared" si="66"/>
        <v>71324.611111109582</v>
      </c>
      <c r="F277" s="100">
        <f t="shared" si="67"/>
        <v>555.55555555555554</v>
      </c>
      <c r="G277" s="100">
        <f t="shared" si="68"/>
        <v>2224.9119669789316</v>
      </c>
      <c r="H277" s="100">
        <f t="shared" si="69"/>
        <v>16.227777777777433</v>
      </c>
      <c r="I277" s="100">
        <f t="shared" si="62"/>
        <v>20</v>
      </c>
      <c r="J277" s="100">
        <f t="shared" si="70"/>
        <v>2261.1397447567092</v>
      </c>
      <c r="K277" s="101">
        <f t="shared" si="71"/>
        <v>69999.999999998487</v>
      </c>
      <c r="O277" s="118">
        <f t="shared" si="73"/>
        <v>16.666666666666664</v>
      </c>
      <c r="P277" s="119">
        <f t="shared" ca="1" si="63"/>
        <v>31</v>
      </c>
      <c r="Q277" s="120">
        <v>365</v>
      </c>
      <c r="AA277" s="96">
        <f>A282</f>
        <v>239</v>
      </c>
      <c r="AB277" s="97" t="e">
        <f t="shared" si="58"/>
        <v>#N/A</v>
      </c>
      <c r="AC277" s="97">
        <f t="shared" si="59"/>
        <v>2260.5008558678201</v>
      </c>
      <c r="AE277" s="96">
        <f t="shared" si="60"/>
        <v>239</v>
      </c>
      <c r="AF277" s="97" t="str">
        <f>IFERROR(VLOOKUP(AE277,[1]Cálculos_PRICE!$A$32:$K$212,10,0),"")</f>
        <v/>
      </c>
      <c r="AG277" s="97">
        <f>IFERROR(VLOOKUP(AE277,'Cálculos_CGI - SAC FIXA'!A275:K667,10,0),"")</f>
        <v>2260.5008558678201</v>
      </c>
      <c r="AH277" s="97" t="str">
        <f>IFERROR(VLOOKUP(AE277,[1]Cálculos_PRICE!$A$32:$K$212,6,0),"")</f>
        <v/>
      </c>
      <c r="AI277" s="97">
        <f>IFERROR(VLOOKUP(AE277,'Cálculos_CGI - SAC FIXA'!A275:K667,6,0),"")</f>
        <v>555.55555555555554</v>
      </c>
      <c r="AJ277" s="97" t="str">
        <f>IFERROR(VLOOKUP(AE277,[1]Cálculos_PRICE!$A$32:$K$240,11,0),"")</f>
        <v/>
      </c>
      <c r="AK277" s="97">
        <f>IFERROR(VLOOKUP(AE277,'Cálculos_CGI - SAC FIXA'!A275:K667,11,0),"")</f>
        <v>67222.222222220676</v>
      </c>
      <c r="AN277" s="157" t="e">
        <f>AR278-#REF!</f>
        <v>#REF!</v>
      </c>
      <c r="AO277" s="152" t="s">
        <v>358</v>
      </c>
      <c r="AP277" s="152" t="s">
        <v>119</v>
      </c>
      <c r="AQ277" s="153">
        <v>51352</v>
      </c>
      <c r="AR277" s="154">
        <v>3336.16</v>
      </c>
      <c r="AS277" s="154">
        <v>3336.16</v>
      </c>
      <c r="AT277" s="155">
        <v>0</v>
      </c>
      <c r="AU277" s="155">
        <v>44.82</v>
      </c>
      <c r="AV277" s="155">
        <v>20.77</v>
      </c>
      <c r="AW277" s="154">
        <v>3401.75</v>
      </c>
      <c r="AX277" s="156"/>
    </row>
    <row r="278" spans="1:50" ht="15.5" x14ac:dyDescent="0.35">
      <c r="A278" s="98">
        <f t="shared" si="72"/>
        <v>235</v>
      </c>
      <c r="B278" s="99">
        <f t="shared" ca="1" si="64"/>
        <v>53210</v>
      </c>
      <c r="C278" s="100">
        <f t="shared" si="61"/>
        <v>69999.999999998487</v>
      </c>
      <c r="D278" s="100">
        <f t="shared" si="65"/>
        <v>762.99999999998352</v>
      </c>
      <c r="E278" s="100">
        <f t="shared" si="66"/>
        <v>70762.999999998472</v>
      </c>
      <c r="F278" s="100">
        <f t="shared" si="67"/>
        <v>555.55555555555554</v>
      </c>
      <c r="G278" s="100">
        <f t="shared" si="68"/>
        <v>2224.9119669789316</v>
      </c>
      <c r="H278" s="100">
        <f t="shared" si="69"/>
        <v>16.099999999999653</v>
      </c>
      <c r="I278" s="100">
        <f t="shared" si="62"/>
        <v>20</v>
      </c>
      <c r="J278" s="100">
        <f t="shared" si="70"/>
        <v>2261.011966978931</v>
      </c>
      <c r="K278" s="101">
        <f t="shared" si="71"/>
        <v>69444.444444442925</v>
      </c>
      <c r="O278" s="118">
        <f t="shared" si="73"/>
        <v>16.666666666666664</v>
      </c>
      <c r="P278" s="119">
        <f t="shared" ca="1" si="63"/>
        <v>31</v>
      </c>
      <c r="Q278" s="120">
        <v>365</v>
      </c>
      <c r="AA278" s="96" t="e">
        <f>#REF!</f>
        <v>#REF!</v>
      </c>
      <c r="AB278" s="97" t="e">
        <f t="shared" si="58"/>
        <v>#REF!</v>
      </c>
      <c r="AC278" s="97" t="e">
        <f t="shared" si="59"/>
        <v>#REF!</v>
      </c>
      <c r="AE278" s="96" t="e">
        <f t="shared" si="60"/>
        <v>#REF!</v>
      </c>
      <c r="AF278" s="97" t="str">
        <f>IFERROR(VLOOKUP(AE278,[1]Cálculos_PRICE!$A$32:$K$212,10,0),"")</f>
        <v/>
      </c>
      <c r="AG278" s="97" t="str">
        <f>IFERROR(VLOOKUP(AE278,'Cálculos_CGI - SAC FIXA'!A276:K668,10,0),"")</f>
        <v/>
      </c>
      <c r="AH278" s="97" t="str">
        <f>IFERROR(VLOOKUP(AE278,[1]Cálculos_PRICE!$A$32:$K$212,6,0),"")</f>
        <v/>
      </c>
      <c r="AI278" s="97" t="str">
        <f>IFERROR(VLOOKUP(AE278,'Cálculos_CGI - SAC FIXA'!A276:K668,6,0),"")</f>
        <v/>
      </c>
      <c r="AJ278" s="97" t="str">
        <f>IFERROR(VLOOKUP(AE278,[1]Cálculos_PRICE!$A$32:$K$240,11,0),"")</f>
        <v/>
      </c>
      <c r="AK278" s="97" t="str">
        <f>IFERROR(VLOOKUP(AE278,'Cálculos_CGI - SAC FIXA'!A276:K668,11,0),"")</f>
        <v/>
      </c>
      <c r="AN278" s="157" t="e">
        <f>AR279-K404</f>
        <v>#VALUE!</v>
      </c>
      <c r="AO278" s="147"/>
      <c r="AP278" s="147"/>
      <c r="AQ278" s="147"/>
      <c r="AR278" s="150"/>
      <c r="AS278" s="149">
        <v>250000</v>
      </c>
      <c r="AT278" s="150">
        <v>0</v>
      </c>
      <c r="AU278" s="149">
        <v>561435.19999999995</v>
      </c>
      <c r="AV278" s="149">
        <v>14810.02</v>
      </c>
      <c r="AW278" s="149">
        <v>826245.22</v>
      </c>
      <c r="AX278" s="143"/>
    </row>
    <row r="279" spans="1:50" ht="15.5" x14ac:dyDescent="0.35">
      <c r="A279" s="98">
        <f t="shared" si="72"/>
        <v>236</v>
      </c>
      <c r="B279" s="99">
        <f t="shared" ca="1" si="64"/>
        <v>53240</v>
      </c>
      <c r="C279" s="100">
        <f t="shared" si="61"/>
        <v>69444.444444442925</v>
      </c>
      <c r="D279" s="100">
        <f t="shared" si="65"/>
        <v>756.94444444442786</v>
      </c>
      <c r="E279" s="100">
        <f t="shared" si="66"/>
        <v>70201.388888887348</v>
      </c>
      <c r="F279" s="100">
        <f t="shared" si="67"/>
        <v>555.55555555555554</v>
      </c>
      <c r="G279" s="100">
        <f t="shared" si="68"/>
        <v>2224.9119669789316</v>
      </c>
      <c r="H279" s="100">
        <f t="shared" si="69"/>
        <v>15.972222222221873</v>
      </c>
      <c r="I279" s="100">
        <f t="shared" si="62"/>
        <v>20</v>
      </c>
      <c r="J279" s="100">
        <f t="shared" si="70"/>
        <v>2260.8841892011533</v>
      </c>
      <c r="K279" s="101">
        <f t="shared" si="71"/>
        <v>68888.888888887363</v>
      </c>
      <c r="O279" s="118">
        <f t="shared" ref="O279:O282" si="74">IFERROR(F279*$O$39,0)</f>
        <v>16.666666666666664</v>
      </c>
      <c r="P279" s="119">
        <f t="shared" ref="P279:P281" ca="1" si="75">IF($A279&lt;=$I$18,B279-B278,)</f>
        <v>30</v>
      </c>
      <c r="Q279" s="120">
        <v>365</v>
      </c>
      <c r="AN279" s="132"/>
      <c r="AO279" s="132"/>
    </row>
    <row r="280" spans="1:50" ht="15.5" x14ac:dyDescent="0.35">
      <c r="A280" s="98">
        <f t="shared" si="72"/>
        <v>237</v>
      </c>
      <c r="B280" s="99">
        <f t="shared" ca="1" si="64"/>
        <v>53271</v>
      </c>
      <c r="C280" s="100">
        <f t="shared" si="61"/>
        <v>68888.888888887363</v>
      </c>
      <c r="D280" s="100">
        <f t="shared" si="65"/>
        <v>750.8888888888722</v>
      </c>
      <c r="E280" s="100">
        <f t="shared" si="66"/>
        <v>69639.777777776239</v>
      </c>
      <c r="F280" s="100">
        <f t="shared" si="67"/>
        <v>555.55555555555554</v>
      </c>
      <c r="G280" s="100">
        <f t="shared" si="68"/>
        <v>2224.9119669789316</v>
      </c>
      <c r="H280" s="100">
        <f t="shared" si="69"/>
        <v>15.844444444444093</v>
      </c>
      <c r="I280" s="100">
        <f t="shared" si="62"/>
        <v>20</v>
      </c>
      <c r="J280" s="100">
        <f t="shared" si="70"/>
        <v>2260.7564114233755</v>
      </c>
      <c r="K280" s="101">
        <f t="shared" si="71"/>
        <v>68333.333333331801</v>
      </c>
      <c r="O280" s="118">
        <f t="shared" si="74"/>
        <v>16.666666666666664</v>
      </c>
      <c r="P280" s="119">
        <f t="shared" ca="1" si="75"/>
        <v>31</v>
      </c>
      <c r="Q280" s="120">
        <v>365</v>
      </c>
      <c r="AN280" s="132"/>
      <c r="AO280" s="132"/>
    </row>
    <row r="281" spans="1:50" ht="15.5" x14ac:dyDescent="0.35">
      <c r="A281" s="98">
        <f t="shared" si="72"/>
        <v>238</v>
      </c>
      <c r="B281" s="99">
        <f t="shared" ca="1" si="64"/>
        <v>53301</v>
      </c>
      <c r="C281" s="100">
        <f t="shared" si="61"/>
        <v>68333.333333331801</v>
      </c>
      <c r="D281" s="100">
        <f t="shared" si="65"/>
        <v>744.83333333331666</v>
      </c>
      <c r="E281" s="100">
        <f t="shared" si="66"/>
        <v>69078.166666665114</v>
      </c>
      <c r="F281" s="100">
        <f t="shared" si="67"/>
        <v>555.55555555555554</v>
      </c>
      <c r="G281" s="100">
        <f t="shared" si="68"/>
        <v>2224.9119669789316</v>
      </c>
      <c r="H281" s="100">
        <f t="shared" si="69"/>
        <v>15.716666666666315</v>
      </c>
      <c r="I281" s="100">
        <f t="shared" si="62"/>
        <v>20</v>
      </c>
      <c r="J281" s="100">
        <f t="shared" si="70"/>
        <v>2260.6286336455978</v>
      </c>
      <c r="K281" s="101">
        <f t="shared" si="71"/>
        <v>67777.777777776239</v>
      </c>
      <c r="O281" s="118">
        <f t="shared" si="74"/>
        <v>16.666666666666664</v>
      </c>
      <c r="P281" s="119">
        <f t="shared" ca="1" si="75"/>
        <v>30</v>
      </c>
      <c r="Q281" s="120">
        <v>365</v>
      </c>
      <c r="AN281" s="132"/>
      <c r="AO281" s="132"/>
    </row>
    <row r="282" spans="1:50" ht="15.5" x14ac:dyDescent="0.35">
      <c r="A282" s="98">
        <f>IF(IF(AND(A281&gt;0,A281&lt;$I$18),A281+1,0)=0,"",IF(AND(A281&gt;0,A281&lt;$I$18),A281+1,0))</f>
        <v>239</v>
      </c>
      <c r="B282" s="99">
        <f ca="1">IFERROR(IF(A282&lt;=$I$18,DATE(YEAR($B$44),MONTH($B$44)+A281,DAY($B$44)),"-"),"")</f>
        <v>53332</v>
      </c>
      <c r="C282" s="100">
        <f>IF(A282="","",K281)</f>
        <v>67777.777777776239</v>
      </c>
      <c r="D282" s="100">
        <f t="shared" si="65"/>
        <v>738.777777777761</v>
      </c>
      <c r="E282" s="100">
        <f t="shared" si="66"/>
        <v>68516.555555554005</v>
      </c>
      <c r="F282" s="100">
        <f t="shared" si="67"/>
        <v>555.55555555555554</v>
      </c>
      <c r="G282" s="100">
        <f t="shared" si="68"/>
        <v>2224.9119669789316</v>
      </c>
      <c r="H282" s="100">
        <f t="shared" si="69"/>
        <v>15.588888888888535</v>
      </c>
      <c r="I282" s="100">
        <f>IF(A282="","",IF(K281="","",IF(K281=0,"",$J$28*$I$14)))</f>
        <v>20</v>
      </c>
      <c r="J282" s="100">
        <f t="shared" si="70"/>
        <v>2260.5008558678201</v>
      </c>
      <c r="K282" s="101">
        <f t="shared" si="71"/>
        <v>67222.222222220676</v>
      </c>
      <c r="O282" s="118">
        <f t="shared" si="74"/>
        <v>16.666666666666664</v>
      </c>
      <c r="P282" s="119">
        <f ca="1">IF($A282&lt;=$I$18,B282-B281,)</f>
        <v>31</v>
      </c>
      <c r="Q282" s="120">
        <v>365</v>
      </c>
      <c r="AN282" s="132"/>
      <c r="AO282" s="132"/>
    </row>
    <row r="283" spans="1:50" ht="15.5" x14ac:dyDescent="0.35">
      <c r="A283" s="98">
        <f t="shared" ref="A283:A346" si="76">IF(IF(AND(A282&gt;0,A282&lt;$I$18),A282+1,0)=0,"",IF(AND(A282&gt;0,A282&lt;$I$18),A282+1,0))</f>
        <v>240</v>
      </c>
      <c r="B283" s="99">
        <f t="shared" ref="B283:B346" ca="1" si="77">IFERROR(IF(A283&lt;=$I$18,DATE(YEAR($B$44),MONTH($B$44)+A282,DAY($B$44)),"-"),"")</f>
        <v>53363</v>
      </c>
      <c r="C283" s="100">
        <f t="shared" ref="C283:C346" si="78">IF(A283="","",K282)</f>
        <v>67222.222222220676</v>
      </c>
      <c r="D283" s="100">
        <f t="shared" ref="D283:D346" si="79">C283*$I$20</f>
        <v>732.72222222220535</v>
      </c>
      <c r="E283" s="100">
        <f t="shared" ref="E283:E346" si="80">IFERROR(C283+D283,"")</f>
        <v>67954.944444442881</v>
      </c>
      <c r="F283" s="100">
        <f t="shared" si="67"/>
        <v>555.55555555555554</v>
      </c>
      <c r="G283" s="100">
        <f t="shared" ref="G283:G346" si="81">IF(A283="","",PMT($I$20,$I$18,$C$44)*-1)</f>
        <v>2224.9119669789316</v>
      </c>
      <c r="H283" s="100">
        <f t="shared" ref="H283:H346" si="82">C283*$J$27</f>
        <v>15.461111111110757</v>
      </c>
      <c r="I283" s="100">
        <f t="shared" ref="I283:I346" si="83">IF(A283="","",IF(K282="","",IF(K282=0,"",$J$28*$I$14)))</f>
        <v>20</v>
      </c>
      <c r="J283" s="100">
        <f t="shared" ref="J283:J346" si="84">IFERROR(SUM(I283+H283+G283),"")</f>
        <v>2260.3730780900423</v>
      </c>
      <c r="K283" s="101">
        <f t="shared" ref="K283:K346" si="85">C283-F283</f>
        <v>66666.666666665114</v>
      </c>
      <c r="O283" s="118">
        <f t="shared" ref="O283:O346" si="86">IFERROR(F283*$O$39,0)</f>
        <v>16.666666666666664</v>
      </c>
      <c r="P283" s="119">
        <f t="shared" ref="P283:P346" ca="1" si="87">IF($A283&lt;=$I$18,B283-B282,)</f>
        <v>31</v>
      </c>
      <c r="Q283" s="120">
        <v>365</v>
      </c>
      <c r="AN283" s="132"/>
      <c r="AO283" s="132"/>
    </row>
    <row r="284" spans="1:50" ht="15.5" x14ac:dyDescent="0.35">
      <c r="A284" s="98">
        <f t="shared" si="76"/>
        <v>241</v>
      </c>
      <c r="B284" s="99">
        <f t="shared" ca="1" si="77"/>
        <v>53391</v>
      </c>
      <c r="C284" s="100">
        <f t="shared" si="78"/>
        <v>66666.666666665114</v>
      </c>
      <c r="D284" s="100">
        <f t="shared" si="79"/>
        <v>726.66666666664969</v>
      </c>
      <c r="E284" s="100">
        <f t="shared" si="80"/>
        <v>67393.333333331771</v>
      </c>
      <c r="F284" s="100">
        <f t="shared" si="67"/>
        <v>555.55555555555554</v>
      </c>
      <c r="G284" s="100">
        <f t="shared" si="81"/>
        <v>2224.9119669789316</v>
      </c>
      <c r="H284" s="100">
        <f t="shared" si="82"/>
        <v>15.333333333332977</v>
      </c>
      <c r="I284" s="100">
        <f t="shared" si="83"/>
        <v>20</v>
      </c>
      <c r="J284" s="100">
        <f t="shared" si="84"/>
        <v>2260.2453003122646</v>
      </c>
      <c r="K284" s="101">
        <f t="shared" si="85"/>
        <v>66111.111111109552</v>
      </c>
      <c r="O284" s="118">
        <f t="shared" si="86"/>
        <v>16.666666666666664</v>
      </c>
      <c r="P284" s="119">
        <f t="shared" ca="1" si="87"/>
        <v>28</v>
      </c>
      <c r="Q284" s="120">
        <v>365</v>
      </c>
      <c r="AN284" s="132"/>
      <c r="AO284" s="132"/>
    </row>
    <row r="285" spans="1:50" ht="15.5" x14ac:dyDescent="0.35">
      <c r="A285" s="98">
        <f t="shared" si="76"/>
        <v>242</v>
      </c>
      <c r="B285" s="99">
        <f t="shared" ca="1" si="77"/>
        <v>53422</v>
      </c>
      <c r="C285" s="100">
        <f t="shared" si="78"/>
        <v>66111.111111109552</v>
      </c>
      <c r="D285" s="100">
        <f t="shared" si="79"/>
        <v>720.61111111109415</v>
      </c>
      <c r="E285" s="100">
        <f t="shared" si="80"/>
        <v>66831.722222220647</v>
      </c>
      <c r="F285" s="100">
        <f t="shared" si="67"/>
        <v>555.55555555555554</v>
      </c>
      <c r="G285" s="100">
        <f t="shared" si="81"/>
        <v>2224.9119669789316</v>
      </c>
      <c r="H285" s="100">
        <f t="shared" si="82"/>
        <v>15.205555555555197</v>
      </c>
      <c r="I285" s="100">
        <f t="shared" si="83"/>
        <v>20</v>
      </c>
      <c r="J285" s="100">
        <f t="shared" si="84"/>
        <v>2260.1175225344869</v>
      </c>
      <c r="K285" s="101">
        <f t="shared" si="85"/>
        <v>65555.55555555399</v>
      </c>
      <c r="O285" s="118">
        <f t="shared" si="86"/>
        <v>16.666666666666664</v>
      </c>
      <c r="P285" s="119">
        <f t="shared" ca="1" si="87"/>
        <v>31</v>
      </c>
      <c r="Q285" s="120">
        <v>365</v>
      </c>
      <c r="AN285" s="132"/>
      <c r="AO285" s="132"/>
    </row>
    <row r="286" spans="1:50" ht="15.5" x14ac:dyDescent="0.35">
      <c r="A286" s="98">
        <f t="shared" si="76"/>
        <v>243</v>
      </c>
      <c r="B286" s="99">
        <f t="shared" ca="1" si="77"/>
        <v>53452</v>
      </c>
      <c r="C286" s="100">
        <f t="shared" si="78"/>
        <v>65555.55555555399</v>
      </c>
      <c r="D286" s="100">
        <f t="shared" si="79"/>
        <v>714.55555555553849</v>
      </c>
      <c r="E286" s="100">
        <f t="shared" si="80"/>
        <v>66270.111111109523</v>
      </c>
      <c r="F286" s="100">
        <f t="shared" si="67"/>
        <v>555.55555555555554</v>
      </c>
      <c r="G286" s="100">
        <f t="shared" si="81"/>
        <v>2224.9119669789316</v>
      </c>
      <c r="H286" s="100">
        <f t="shared" si="82"/>
        <v>15.077777777777419</v>
      </c>
      <c r="I286" s="100">
        <f t="shared" si="83"/>
        <v>20</v>
      </c>
      <c r="J286" s="100">
        <f t="shared" si="84"/>
        <v>2259.9897447567091</v>
      </c>
      <c r="K286" s="101">
        <f t="shared" si="85"/>
        <v>64999.999999998436</v>
      </c>
      <c r="O286" s="118">
        <f t="shared" si="86"/>
        <v>16.666666666666664</v>
      </c>
      <c r="P286" s="119">
        <f t="shared" ca="1" si="87"/>
        <v>30</v>
      </c>
      <c r="Q286" s="120">
        <v>365</v>
      </c>
      <c r="AN286" s="132"/>
      <c r="AO286" s="132"/>
    </row>
    <row r="287" spans="1:50" ht="15.5" x14ac:dyDescent="0.35">
      <c r="A287" s="98">
        <f t="shared" si="76"/>
        <v>244</v>
      </c>
      <c r="B287" s="99">
        <f t="shared" ca="1" si="77"/>
        <v>53483</v>
      </c>
      <c r="C287" s="100">
        <f t="shared" si="78"/>
        <v>64999.999999998436</v>
      </c>
      <c r="D287" s="100">
        <f t="shared" si="79"/>
        <v>708.49999999998295</v>
      </c>
      <c r="E287" s="100">
        <f t="shared" si="80"/>
        <v>65708.499999998414</v>
      </c>
      <c r="F287" s="100">
        <f t="shared" si="67"/>
        <v>555.55555555555554</v>
      </c>
      <c r="G287" s="100">
        <f t="shared" si="81"/>
        <v>2224.9119669789316</v>
      </c>
      <c r="H287" s="100">
        <f t="shared" si="82"/>
        <v>14.94999999999964</v>
      </c>
      <c r="I287" s="100">
        <f t="shared" si="83"/>
        <v>20</v>
      </c>
      <c r="J287" s="100">
        <f t="shared" si="84"/>
        <v>2259.8619669789314</v>
      </c>
      <c r="K287" s="101">
        <f t="shared" si="85"/>
        <v>64444.444444442881</v>
      </c>
      <c r="O287" s="118">
        <f t="shared" si="86"/>
        <v>16.666666666666664</v>
      </c>
      <c r="P287" s="119">
        <f t="shared" ca="1" si="87"/>
        <v>31</v>
      </c>
      <c r="Q287" s="120">
        <v>365</v>
      </c>
      <c r="AN287" s="132"/>
      <c r="AO287" s="132"/>
    </row>
    <row r="288" spans="1:50" ht="15.5" x14ac:dyDescent="0.35">
      <c r="A288" s="98">
        <f t="shared" si="76"/>
        <v>245</v>
      </c>
      <c r="B288" s="99">
        <f t="shared" ca="1" si="77"/>
        <v>53513</v>
      </c>
      <c r="C288" s="100">
        <f t="shared" si="78"/>
        <v>64444.444444442881</v>
      </c>
      <c r="D288" s="100">
        <f t="shared" si="79"/>
        <v>702.4444444444274</v>
      </c>
      <c r="E288" s="100">
        <f t="shared" si="80"/>
        <v>65146.888888887312</v>
      </c>
      <c r="F288" s="100">
        <f t="shared" si="67"/>
        <v>555.55555555555554</v>
      </c>
      <c r="G288" s="100">
        <f t="shared" si="81"/>
        <v>2224.9119669789316</v>
      </c>
      <c r="H288" s="100">
        <f t="shared" si="82"/>
        <v>14.822222222221862</v>
      </c>
      <c r="I288" s="100">
        <f t="shared" si="83"/>
        <v>20</v>
      </c>
      <c r="J288" s="100">
        <f t="shared" si="84"/>
        <v>2259.7341892011536</v>
      </c>
      <c r="K288" s="101">
        <f t="shared" si="85"/>
        <v>63888.888888887326</v>
      </c>
      <c r="O288" s="118">
        <f t="shared" si="86"/>
        <v>16.666666666666664</v>
      </c>
      <c r="P288" s="119">
        <f t="shared" ca="1" si="87"/>
        <v>30</v>
      </c>
      <c r="Q288" s="120">
        <v>365</v>
      </c>
      <c r="AN288" s="132"/>
      <c r="AO288" s="132"/>
    </row>
    <row r="289" spans="1:41" ht="15.5" x14ac:dyDescent="0.35">
      <c r="A289" s="98">
        <f t="shared" si="76"/>
        <v>246</v>
      </c>
      <c r="B289" s="99">
        <f t="shared" ca="1" si="77"/>
        <v>53544</v>
      </c>
      <c r="C289" s="100">
        <f t="shared" si="78"/>
        <v>63888.888888887326</v>
      </c>
      <c r="D289" s="100">
        <f t="shared" si="79"/>
        <v>696.38888888887186</v>
      </c>
      <c r="E289" s="100">
        <f t="shared" si="80"/>
        <v>64585.277777776195</v>
      </c>
      <c r="F289" s="100">
        <f t="shared" si="67"/>
        <v>555.55555555555554</v>
      </c>
      <c r="G289" s="100">
        <f t="shared" si="81"/>
        <v>2224.9119669789316</v>
      </c>
      <c r="H289" s="100">
        <f t="shared" si="82"/>
        <v>14.694444444444086</v>
      </c>
      <c r="I289" s="100">
        <f t="shared" si="83"/>
        <v>20</v>
      </c>
      <c r="J289" s="100">
        <f t="shared" si="84"/>
        <v>2259.6064114233754</v>
      </c>
      <c r="K289" s="101">
        <f t="shared" si="85"/>
        <v>63333.333333331771</v>
      </c>
      <c r="O289" s="118">
        <f t="shared" si="86"/>
        <v>16.666666666666664</v>
      </c>
      <c r="P289" s="119">
        <f t="shared" ca="1" si="87"/>
        <v>31</v>
      </c>
      <c r="Q289" s="120">
        <v>365</v>
      </c>
      <c r="AN289" s="132"/>
      <c r="AO289" s="132"/>
    </row>
    <row r="290" spans="1:41" ht="15.5" x14ac:dyDescent="0.35">
      <c r="A290" s="98">
        <f t="shared" si="76"/>
        <v>247</v>
      </c>
      <c r="B290" s="99">
        <f t="shared" ca="1" si="77"/>
        <v>53575</v>
      </c>
      <c r="C290" s="100">
        <f t="shared" si="78"/>
        <v>63333.333333331771</v>
      </c>
      <c r="D290" s="100">
        <f t="shared" si="79"/>
        <v>690.33333333331632</v>
      </c>
      <c r="E290" s="100">
        <f t="shared" si="80"/>
        <v>64023.666666665085</v>
      </c>
      <c r="F290" s="100">
        <f t="shared" si="67"/>
        <v>555.55555555555554</v>
      </c>
      <c r="G290" s="100">
        <f t="shared" si="81"/>
        <v>2224.9119669789316</v>
      </c>
      <c r="H290" s="100">
        <f t="shared" si="82"/>
        <v>14.566666666666308</v>
      </c>
      <c r="I290" s="100">
        <f t="shared" si="83"/>
        <v>20</v>
      </c>
      <c r="J290" s="100">
        <f t="shared" si="84"/>
        <v>2259.4786336455977</v>
      </c>
      <c r="K290" s="101">
        <f t="shared" si="85"/>
        <v>62777.777777776217</v>
      </c>
      <c r="O290" s="118">
        <f t="shared" si="86"/>
        <v>16.666666666666664</v>
      </c>
      <c r="P290" s="119">
        <f t="shared" ca="1" si="87"/>
        <v>31</v>
      </c>
      <c r="Q290" s="120">
        <v>365</v>
      </c>
      <c r="AN290" s="132"/>
      <c r="AO290" s="132"/>
    </row>
    <row r="291" spans="1:41" ht="15.5" x14ac:dyDescent="0.35">
      <c r="A291" s="98">
        <f t="shared" si="76"/>
        <v>248</v>
      </c>
      <c r="B291" s="99">
        <f t="shared" ca="1" si="77"/>
        <v>53605</v>
      </c>
      <c r="C291" s="100">
        <f t="shared" si="78"/>
        <v>62777.777777776217</v>
      </c>
      <c r="D291" s="100">
        <f t="shared" si="79"/>
        <v>684.27777777776078</v>
      </c>
      <c r="E291" s="100">
        <f t="shared" si="80"/>
        <v>63462.055555553976</v>
      </c>
      <c r="F291" s="100">
        <f t="shared" si="67"/>
        <v>555.55555555555554</v>
      </c>
      <c r="G291" s="100">
        <f t="shared" si="81"/>
        <v>2224.9119669789316</v>
      </c>
      <c r="H291" s="100">
        <f t="shared" si="82"/>
        <v>14.438888888888529</v>
      </c>
      <c r="I291" s="100">
        <f t="shared" si="83"/>
        <v>20</v>
      </c>
      <c r="J291" s="100">
        <f t="shared" si="84"/>
        <v>2259.35085586782</v>
      </c>
      <c r="K291" s="101">
        <f t="shared" si="85"/>
        <v>62222.222222220662</v>
      </c>
      <c r="O291" s="118">
        <f t="shared" si="86"/>
        <v>16.666666666666664</v>
      </c>
      <c r="P291" s="119">
        <f t="shared" ca="1" si="87"/>
        <v>30</v>
      </c>
      <c r="Q291" s="120">
        <v>365</v>
      </c>
      <c r="AN291" s="132"/>
      <c r="AO291" s="132"/>
    </row>
    <row r="292" spans="1:41" ht="15.5" x14ac:dyDescent="0.35">
      <c r="A292" s="98">
        <f t="shared" si="76"/>
        <v>249</v>
      </c>
      <c r="B292" s="99">
        <f t="shared" ca="1" si="77"/>
        <v>53636</v>
      </c>
      <c r="C292" s="100">
        <f t="shared" si="78"/>
        <v>62222.222222220662</v>
      </c>
      <c r="D292" s="100">
        <f t="shared" si="79"/>
        <v>678.22222222220523</v>
      </c>
      <c r="E292" s="100">
        <f t="shared" si="80"/>
        <v>62900.444444442866</v>
      </c>
      <c r="F292" s="100">
        <f t="shared" si="67"/>
        <v>555.55555555555554</v>
      </c>
      <c r="G292" s="100">
        <f t="shared" si="81"/>
        <v>2224.9119669789316</v>
      </c>
      <c r="H292" s="100">
        <f t="shared" si="82"/>
        <v>14.311111111110753</v>
      </c>
      <c r="I292" s="100">
        <f t="shared" si="83"/>
        <v>20</v>
      </c>
      <c r="J292" s="100">
        <f t="shared" si="84"/>
        <v>2259.2230780900422</v>
      </c>
      <c r="K292" s="101">
        <f t="shared" si="85"/>
        <v>61666.666666665107</v>
      </c>
      <c r="O292" s="118">
        <f t="shared" si="86"/>
        <v>16.666666666666664</v>
      </c>
      <c r="P292" s="119">
        <f t="shared" ca="1" si="87"/>
        <v>31</v>
      </c>
      <c r="Q292" s="120">
        <v>365</v>
      </c>
      <c r="AN292" s="132"/>
      <c r="AO292" s="132"/>
    </row>
    <row r="293" spans="1:41" ht="15.5" x14ac:dyDescent="0.35">
      <c r="A293" s="98">
        <f t="shared" si="76"/>
        <v>250</v>
      </c>
      <c r="B293" s="99">
        <f t="shared" ca="1" si="77"/>
        <v>53666</v>
      </c>
      <c r="C293" s="100">
        <f t="shared" si="78"/>
        <v>61666.666666665107</v>
      </c>
      <c r="D293" s="100">
        <f t="shared" si="79"/>
        <v>672.16666666664969</v>
      </c>
      <c r="E293" s="100">
        <f t="shared" si="80"/>
        <v>62338.833333331757</v>
      </c>
      <c r="F293" s="100">
        <f t="shared" si="67"/>
        <v>555.55555555555554</v>
      </c>
      <c r="G293" s="100">
        <f t="shared" si="81"/>
        <v>2224.9119669789316</v>
      </c>
      <c r="H293" s="100">
        <f t="shared" si="82"/>
        <v>14.183333333332975</v>
      </c>
      <c r="I293" s="100">
        <f t="shared" si="83"/>
        <v>20</v>
      </c>
      <c r="J293" s="100">
        <f t="shared" si="84"/>
        <v>2259.0953003122645</v>
      </c>
      <c r="K293" s="101">
        <f t="shared" si="85"/>
        <v>61111.111111109552</v>
      </c>
      <c r="O293" s="118">
        <f t="shared" si="86"/>
        <v>16.666666666666664</v>
      </c>
      <c r="P293" s="119">
        <f t="shared" ca="1" si="87"/>
        <v>30</v>
      </c>
      <c r="Q293" s="120">
        <v>365</v>
      </c>
      <c r="AN293" s="132"/>
      <c r="AO293" s="132"/>
    </row>
    <row r="294" spans="1:41" ht="15.5" x14ac:dyDescent="0.35">
      <c r="A294" s="98">
        <f t="shared" si="76"/>
        <v>251</v>
      </c>
      <c r="B294" s="99">
        <f t="shared" ca="1" si="77"/>
        <v>53697</v>
      </c>
      <c r="C294" s="100">
        <f t="shared" si="78"/>
        <v>61111.111111109552</v>
      </c>
      <c r="D294" s="100">
        <f t="shared" si="79"/>
        <v>666.11111111109415</v>
      </c>
      <c r="E294" s="100">
        <f t="shared" si="80"/>
        <v>61777.222222220647</v>
      </c>
      <c r="F294" s="100">
        <f t="shared" si="67"/>
        <v>555.55555555555554</v>
      </c>
      <c r="G294" s="100">
        <f t="shared" si="81"/>
        <v>2224.9119669789316</v>
      </c>
      <c r="H294" s="100">
        <f t="shared" si="82"/>
        <v>14.055555555555198</v>
      </c>
      <c r="I294" s="100">
        <f t="shared" si="83"/>
        <v>20</v>
      </c>
      <c r="J294" s="100">
        <f t="shared" si="84"/>
        <v>2258.9675225344868</v>
      </c>
      <c r="K294" s="101">
        <f t="shared" si="85"/>
        <v>60555.555555553998</v>
      </c>
      <c r="O294" s="118">
        <f t="shared" si="86"/>
        <v>16.666666666666664</v>
      </c>
      <c r="P294" s="119">
        <f t="shared" ca="1" si="87"/>
        <v>31</v>
      </c>
      <c r="Q294" s="120">
        <v>365</v>
      </c>
      <c r="AN294" s="132"/>
      <c r="AO294" s="132"/>
    </row>
    <row r="295" spans="1:41" ht="15.5" x14ac:dyDescent="0.35">
      <c r="A295" s="98">
        <f t="shared" si="76"/>
        <v>252</v>
      </c>
      <c r="B295" s="99">
        <f t="shared" ca="1" si="77"/>
        <v>53728</v>
      </c>
      <c r="C295" s="100">
        <f t="shared" si="78"/>
        <v>60555.555555553998</v>
      </c>
      <c r="D295" s="100">
        <f t="shared" si="79"/>
        <v>660.0555555555386</v>
      </c>
      <c r="E295" s="100">
        <f t="shared" si="80"/>
        <v>61215.611111109538</v>
      </c>
      <c r="F295" s="100">
        <f t="shared" si="67"/>
        <v>555.55555555555554</v>
      </c>
      <c r="G295" s="100">
        <f t="shared" si="81"/>
        <v>2224.9119669789316</v>
      </c>
      <c r="H295" s="100">
        <f t="shared" si="82"/>
        <v>13.92777777777742</v>
      </c>
      <c r="I295" s="100">
        <f t="shared" si="83"/>
        <v>20</v>
      </c>
      <c r="J295" s="100">
        <f t="shared" si="84"/>
        <v>2258.839744756709</v>
      </c>
      <c r="K295" s="101">
        <f t="shared" si="85"/>
        <v>59999.999999998443</v>
      </c>
      <c r="O295" s="118">
        <f t="shared" si="86"/>
        <v>16.666666666666664</v>
      </c>
      <c r="P295" s="119">
        <f t="shared" ca="1" si="87"/>
        <v>31</v>
      </c>
      <c r="Q295" s="120">
        <v>365</v>
      </c>
      <c r="AN295" s="132"/>
      <c r="AO295" s="132"/>
    </row>
    <row r="296" spans="1:41" ht="15.5" x14ac:dyDescent="0.35">
      <c r="A296" s="98">
        <f t="shared" si="76"/>
        <v>253</v>
      </c>
      <c r="B296" s="99">
        <f t="shared" ca="1" si="77"/>
        <v>53756</v>
      </c>
      <c r="C296" s="100">
        <f t="shared" si="78"/>
        <v>59999.999999998443</v>
      </c>
      <c r="D296" s="100">
        <f t="shared" si="79"/>
        <v>653.99999999998306</v>
      </c>
      <c r="E296" s="100">
        <f t="shared" si="80"/>
        <v>60653.999999998428</v>
      </c>
      <c r="F296" s="100">
        <f t="shared" si="67"/>
        <v>555.55555555555554</v>
      </c>
      <c r="G296" s="100">
        <f t="shared" si="81"/>
        <v>2224.9119669789316</v>
      </c>
      <c r="H296" s="100">
        <f t="shared" si="82"/>
        <v>13.799999999999642</v>
      </c>
      <c r="I296" s="100">
        <f t="shared" si="83"/>
        <v>20</v>
      </c>
      <c r="J296" s="100">
        <f t="shared" si="84"/>
        <v>2258.7119669789313</v>
      </c>
      <c r="K296" s="101">
        <f t="shared" si="85"/>
        <v>59444.444444442888</v>
      </c>
      <c r="O296" s="118">
        <f t="shared" si="86"/>
        <v>16.666666666666664</v>
      </c>
      <c r="P296" s="119">
        <f t="shared" ca="1" si="87"/>
        <v>28</v>
      </c>
      <c r="Q296" s="120">
        <v>365</v>
      </c>
      <c r="AN296" s="132"/>
      <c r="AO296" s="132"/>
    </row>
    <row r="297" spans="1:41" ht="15.5" x14ac:dyDescent="0.35">
      <c r="A297" s="98">
        <f t="shared" si="76"/>
        <v>254</v>
      </c>
      <c r="B297" s="99">
        <f t="shared" ca="1" si="77"/>
        <v>53787</v>
      </c>
      <c r="C297" s="100">
        <f t="shared" si="78"/>
        <v>59444.444444442888</v>
      </c>
      <c r="D297" s="100">
        <f t="shared" si="79"/>
        <v>647.94444444442752</v>
      </c>
      <c r="E297" s="100">
        <f t="shared" si="80"/>
        <v>60092.388888887319</v>
      </c>
      <c r="F297" s="100">
        <f t="shared" si="67"/>
        <v>555.55555555555554</v>
      </c>
      <c r="G297" s="100">
        <f t="shared" si="81"/>
        <v>2224.9119669789316</v>
      </c>
      <c r="H297" s="100">
        <f t="shared" si="82"/>
        <v>13.672222222221865</v>
      </c>
      <c r="I297" s="100">
        <f t="shared" si="83"/>
        <v>20</v>
      </c>
      <c r="J297" s="100">
        <f t="shared" si="84"/>
        <v>2258.5841892011535</v>
      </c>
      <c r="K297" s="101">
        <f t="shared" si="85"/>
        <v>58888.888888887333</v>
      </c>
      <c r="O297" s="118">
        <f t="shared" si="86"/>
        <v>16.666666666666664</v>
      </c>
      <c r="P297" s="119">
        <f t="shared" ca="1" si="87"/>
        <v>31</v>
      </c>
      <c r="Q297" s="120">
        <v>365</v>
      </c>
      <c r="AN297" s="132"/>
      <c r="AO297" s="132"/>
    </row>
    <row r="298" spans="1:41" ht="15.5" x14ac:dyDescent="0.35">
      <c r="A298" s="98">
        <f t="shared" si="76"/>
        <v>255</v>
      </c>
      <c r="B298" s="99">
        <f t="shared" ca="1" si="77"/>
        <v>53817</v>
      </c>
      <c r="C298" s="100">
        <f t="shared" si="78"/>
        <v>58888.888888887333</v>
      </c>
      <c r="D298" s="100">
        <f t="shared" si="79"/>
        <v>641.88888888887197</v>
      </c>
      <c r="E298" s="100">
        <f t="shared" si="80"/>
        <v>59530.777777776202</v>
      </c>
      <c r="F298" s="100">
        <f t="shared" si="67"/>
        <v>555.55555555555554</v>
      </c>
      <c r="G298" s="100">
        <f t="shared" si="81"/>
        <v>2224.9119669789316</v>
      </c>
      <c r="H298" s="100">
        <f t="shared" si="82"/>
        <v>13.544444444444087</v>
      </c>
      <c r="I298" s="100">
        <f t="shared" si="83"/>
        <v>20</v>
      </c>
      <c r="J298" s="100">
        <f t="shared" si="84"/>
        <v>2258.4564114233758</v>
      </c>
      <c r="K298" s="101">
        <f t="shared" si="85"/>
        <v>58333.333333331779</v>
      </c>
      <c r="O298" s="118">
        <f t="shared" si="86"/>
        <v>16.666666666666664</v>
      </c>
      <c r="P298" s="119">
        <f t="shared" ca="1" si="87"/>
        <v>30</v>
      </c>
      <c r="Q298" s="120">
        <v>365</v>
      </c>
      <c r="AN298" s="132"/>
      <c r="AO298" s="132"/>
    </row>
    <row r="299" spans="1:41" ht="15.5" x14ac:dyDescent="0.35">
      <c r="A299" s="98">
        <f t="shared" si="76"/>
        <v>256</v>
      </c>
      <c r="B299" s="99">
        <f t="shared" ca="1" si="77"/>
        <v>53848</v>
      </c>
      <c r="C299" s="100">
        <f t="shared" si="78"/>
        <v>58333.333333331779</v>
      </c>
      <c r="D299" s="100">
        <f t="shared" si="79"/>
        <v>635.83333333331643</v>
      </c>
      <c r="E299" s="100">
        <f t="shared" si="80"/>
        <v>58969.166666665093</v>
      </c>
      <c r="F299" s="100">
        <f t="shared" si="67"/>
        <v>555.55555555555554</v>
      </c>
      <c r="G299" s="100">
        <f t="shared" si="81"/>
        <v>2224.9119669789316</v>
      </c>
      <c r="H299" s="100">
        <f t="shared" si="82"/>
        <v>13.416666666666309</v>
      </c>
      <c r="I299" s="100">
        <f t="shared" si="83"/>
        <v>20</v>
      </c>
      <c r="J299" s="100">
        <f t="shared" si="84"/>
        <v>2258.3286336455981</v>
      </c>
      <c r="K299" s="101">
        <f t="shared" si="85"/>
        <v>57777.777777776224</v>
      </c>
      <c r="O299" s="118">
        <f t="shared" si="86"/>
        <v>16.666666666666664</v>
      </c>
      <c r="P299" s="119">
        <f t="shared" ca="1" si="87"/>
        <v>31</v>
      </c>
      <c r="Q299" s="120">
        <v>365</v>
      </c>
      <c r="AN299" s="132"/>
      <c r="AO299" s="132"/>
    </row>
    <row r="300" spans="1:41" ht="15.5" x14ac:dyDescent="0.35">
      <c r="A300" s="98">
        <f t="shared" si="76"/>
        <v>257</v>
      </c>
      <c r="B300" s="99">
        <f t="shared" ca="1" si="77"/>
        <v>53878</v>
      </c>
      <c r="C300" s="100">
        <f t="shared" si="78"/>
        <v>57777.777777776224</v>
      </c>
      <c r="D300" s="100">
        <f t="shared" si="79"/>
        <v>629.77777777776089</v>
      </c>
      <c r="E300" s="100">
        <f t="shared" si="80"/>
        <v>58407.555555553983</v>
      </c>
      <c r="F300" s="100">
        <f t="shared" si="67"/>
        <v>555.55555555555554</v>
      </c>
      <c r="G300" s="100">
        <f t="shared" si="81"/>
        <v>2224.9119669789316</v>
      </c>
      <c r="H300" s="100">
        <f t="shared" si="82"/>
        <v>13.288888888888533</v>
      </c>
      <c r="I300" s="100">
        <f t="shared" si="83"/>
        <v>20</v>
      </c>
      <c r="J300" s="100">
        <f t="shared" si="84"/>
        <v>2258.2008558678199</v>
      </c>
      <c r="K300" s="101">
        <f t="shared" si="85"/>
        <v>57222.222222220669</v>
      </c>
      <c r="O300" s="118">
        <f t="shared" si="86"/>
        <v>16.666666666666664</v>
      </c>
      <c r="P300" s="119">
        <f t="shared" ca="1" si="87"/>
        <v>30</v>
      </c>
      <c r="Q300" s="120">
        <v>365</v>
      </c>
      <c r="AN300" s="132"/>
      <c r="AO300" s="132"/>
    </row>
    <row r="301" spans="1:41" ht="15.5" x14ac:dyDescent="0.35">
      <c r="A301" s="98">
        <f t="shared" si="76"/>
        <v>258</v>
      </c>
      <c r="B301" s="99">
        <f t="shared" ca="1" si="77"/>
        <v>53909</v>
      </c>
      <c r="C301" s="100">
        <f t="shared" si="78"/>
        <v>57222.222222220669</v>
      </c>
      <c r="D301" s="100">
        <f t="shared" si="79"/>
        <v>623.72222222220535</v>
      </c>
      <c r="E301" s="100">
        <f t="shared" si="80"/>
        <v>57845.944444442874</v>
      </c>
      <c r="F301" s="100">
        <f t="shared" si="67"/>
        <v>555.55555555555554</v>
      </c>
      <c r="G301" s="100">
        <f t="shared" si="81"/>
        <v>2224.9119669789316</v>
      </c>
      <c r="H301" s="100">
        <f t="shared" si="82"/>
        <v>13.161111111110754</v>
      </c>
      <c r="I301" s="100">
        <f t="shared" si="83"/>
        <v>20</v>
      </c>
      <c r="J301" s="100">
        <f t="shared" si="84"/>
        <v>2258.0730780900421</v>
      </c>
      <c r="K301" s="101">
        <f t="shared" si="85"/>
        <v>56666.666666665114</v>
      </c>
      <c r="O301" s="118">
        <f t="shared" si="86"/>
        <v>16.666666666666664</v>
      </c>
      <c r="P301" s="119">
        <f t="shared" ca="1" si="87"/>
        <v>31</v>
      </c>
      <c r="Q301" s="120">
        <v>365</v>
      </c>
      <c r="AN301" s="132"/>
      <c r="AO301" s="132"/>
    </row>
    <row r="302" spans="1:41" ht="15.5" x14ac:dyDescent="0.35">
      <c r="A302" s="98">
        <f t="shared" si="76"/>
        <v>259</v>
      </c>
      <c r="B302" s="99">
        <f t="shared" ca="1" si="77"/>
        <v>53940</v>
      </c>
      <c r="C302" s="100">
        <f t="shared" si="78"/>
        <v>56666.666666665114</v>
      </c>
      <c r="D302" s="100">
        <f t="shared" si="79"/>
        <v>617.66666666664969</v>
      </c>
      <c r="E302" s="100">
        <f t="shared" si="80"/>
        <v>57284.333333331764</v>
      </c>
      <c r="F302" s="100">
        <f t="shared" si="67"/>
        <v>555.55555555555554</v>
      </c>
      <c r="G302" s="100">
        <f t="shared" si="81"/>
        <v>2224.9119669789316</v>
      </c>
      <c r="H302" s="100">
        <f t="shared" si="82"/>
        <v>13.033333333332976</v>
      </c>
      <c r="I302" s="100">
        <f t="shared" si="83"/>
        <v>20</v>
      </c>
      <c r="J302" s="100">
        <f t="shared" si="84"/>
        <v>2257.9453003122644</v>
      </c>
      <c r="K302" s="101">
        <f t="shared" si="85"/>
        <v>56111.11111110956</v>
      </c>
      <c r="O302" s="118">
        <f t="shared" si="86"/>
        <v>16.666666666666664</v>
      </c>
      <c r="P302" s="119">
        <f t="shared" ca="1" si="87"/>
        <v>31</v>
      </c>
      <c r="Q302" s="120">
        <v>365</v>
      </c>
      <c r="AN302" s="132"/>
      <c r="AO302" s="132"/>
    </row>
    <row r="303" spans="1:41" ht="15.5" x14ac:dyDescent="0.35">
      <c r="A303" s="98">
        <f t="shared" si="76"/>
        <v>260</v>
      </c>
      <c r="B303" s="99">
        <f t="shared" ca="1" si="77"/>
        <v>53970</v>
      </c>
      <c r="C303" s="100">
        <f t="shared" si="78"/>
        <v>56111.11111110956</v>
      </c>
      <c r="D303" s="100">
        <f t="shared" si="79"/>
        <v>611.61111111109415</v>
      </c>
      <c r="E303" s="100">
        <f t="shared" si="80"/>
        <v>56722.722222220655</v>
      </c>
      <c r="F303" s="100">
        <f t="shared" si="67"/>
        <v>555.55555555555554</v>
      </c>
      <c r="G303" s="100">
        <f t="shared" si="81"/>
        <v>2224.9119669789316</v>
      </c>
      <c r="H303" s="100">
        <f t="shared" si="82"/>
        <v>12.9055555555552</v>
      </c>
      <c r="I303" s="100">
        <f t="shared" si="83"/>
        <v>20</v>
      </c>
      <c r="J303" s="100">
        <f t="shared" si="84"/>
        <v>2257.8175225344867</v>
      </c>
      <c r="K303" s="101">
        <f t="shared" si="85"/>
        <v>55555.555555554005</v>
      </c>
      <c r="O303" s="118">
        <f t="shared" si="86"/>
        <v>16.666666666666664</v>
      </c>
      <c r="P303" s="119">
        <f t="shared" ca="1" si="87"/>
        <v>30</v>
      </c>
      <c r="Q303" s="120">
        <v>365</v>
      </c>
      <c r="AN303" s="132"/>
      <c r="AO303" s="132"/>
    </row>
    <row r="304" spans="1:41" ht="15.5" x14ac:dyDescent="0.35">
      <c r="A304" s="98">
        <f t="shared" si="76"/>
        <v>261</v>
      </c>
      <c r="B304" s="99">
        <f t="shared" ca="1" si="77"/>
        <v>54001</v>
      </c>
      <c r="C304" s="100">
        <f t="shared" si="78"/>
        <v>55555.555555554005</v>
      </c>
      <c r="D304" s="100">
        <f t="shared" si="79"/>
        <v>605.5555555555386</v>
      </c>
      <c r="E304" s="100">
        <f t="shared" si="80"/>
        <v>56161.111111109545</v>
      </c>
      <c r="F304" s="100">
        <f t="shared" si="67"/>
        <v>555.55555555555554</v>
      </c>
      <c r="G304" s="100">
        <f t="shared" si="81"/>
        <v>2224.9119669789316</v>
      </c>
      <c r="H304" s="100">
        <f t="shared" si="82"/>
        <v>12.777777777777422</v>
      </c>
      <c r="I304" s="100">
        <f t="shared" si="83"/>
        <v>20</v>
      </c>
      <c r="J304" s="100">
        <f t="shared" si="84"/>
        <v>2257.6897447567089</v>
      </c>
      <c r="K304" s="101">
        <f t="shared" si="85"/>
        <v>54999.99999999845</v>
      </c>
      <c r="O304" s="118">
        <f t="shared" si="86"/>
        <v>16.666666666666664</v>
      </c>
      <c r="P304" s="119">
        <f t="shared" ca="1" si="87"/>
        <v>31</v>
      </c>
      <c r="Q304" s="120">
        <v>365</v>
      </c>
      <c r="AN304" s="132"/>
      <c r="AO304" s="132"/>
    </row>
    <row r="305" spans="1:41" ht="15.5" x14ac:dyDescent="0.35">
      <c r="A305" s="98">
        <f t="shared" si="76"/>
        <v>262</v>
      </c>
      <c r="B305" s="99">
        <f t="shared" ca="1" si="77"/>
        <v>54031</v>
      </c>
      <c r="C305" s="100">
        <f t="shared" si="78"/>
        <v>54999.99999999845</v>
      </c>
      <c r="D305" s="100">
        <f t="shared" si="79"/>
        <v>599.49999999998306</v>
      </c>
      <c r="E305" s="100">
        <f t="shared" si="80"/>
        <v>55599.499999998436</v>
      </c>
      <c r="F305" s="100">
        <f t="shared" si="67"/>
        <v>555.55555555555554</v>
      </c>
      <c r="G305" s="100">
        <f t="shared" si="81"/>
        <v>2224.9119669789316</v>
      </c>
      <c r="H305" s="100">
        <f t="shared" si="82"/>
        <v>12.649999999999643</v>
      </c>
      <c r="I305" s="100">
        <f t="shared" si="83"/>
        <v>20</v>
      </c>
      <c r="J305" s="100">
        <f t="shared" si="84"/>
        <v>2257.5619669789312</v>
      </c>
      <c r="K305" s="101">
        <f t="shared" si="85"/>
        <v>54444.444444442895</v>
      </c>
      <c r="O305" s="118">
        <f t="shared" si="86"/>
        <v>16.666666666666664</v>
      </c>
      <c r="P305" s="119">
        <f t="shared" ca="1" si="87"/>
        <v>30</v>
      </c>
      <c r="Q305" s="120">
        <v>365</v>
      </c>
      <c r="AN305" s="132"/>
      <c r="AO305" s="132"/>
    </row>
    <row r="306" spans="1:41" ht="15.5" x14ac:dyDescent="0.35">
      <c r="A306" s="98">
        <f t="shared" si="76"/>
        <v>263</v>
      </c>
      <c r="B306" s="99">
        <f t="shared" ca="1" si="77"/>
        <v>54062</v>
      </c>
      <c r="C306" s="100">
        <f t="shared" si="78"/>
        <v>54444.444444442895</v>
      </c>
      <c r="D306" s="100">
        <f t="shared" si="79"/>
        <v>593.44444444442752</v>
      </c>
      <c r="E306" s="100">
        <f t="shared" si="80"/>
        <v>55037.888888887326</v>
      </c>
      <c r="F306" s="100">
        <f t="shared" si="67"/>
        <v>555.55555555555554</v>
      </c>
      <c r="G306" s="100">
        <f t="shared" si="81"/>
        <v>2224.9119669789316</v>
      </c>
      <c r="H306" s="100">
        <f t="shared" si="82"/>
        <v>12.522222222221867</v>
      </c>
      <c r="I306" s="100">
        <f t="shared" si="83"/>
        <v>20</v>
      </c>
      <c r="J306" s="100">
        <f t="shared" si="84"/>
        <v>2257.4341892011535</v>
      </c>
      <c r="K306" s="101">
        <f t="shared" si="85"/>
        <v>53888.888888887341</v>
      </c>
      <c r="O306" s="118">
        <f t="shared" si="86"/>
        <v>16.666666666666664</v>
      </c>
      <c r="P306" s="119">
        <f t="shared" ca="1" si="87"/>
        <v>31</v>
      </c>
      <c r="Q306" s="120">
        <v>365</v>
      </c>
      <c r="AN306" s="132"/>
      <c r="AO306" s="132"/>
    </row>
    <row r="307" spans="1:41" ht="15.5" x14ac:dyDescent="0.35">
      <c r="A307" s="98">
        <f t="shared" si="76"/>
        <v>264</v>
      </c>
      <c r="B307" s="99">
        <f t="shared" ca="1" si="77"/>
        <v>54093</v>
      </c>
      <c r="C307" s="100">
        <f t="shared" si="78"/>
        <v>53888.888888887341</v>
      </c>
      <c r="D307" s="100">
        <f t="shared" si="79"/>
        <v>587.38888888887197</v>
      </c>
      <c r="E307" s="100">
        <f t="shared" si="80"/>
        <v>54476.277777776209</v>
      </c>
      <c r="F307" s="100">
        <f t="shared" si="67"/>
        <v>555.55555555555554</v>
      </c>
      <c r="G307" s="100">
        <f t="shared" si="81"/>
        <v>2224.9119669789316</v>
      </c>
      <c r="H307" s="100">
        <f t="shared" si="82"/>
        <v>12.394444444444089</v>
      </c>
      <c r="I307" s="100">
        <f t="shared" si="83"/>
        <v>20</v>
      </c>
      <c r="J307" s="100">
        <f t="shared" si="84"/>
        <v>2257.3064114233757</v>
      </c>
      <c r="K307" s="101">
        <f t="shared" si="85"/>
        <v>53333.333333331786</v>
      </c>
      <c r="O307" s="118">
        <f t="shared" si="86"/>
        <v>16.666666666666664</v>
      </c>
      <c r="P307" s="119">
        <f t="shared" ca="1" si="87"/>
        <v>31</v>
      </c>
      <c r="Q307" s="120">
        <v>365</v>
      </c>
      <c r="AN307" s="132"/>
      <c r="AO307" s="132"/>
    </row>
    <row r="308" spans="1:41" ht="15.5" x14ac:dyDescent="0.35">
      <c r="A308" s="98">
        <f t="shared" si="76"/>
        <v>265</v>
      </c>
      <c r="B308" s="99">
        <f t="shared" ca="1" si="77"/>
        <v>54122</v>
      </c>
      <c r="C308" s="100">
        <f t="shared" si="78"/>
        <v>53333.333333331786</v>
      </c>
      <c r="D308" s="100">
        <f t="shared" si="79"/>
        <v>581.33333333331643</v>
      </c>
      <c r="E308" s="100">
        <f t="shared" si="80"/>
        <v>53914.6666666651</v>
      </c>
      <c r="F308" s="100">
        <f t="shared" si="67"/>
        <v>555.55555555555554</v>
      </c>
      <c r="G308" s="100">
        <f t="shared" si="81"/>
        <v>2224.9119669789316</v>
      </c>
      <c r="H308" s="100">
        <f t="shared" si="82"/>
        <v>12.26666666666631</v>
      </c>
      <c r="I308" s="100">
        <f t="shared" si="83"/>
        <v>20</v>
      </c>
      <c r="J308" s="100">
        <f t="shared" si="84"/>
        <v>2257.178633645598</v>
      </c>
      <c r="K308" s="101">
        <f t="shared" si="85"/>
        <v>52777.777777776231</v>
      </c>
      <c r="O308" s="118">
        <f t="shared" si="86"/>
        <v>16.666666666666664</v>
      </c>
      <c r="P308" s="119">
        <f t="shared" ca="1" si="87"/>
        <v>29</v>
      </c>
      <c r="Q308" s="120">
        <v>365</v>
      </c>
      <c r="AN308" s="132"/>
      <c r="AO308" s="132"/>
    </row>
    <row r="309" spans="1:41" ht="15.5" x14ac:dyDescent="0.35">
      <c r="A309" s="98">
        <f t="shared" si="76"/>
        <v>266</v>
      </c>
      <c r="B309" s="99">
        <f t="shared" ca="1" si="77"/>
        <v>54153</v>
      </c>
      <c r="C309" s="100">
        <f t="shared" si="78"/>
        <v>52777.777777776231</v>
      </c>
      <c r="D309" s="100">
        <f t="shared" si="79"/>
        <v>575.27777777776089</v>
      </c>
      <c r="E309" s="100">
        <f t="shared" si="80"/>
        <v>53353.05555555399</v>
      </c>
      <c r="F309" s="100">
        <f t="shared" si="67"/>
        <v>555.55555555555554</v>
      </c>
      <c r="G309" s="100">
        <f t="shared" si="81"/>
        <v>2224.9119669789316</v>
      </c>
      <c r="H309" s="100">
        <f t="shared" si="82"/>
        <v>12.138888888888534</v>
      </c>
      <c r="I309" s="100">
        <f t="shared" si="83"/>
        <v>20</v>
      </c>
      <c r="J309" s="100">
        <f t="shared" si="84"/>
        <v>2257.0508558678202</v>
      </c>
      <c r="K309" s="101">
        <f t="shared" si="85"/>
        <v>52222.222222220676</v>
      </c>
      <c r="O309" s="118">
        <f t="shared" si="86"/>
        <v>16.666666666666664</v>
      </c>
      <c r="P309" s="119">
        <f t="shared" ca="1" si="87"/>
        <v>31</v>
      </c>
      <c r="Q309" s="120">
        <v>365</v>
      </c>
      <c r="AN309" s="132"/>
      <c r="AO309" s="132"/>
    </row>
    <row r="310" spans="1:41" ht="15.5" x14ac:dyDescent="0.35">
      <c r="A310" s="98">
        <f t="shared" si="76"/>
        <v>267</v>
      </c>
      <c r="B310" s="99">
        <f t="shared" ca="1" si="77"/>
        <v>54183</v>
      </c>
      <c r="C310" s="100">
        <f t="shared" si="78"/>
        <v>52222.222222220676</v>
      </c>
      <c r="D310" s="100">
        <f t="shared" si="79"/>
        <v>569.22222222220535</v>
      </c>
      <c r="E310" s="100">
        <f t="shared" si="80"/>
        <v>52791.444444442881</v>
      </c>
      <c r="F310" s="100">
        <f t="shared" si="67"/>
        <v>555.55555555555554</v>
      </c>
      <c r="G310" s="100">
        <f t="shared" si="81"/>
        <v>2224.9119669789316</v>
      </c>
      <c r="H310" s="100">
        <f t="shared" si="82"/>
        <v>12.011111111110756</v>
      </c>
      <c r="I310" s="100">
        <f t="shared" si="83"/>
        <v>20</v>
      </c>
      <c r="J310" s="100">
        <f t="shared" si="84"/>
        <v>2256.9230780900425</v>
      </c>
      <c r="K310" s="101">
        <f t="shared" si="85"/>
        <v>51666.666666665122</v>
      </c>
      <c r="O310" s="118">
        <f t="shared" si="86"/>
        <v>16.666666666666664</v>
      </c>
      <c r="P310" s="119">
        <f t="shared" ca="1" si="87"/>
        <v>30</v>
      </c>
      <c r="Q310" s="120">
        <v>365</v>
      </c>
      <c r="AN310" s="132"/>
      <c r="AO310" s="132"/>
    </row>
    <row r="311" spans="1:41" ht="15.5" x14ac:dyDescent="0.35">
      <c r="A311" s="98">
        <f t="shared" si="76"/>
        <v>268</v>
      </c>
      <c r="B311" s="99">
        <f t="shared" ca="1" si="77"/>
        <v>54214</v>
      </c>
      <c r="C311" s="100">
        <f t="shared" si="78"/>
        <v>51666.666666665122</v>
      </c>
      <c r="D311" s="100">
        <f t="shared" si="79"/>
        <v>563.1666666666498</v>
      </c>
      <c r="E311" s="100">
        <f t="shared" si="80"/>
        <v>52229.833333331771</v>
      </c>
      <c r="F311" s="100">
        <f t="shared" si="67"/>
        <v>555.55555555555554</v>
      </c>
      <c r="G311" s="100">
        <f t="shared" si="81"/>
        <v>2224.9119669789316</v>
      </c>
      <c r="H311" s="100">
        <f t="shared" si="82"/>
        <v>11.883333333332978</v>
      </c>
      <c r="I311" s="100">
        <f t="shared" si="83"/>
        <v>20</v>
      </c>
      <c r="J311" s="100">
        <f t="shared" si="84"/>
        <v>2256.7953003122643</v>
      </c>
      <c r="K311" s="101">
        <f t="shared" si="85"/>
        <v>51111.111111109567</v>
      </c>
      <c r="O311" s="118">
        <f t="shared" si="86"/>
        <v>16.666666666666664</v>
      </c>
      <c r="P311" s="119">
        <f t="shared" ca="1" si="87"/>
        <v>31</v>
      </c>
      <c r="Q311" s="120">
        <v>365</v>
      </c>
      <c r="AN311" s="132"/>
      <c r="AO311" s="132"/>
    </row>
    <row r="312" spans="1:41" ht="15.5" x14ac:dyDescent="0.35">
      <c r="A312" s="98">
        <f t="shared" si="76"/>
        <v>269</v>
      </c>
      <c r="B312" s="99">
        <f t="shared" ca="1" si="77"/>
        <v>54244</v>
      </c>
      <c r="C312" s="100">
        <f t="shared" si="78"/>
        <v>51111.111111109567</v>
      </c>
      <c r="D312" s="100">
        <f t="shared" si="79"/>
        <v>557.11111111109426</v>
      </c>
      <c r="E312" s="100">
        <f t="shared" si="80"/>
        <v>51668.222222220662</v>
      </c>
      <c r="F312" s="100">
        <f t="shared" si="67"/>
        <v>555.55555555555554</v>
      </c>
      <c r="G312" s="100">
        <f t="shared" si="81"/>
        <v>2224.9119669789316</v>
      </c>
      <c r="H312" s="100">
        <f t="shared" si="82"/>
        <v>11.755555555555201</v>
      </c>
      <c r="I312" s="100">
        <f t="shared" si="83"/>
        <v>20</v>
      </c>
      <c r="J312" s="100">
        <f t="shared" si="84"/>
        <v>2256.6675225344866</v>
      </c>
      <c r="K312" s="101">
        <f t="shared" si="85"/>
        <v>50555.555555554012</v>
      </c>
      <c r="O312" s="118">
        <f t="shared" si="86"/>
        <v>16.666666666666664</v>
      </c>
      <c r="P312" s="119">
        <f t="shared" ca="1" si="87"/>
        <v>30</v>
      </c>
      <c r="Q312" s="120">
        <v>365</v>
      </c>
      <c r="AN312" s="132"/>
      <c r="AO312" s="132"/>
    </row>
    <row r="313" spans="1:41" ht="15.5" x14ac:dyDescent="0.35">
      <c r="A313" s="98">
        <f t="shared" si="76"/>
        <v>270</v>
      </c>
      <c r="B313" s="99">
        <f t="shared" ca="1" si="77"/>
        <v>54275</v>
      </c>
      <c r="C313" s="100">
        <f t="shared" si="78"/>
        <v>50555.555555554012</v>
      </c>
      <c r="D313" s="100">
        <f t="shared" si="79"/>
        <v>551.05555555553872</v>
      </c>
      <c r="E313" s="100">
        <f t="shared" si="80"/>
        <v>51106.611111109552</v>
      </c>
      <c r="F313" s="100">
        <f t="shared" si="67"/>
        <v>555.55555555555554</v>
      </c>
      <c r="G313" s="100">
        <f t="shared" si="81"/>
        <v>2224.9119669789316</v>
      </c>
      <c r="H313" s="100">
        <f t="shared" si="82"/>
        <v>11.627777777777423</v>
      </c>
      <c r="I313" s="100">
        <f t="shared" si="83"/>
        <v>20</v>
      </c>
      <c r="J313" s="100">
        <f t="shared" si="84"/>
        <v>2256.5397447567088</v>
      </c>
      <c r="K313" s="101">
        <f t="shared" si="85"/>
        <v>49999.999999998457</v>
      </c>
      <c r="O313" s="118">
        <f t="shared" si="86"/>
        <v>16.666666666666664</v>
      </c>
      <c r="P313" s="119">
        <f t="shared" ca="1" si="87"/>
        <v>31</v>
      </c>
      <c r="Q313" s="120">
        <v>365</v>
      </c>
      <c r="AN313" s="132"/>
      <c r="AO313" s="132"/>
    </row>
    <row r="314" spans="1:41" ht="15.5" x14ac:dyDescent="0.35">
      <c r="A314" s="98">
        <f t="shared" si="76"/>
        <v>271</v>
      </c>
      <c r="B314" s="99">
        <f t="shared" ca="1" si="77"/>
        <v>54306</v>
      </c>
      <c r="C314" s="100">
        <f t="shared" si="78"/>
        <v>49999.999999998457</v>
      </c>
      <c r="D314" s="100">
        <f t="shared" si="79"/>
        <v>544.99999999998317</v>
      </c>
      <c r="E314" s="100">
        <f t="shared" si="80"/>
        <v>50544.999999998443</v>
      </c>
      <c r="F314" s="100">
        <f t="shared" si="67"/>
        <v>555.55555555555554</v>
      </c>
      <c r="G314" s="100">
        <f t="shared" si="81"/>
        <v>2224.9119669789316</v>
      </c>
      <c r="H314" s="100">
        <f t="shared" si="82"/>
        <v>11.499999999999645</v>
      </c>
      <c r="I314" s="100">
        <f t="shared" si="83"/>
        <v>20</v>
      </c>
      <c r="J314" s="100">
        <f t="shared" si="84"/>
        <v>2256.4119669789311</v>
      </c>
      <c r="K314" s="101">
        <f t="shared" si="85"/>
        <v>49444.444444442903</v>
      </c>
      <c r="O314" s="118">
        <f t="shared" si="86"/>
        <v>16.666666666666664</v>
      </c>
      <c r="P314" s="119">
        <f t="shared" ca="1" si="87"/>
        <v>31</v>
      </c>
      <c r="Q314" s="120">
        <v>365</v>
      </c>
      <c r="AN314" s="132"/>
      <c r="AO314" s="132"/>
    </row>
    <row r="315" spans="1:41" ht="15.5" x14ac:dyDescent="0.35">
      <c r="A315" s="98">
        <f t="shared" si="76"/>
        <v>272</v>
      </c>
      <c r="B315" s="99">
        <f t="shared" ca="1" si="77"/>
        <v>54336</v>
      </c>
      <c r="C315" s="100">
        <f t="shared" si="78"/>
        <v>49444.444444442903</v>
      </c>
      <c r="D315" s="100">
        <f t="shared" si="79"/>
        <v>538.94444444442763</v>
      </c>
      <c r="E315" s="100">
        <f t="shared" si="80"/>
        <v>49983.388888887333</v>
      </c>
      <c r="F315" s="100">
        <f t="shared" si="67"/>
        <v>555.55555555555554</v>
      </c>
      <c r="G315" s="100">
        <f t="shared" si="81"/>
        <v>2224.9119669789316</v>
      </c>
      <c r="H315" s="100">
        <f t="shared" si="82"/>
        <v>11.372222222221868</v>
      </c>
      <c r="I315" s="100">
        <f t="shared" si="83"/>
        <v>20</v>
      </c>
      <c r="J315" s="100">
        <f t="shared" si="84"/>
        <v>2256.2841892011534</v>
      </c>
      <c r="K315" s="101">
        <f t="shared" si="85"/>
        <v>48888.888888887348</v>
      </c>
      <c r="O315" s="118">
        <f t="shared" si="86"/>
        <v>16.666666666666664</v>
      </c>
      <c r="P315" s="119">
        <f t="shared" ca="1" si="87"/>
        <v>30</v>
      </c>
      <c r="Q315" s="120">
        <v>365</v>
      </c>
      <c r="AN315" s="132"/>
      <c r="AO315" s="132"/>
    </row>
    <row r="316" spans="1:41" ht="15.5" x14ac:dyDescent="0.35">
      <c r="A316" s="98">
        <f t="shared" si="76"/>
        <v>273</v>
      </c>
      <c r="B316" s="99">
        <f t="shared" ca="1" si="77"/>
        <v>54367</v>
      </c>
      <c r="C316" s="100">
        <f t="shared" si="78"/>
        <v>48888.888888887348</v>
      </c>
      <c r="D316" s="100">
        <f t="shared" si="79"/>
        <v>532.88888888887209</v>
      </c>
      <c r="E316" s="100">
        <f t="shared" si="80"/>
        <v>49421.777777776217</v>
      </c>
      <c r="F316" s="100">
        <f t="shared" si="67"/>
        <v>555.55555555555554</v>
      </c>
      <c r="G316" s="100">
        <f t="shared" si="81"/>
        <v>2224.9119669789316</v>
      </c>
      <c r="H316" s="100">
        <f t="shared" si="82"/>
        <v>11.24444444444409</v>
      </c>
      <c r="I316" s="100">
        <f t="shared" si="83"/>
        <v>20</v>
      </c>
      <c r="J316" s="100">
        <f t="shared" si="84"/>
        <v>2256.1564114233756</v>
      </c>
      <c r="K316" s="101">
        <f t="shared" si="85"/>
        <v>48333.333333331793</v>
      </c>
      <c r="O316" s="118">
        <f t="shared" si="86"/>
        <v>16.666666666666664</v>
      </c>
      <c r="P316" s="119">
        <f t="shared" ca="1" si="87"/>
        <v>31</v>
      </c>
      <c r="Q316" s="120">
        <v>365</v>
      </c>
      <c r="AN316" s="132"/>
      <c r="AO316" s="132"/>
    </row>
    <row r="317" spans="1:41" ht="15.5" x14ac:dyDescent="0.35">
      <c r="A317" s="98">
        <f t="shared" si="76"/>
        <v>274</v>
      </c>
      <c r="B317" s="99">
        <f t="shared" ca="1" si="77"/>
        <v>54397</v>
      </c>
      <c r="C317" s="100">
        <f t="shared" si="78"/>
        <v>48333.333333331793</v>
      </c>
      <c r="D317" s="100">
        <f t="shared" si="79"/>
        <v>526.83333333331655</v>
      </c>
      <c r="E317" s="100">
        <f t="shared" si="80"/>
        <v>48860.166666665107</v>
      </c>
      <c r="F317" s="100">
        <f t="shared" si="67"/>
        <v>555.55555555555554</v>
      </c>
      <c r="G317" s="100">
        <f t="shared" si="81"/>
        <v>2224.9119669789316</v>
      </c>
      <c r="H317" s="100">
        <f t="shared" si="82"/>
        <v>11.116666666666314</v>
      </c>
      <c r="I317" s="100">
        <f t="shared" si="83"/>
        <v>20</v>
      </c>
      <c r="J317" s="100">
        <f t="shared" si="84"/>
        <v>2256.0286336455979</v>
      </c>
      <c r="K317" s="101">
        <f t="shared" si="85"/>
        <v>47777.777777776239</v>
      </c>
      <c r="O317" s="118">
        <f t="shared" si="86"/>
        <v>16.666666666666664</v>
      </c>
      <c r="P317" s="119">
        <f t="shared" ca="1" si="87"/>
        <v>30</v>
      </c>
      <c r="Q317" s="120">
        <v>365</v>
      </c>
      <c r="AN317" s="132"/>
      <c r="AO317" s="132"/>
    </row>
    <row r="318" spans="1:41" ht="15.5" x14ac:dyDescent="0.35">
      <c r="A318" s="98">
        <f t="shared" si="76"/>
        <v>275</v>
      </c>
      <c r="B318" s="99">
        <f t="shared" ca="1" si="77"/>
        <v>54428</v>
      </c>
      <c r="C318" s="100">
        <f t="shared" si="78"/>
        <v>47777.777777776239</v>
      </c>
      <c r="D318" s="100">
        <f t="shared" si="79"/>
        <v>520.777777777761</v>
      </c>
      <c r="E318" s="100">
        <f t="shared" si="80"/>
        <v>48298.555555553998</v>
      </c>
      <c r="F318" s="100">
        <f t="shared" si="67"/>
        <v>555.55555555555554</v>
      </c>
      <c r="G318" s="100">
        <f t="shared" si="81"/>
        <v>2224.9119669789316</v>
      </c>
      <c r="H318" s="100">
        <f t="shared" si="82"/>
        <v>10.988888888888535</v>
      </c>
      <c r="I318" s="100">
        <f t="shared" si="83"/>
        <v>20</v>
      </c>
      <c r="J318" s="100">
        <f t="shared" si="84"/>
        <v>2255.9008558678202</v>
      </c>
      <c r="K318" s="101">
        <f t="shared" si="85"/>
        <v>47222.222222220684</v>
      </c>
      <c r="O318" s="118">
        <f t="shared" si="86"/>
        <v>16.666666666666664</v>
      </c>
      <c r="P318" s="119">
        <f t="shared" ca="1" si="87"/>
        <v>31</v>
      </c>
      <c r="Q318" s="120">
        <v>365</v>
      </c>
      <c r="AN318" s="132"/>
      <c r="AO318" s="132"/>
    </row>
    <row r="319" spans="1:41" ht="15.5" x14ac:dyDescent="0.35">
      <c r="A319" s="98">
        <f t="shared" si="76"/>
        <v>276</v>
      </c>
      <c r="B319" s="99">
        <f t="shared" ca="1" si="77"/>
        <v>54459</v>
      </c>
      <c r="C319" s="100">
        <f t="shared" si="78"/>
        <v>47222.222222220684</v>
      </c>
      <c r="D319" s="100">
        <f t="shared" si="79"/>
        <v>514.72222222220546</v>
      </c>
      <c r="E319" s="100">
        <f t="shared" si="80"/>
        <v>47736.944444442888</v>
      </c>
      <c r="F319" s="100">
        <f t="shared" si="67"/>
        <v>555.55555555555554</v>
      </c>
      <c r="G319" s="100">
        <f t="shared" si="81"/>
        <v>2224.9119669789316</v>
      </c>
      <c r="H319" s="100">
        <f t="shared" si="82"/>
        <v>10.861111111110757</v>
      </c>
      <c r="I319" s="100">
        <f t="shared" si="83"/>
        <v>20</v>
      </c>
      <c r="J319" s="100">
        <f t="shared" si="84"/>
        <v>2255.7730780900424</v>
      </c>
      <c r="K319" s="101">
        <f t="shared" si="85"/>
        <v>46666.666666665129</v>
      </c>
      <c r="O319" s="118">
        <f t="shared" si="86"/>
        <v>16.666666666666664</v>
      </c>
      <c r="P319" s="119">
        <f t="shared" ca="1" si="87"/>
        <v>31</v>
      </c>
      <c r="Q319" s="120">
        <v>365</v>
      </c>
      <c r="AN319" s="132"/>
      <c r="AO319" s="132"/>
    </row>
    <row r="320" spans="1:41" ht="15.5" x14ac:dyDescent="0.35">
      <c r="A320" s="98">
        <f t="shared" si="76"/>
        <v>277</v>
      </c>
      <c r="B320" s="99">
        <f t="shared" ca="1" si="77"/>
        <v>54487</v>
      </c>
      <c r="C320" s="100">
        <f t="shared" si="78"/>
        <v>46666.666666665129</v>
      </c>
      <c r="D320" s="100">
        <f t="shared" si="79"/>
        <v>508.66666666664992</v>
      </c>
      <c r="E320" s="100">
        <f t="shared" si="80"/>
        <v>47175.333333331779</v>
      </c>
      <c r="F320" s="100">
        <f t="shared" si="67"/>
        <v>555.55555555555554</v>
      </c>
      <c r="G320" s="100">
        <f t="shared" si="81"/>
        <v>2224.9119669789316</v>
      </c>
      <c r="H320" s="100">
        <f t="shared" si="82"/>
        <v>10.733333333332981</v>
      </c>
      <c r="I320" s="100">
        <f t="shared" si="83"/>
        <v>20</v>
      </c>
      <c r="J320" s="100">
        <f t="shared" si="84"/>
        <v>2255.6453003122647</v>
      </c>
      <c r="K320" s="101">
        <f t="shared" si="85"/>
        <v>46111.111111109574</v>
      </c>
      <c r="O320" s="118">
        <f t="shared" si="86"/>
        <v>16.666666666666664</v>
      </c>
      <c r="P320" s="119">
        <f t="shared" ca="1" si="87"/>
        <v>28</v>
      </c>
      <c r="Q320" s="120">
        <v>365</v>
      </c>
      <c r="AN320" s="132"/>
      <c r="AO320" s="132"/>
    </row>
    <row r="321" spans="1:41" ht="15.5" x14ac:dyDescent="0.35">
      <c r="A321" s="98">
        <f t="shared" si="76"/>
        <v>278</v>
      </c>
      <c r="B321" s="99">
        <f t="shared" ca="1" si="77"/>
        <v>54518</v>
      </c>
      <c r="C321" s="100">
        <f t="shared" si="78"/>
        <v>46111.111111109574</v>
      </c>
      <c r="D321" s="100">
        <f t="shared" si="79"/>
        <v>502.61111111109437</v>
      </c>
      <c r="E321" s="100">
        <f t="shared" si="80"/>
        <v>46613.722222220669</v>
      </c>
      <c r="F321" s="100">
        <f t="shared" si="67"/>
        <v>555.55555555555554</v>
      </c>
      <c r="G321" s="100">
        <f t="shared" si="81"/>
        <v>2224.9119669789316</v>
      </c>
      <c r="H321" s="100">
        <f t="shared" si="82"/>
        <v>10.605555555555203</v>
      </c>
      <c r="I321" s="100">
        <f t="shared" si="83"/>
        <v>20</v>
      </c>
      <c r="J321" s="100">
        <f t="shared" si="84"/>
        <v>2255.5175225344869</v>
      </c>
      <c r="K321" s="101">
        <f t="shared" si="85"/>
        <v>45555.55555555402</v>
      </c>
      <c r="O321" s="118">
        <f t="shared" si="86"/>
        <v>16.666666666666664</v>
      </c>
      <c r="P321" s="119">
        <f t="shared" ca="1" si="87"/>
        <v>31</v>
      </c>
      <c r="Q321" s="120">
        <v>365</v>
      </c>
      <c r="AN321" s="132"/>
      <c r="AO321" s="132"/>
    </row>
    <row r="322" spans="1:41" ht="15.5" x14ac:dyDescent="0.35">
      <c r="A322" s="98">
        <f t="shared" si="76"/>
        <v>279</v>
      </c>
      <c r="B322" s="99">
        <f t="shared" ca="1" si="77"/>
        <v>54548</v>
      </c>
      <c r="C322" s="100">
        <f t="shared" si="78"/>
        <v>45555.55555555402</v>
      </c>
      <c r="D322" s="100">
        <f t="shared" si="79"/>
        <v>496.55555555553883</v>
      </c>
      <c r="E322" s="100">
        <f t="shared" si="80"/>
        <v>46052.11111110956</v>
      </c>
      <c r="F322" s="100">
        <f t="shared" si="67"/>
        <v>555.55555555555554</v>
      </c>
      <c r="G322" s="100">
        <f t="shared" si="81"/>
        <v>2224.9119669789316</v>
      </c>
      <c r="H322" s="100">
        <f t="shared" si="82"/>
        <v>10.477777777777424</v>
      </c>
      <c r="I322" s="100">
        <f t="shared" si="83"/>
        <v>20</v>
      </c>
      <c r="J322" s="100">
        <f t="shared" si="84"/>
        <v>2255.3897447567092</v>
      </c>
      <c r="K322" s="101">
        <f t="shared" si="85"/>
        <v>44999.999999998465</v>
      </c>
      <c r="O322" s="118">
        <f t="shared" si="86"/>
        <v>16.666666666666664</v>
      </c>
      <c r="P322" s="119">
        <f t="shared" ca="1" si="87"/>
        <v>30</v>
      </c>
      <c r="Q322" s="120">
        <v>365</v>
      </c>
      <c r="AN322" s="132"/>
      <c r="AO322" s="132"/>
    </row>
    <row r="323" spans="1:41" ht="15.5" x14ac:dyDescent="0.35">
      <c r="A323" s="98">
        <f t="shared" si="76"/>
        <v>280</v>
      </c>
      <c r="B323" s="99">
        <f t="shared" ca="1" si="77"/>
        <v>54579</v>
      </c>
      <c r="C323" s="100">
        <f t="shared" si="78"/>
        <v>44999.999999998465</v>
      </c>
      <c r="D323" s="100">
        <f t="shared" si="79"/>
        <v>490.49999999998329</v>
      </c>
      <c r="E323" s="100">
        <f t="shared" si="80"/>
        <v>45490.49999999845</v>
      </c>
      <c r="F323" s="100">
        <f t="shared" si="67"/>
        <v>555.55555555555554</v>
      </c>
      <c r="G323" s="100">
        <f t="shared" si="81"/>
        <v>2224.9119669789316</v>
      </c>
      <c r="H323" s="100">
        <f t="shared" si="82"/>
        <v>10.349999999999648</v>
      </c>
      <c r="I323" s="100">
        <f t="shared" si="83"/>
        <v>20</v>
      </c>
      <c r="J323" s="100">
        <f t="shared" si="84"/>
        <v>2255.261966978931</v>
      </c>
      <c r="K323" s="101">
        <f t="shared" si="85"/>
        <v>44444.44444444291</v>
      </c>
      <c r="O323" s="118">
        <f t="shared" si="86"/>
        <v>16.666666666666664</v>
      </c>
      <c r="P323" s="119">
        <f t="shared" ca="1" si="87"/>
        <v>31</v>
      </c>
      <c r="Q323" s="120">
        <v>365</v>
      </c>
      <c r="AN323" s="132"/>
      <c r="AO323" s="132"/>
    </row>
    <row r="324" spans="1:41" ht="15.5" x14ac:dyDescent="0.35">
      <c r="A324" s="98">
        <f t="shared" si="76"/>
        <v>281</v>
      </c>
      <c r="B324" s="99">
        <f t="shared" ca="1" si="77"/>
        <v>54609</v>
      </c>
      <c r="C324" s="100">
        <f t="shared" si="78"/>
        <v>44444.44444444291</v>
      </c>
      <c r="D324" s="100">
        <f t="shared" si="79"/>
        <v>484.44444444442775</v>
      </c>
      <c r="E324" s="100">
        <f t="shared" si="80"/>
        <v>44928.888888887341</v>
      </c>
      <c r="F324" s="100">
        <f t="shared" si="67"/>
        <v>555.55555555555554</v>
      </c>
      <c r="G324" s="100">
        <f t="shared" si="81"/>
        <v>2224.9119669789316</v>
      </c>
      <c r="H324" s="100">
        <f t="shared" si="82"/>
        <v>10.22222222222187</v>
      </c>
      <c r="I324" s="100">
        <f t="shared" si="83"/>
        <v>20</v>
      </c>
      <c r="J324" s="100">
        <f t="shared" si="84"/>
        <v>2255.1341892011533</v>
      </c>
      <c r="K324" s="101">
        <f t="shared" si="85"/>
        <v>43888.888888887355</v>
      </c>
      <c r="O324" s="118">
        <f t="shared" si="86"/>
        <v>16.666666666666664</v>
      </c>
      <c r="P324" s="119">
        <f t="shared" ca="1" si="87"/>
        <v>30</v>
      </c>
      <c r="Q324" s="120">
        <v>365</v>
      </c>
      <c r="AN324" s="132"/>
      <c r="AO324" s="132"/>
    </row>
    <row r="325" spans="1:41" ht="15.5" x14ac:dyDescent="0.35">
      <c r="A325" s="98">
        <f t="shared" si="76"/>
        <v>282</v>
      </c>
      <c r="B325" s="99">
        <f t="shared" ca="1" si="77"/>
        <v>54640</v>
      </c>
      <c r="C325" s="100">
        <f t="shared" si="78"/>
        <v>43888.888888887355</v>
      </c>
      <c r="D325" s="100">
        <f t="shared" si="79"/>
        <v>478.38888888887215</v>
      </c>
      <c r="E325" s="100">
        <f t="shared" si="80"/>
        <v>44367.277777776224</v>
      </c>
      <c r="F325" s="100">
        <f t="shared" si="67"/>
        <v>555.55555555555554</v>
      </c>
      <c r="G325" s="100">
        <f t="shared" si="81"/>
        <v>2224.9119669789316</v>
      </c>
      <c r="H325" s="100">
        <f t="shared" si="82"/>
        <v>10.094444444444092</v>
      </c>
      <c r="I325" s="100">
        <f t="shared" si="83"/>
        <v>20</v>
      </c>
      <c r="J325" s="100">
        <f t="shared" si="84"/>
        <v>2255.0064114233755</v>
      </c>
      <c r="K325" s="101">
        <f t="shared" si="85"/>
        <v>43333.333333331801</v>
      </c>
      <c r="O325" s="118">
        <f t="shared" si="86"/>
        <v>16.666666666666664</v>
      </c>
      <c r="P325" s="119">
        <f t="shared" ca="1" si="87"/>
        <v>31</v>
      </c>
      <c r="Q325" s="120">
        <v>365</v>
      </c>
      <c r="AN325" s="132"/>
      <c r="AO325" s="132"/>
    </row>
    <row r="326" spans="1:41" ht="15.5" x14ac:dyDescent="0.35">
      <c r="A326" s="98">
        <f t="shared" si="76"/>
        <v>283</v>
      </c>
      <c r="B326" s="99">
        <f t="shared" ca="1" si="77"/>
        <v>54671</v>
      </c>
      <c r="C326" s="100">
        <f t="shared" si="78"/>
        <v>43333.333333331801</v>
      </c>
      <c r="D326" s="100">
        <f t="shared" si="79"/>
        <v>472.3333333333166</v>
      </c>
      <c r="E326" s="100">
        <f t="shared" si="80"/>
        <v>43805.666666665114</v>
      </c>
      <c r="F326" s="100">
        <f t="shared" si="67"/>
        <v>555.55555555555554</v>
      </c>
      <c r="G326" s="100">
        <f t="shared" si="81"/>
        <v>2224.9119669789316</v>
      </c>
      <c r="H326" s="100">
        <f t="shared" si="82"/>
        <v>9.9666666666663151</v>
      </c>
      <c r="I326" s="100">
        <f t="shared" si="83"/>
        <v>20</v>
      </c>
      <c r="J326" s="100">
        <f t="shared" si="84"/>
        <v>2254.8786336455978</v>
      </c>
      <c r="K326" s="101">
        <f t="shared" si="85"/>
        <v>42777.777777776246</v>
      </c>
      <c r="O326" s="118">
        <f t="shared" si="86"/>
        <v>16.666666666666664</v>
      </c>
      <c r="P326" s="119">
        <f t="shared" ca="1" si="87"/>
        <v>31</v>
      </c>
      <c r="Q326" s="120">
        <v>365</v>
      </c>
      <c r="AN326" s="132"/>
      <c r="AO326" s="132"/>
    </row>
    <row r="327" spans="1:41" ht="15.5" x14ac:dyDescent="0.35">
      <c r="A327" s="98">
        <f t="shared" si="76"/>
        <v>284</v>
      </c>
      <c r="B327" s="99">
        <f t="shared" ca="1" si="77"/>
        <v>54701</v>
      </c>
      <c r="C327" s="100">
        <f t="shared" si="78"/>
        <v>42777.777777776246</v>
      </c>
      <c r="D327" s="100">
        <f t="shared" si="79"/>
        <v>466.27777777776106</v>
      </c>
      <c r="E327" s="100">
        <f t="shared" si="80"/>
        <v>43244.055555554005</v>
      </c>
      <c r="F327" s="100">
        <f t="shared" si="67"/>
        <v>555.55555555555554</v>
      </c>
      <c r="G327" s="100">
        <f t="shared" si="81"/>
        <v>2224.9119669789316</v>
      </c>
      <c r="H327" s="100">
        <f t="shared" si="82"/>
        <v>9.8388888888885369</v>
      </c>
      <c r="I327" s="100">
        <f t="shared" si="83"/>
        <v>20</v>
      </c>
      <c r="J327" s="100">
        <f t="shared" si="84"/>
        <v>2254.7508558678201</v>
      </c>
      <c r="K327" s="101">
        <f t="shared" si="85"/>
        <v>42222.222222220691</v>
      </c>
      <c r="O327" s="118">
        <f t="shared" si="86"/>
        <v>16.666666666666664</v>
      </c>
      <c r="P327" s="119">
        <f t="shared" ca="1" si="87"/>
        <v>30</v>
      </c>
      <c r="Q327" s="120">
        <v>365</v>
      </c>
      <c r="AN327" s="132"/>
      <c r="AO327" s="132"/>
    </row>
    <row r="328" spans="1:41" ht="15.5" x14ac:dyDescent="0.35">
      <c r="A328" s="98">
        <f t="shared" si="76"/>
        <v>285</v>
      </c>
      <c r="B328" s="99">
        <f t="shared" ca="1" si="77"/>
        <v>54732</v>
      </c>
      <c r="C328" s="100">
        <f t="shared" si="78"/>
        <v>42222.222222220691</v>
      </c>
      <c r="D328" s="100">
        <f t="shared" si="79"/>
        <v>460.22222222220552</v>
      </c>
      <c r="E328" s="100">
        <f t="shared" si="80"/>
        <v>42682.444444442895</v>
      </c>
      <c r="F328" s="100">
        <f t="shared" si="67"/>
        <v>555.55555555555554</v>
      </c>
      <c r="G328" s="100">
        <f t="shared" si="81"/>
        <v>2224.9119669789316</v>
      </c>
      <c r="H328" s="100">
        <f t="shared" si="82"/>
        <v>9.7111111111107586</v>
      </c>
      <c r="I328" s="100">
        <f t="shared" si="83"/>
        <v>20</v>
      </c>
      <c r="J328" s="100">
        <f t="shared" si="84"/>
        <v>2254.6230780900423</v>
      </c>
      <c r="K328" s="101">
        <f t="shared" si="85"/>
        <v>41666.666666665136</v>
      </c>
      <c r="O328" s="118">
        <f t="shared" si="86"/>
        <v>16.666666666666664</v>
      </c>
      <c r="P328" s="119">
        <f t="shared" ca="1" si="87"/>
        <v>31</v>
      </c>
      <c r="Q328" s="120">
        <v>365</v>
      </c>
      <c r="AN328" s="132"/>
      <c r="AO328" s="132"/>
    </row>
    <row r="329" spans="1:41" ht="15.5" x14ac:dyDescent="0.35">
      <c r="A329" s="98">
        <f t="shared" si="76"/>
        <v>286</v>
      </c>
      <c r="B329" s="99">
        <f t="shared" ca="1" si="77"/>
        <v>54762</v>
      </c>
      <c r="C329" s="100">
        <f t="shared" si="78"/>
        <v>41666.666666665136</v>
      </c>
      <c r="D329" s="100">
        <f t="shared" si="79"/>
        <v>454.16666666664997</v>
      </c>
      <c r="E329" s="100">
        <f t="shared" si="80"/>
        <v>42120.833333331786</v>
      </c>
      <c r="F329" s="100">
        <f t="shared" si="67"/>
        <v>555.55555555555554</v>
      </c>
      <c r="G329" s="100">
        <f t="shared" si="81"/>
        <v>2224.9119669789316</v>
      </c>
      <c r="H329" s="100">
        <f t="shared" si="82"/>
        <v>9.5833333333329822</v>
      </c>
      <c r="I329" s="100">
        <f t="shared" si="83"/>
        <v>20</v>
      </c>
      <c r="J329" s="100">
        <f t="shared" si="84"/>
        <v>2254.4953003122646</v>
      </c>
      <c r="K329" s="101">
        <f t="shared" si="85"/>
        <v>41111.111111109582</v>
      </c>
      <c r="O329" s="118">
        <f t="shared" si="86"/>
        <v>16.666666666666664</v>
      </c>
      <c r="P329" s="119">
        <f t="shared" ca="1" si="87"/>
        <v>30</v>
      </c>
      <c r="Q329" s="120">
        <v>365</v>
      </c>
      <c r="AN329" s="132"/>
      <c r="AO329" s="132"/>
    </row>
    <row r="330" spans="1:41" ht="15.5" x14ac:dyDescent="0.35">
      <c r="A330" s="98">
        <f t="shared" si="76"/>
        <v>287</v>
      </c>
      <c r="B330" s="99">
        <f t="shared" ca="1" si="77"/>
        <v>54793</v>
      </c>
      <c r="C330" s="100">
        <f t="shared" si="78"/>
        <v>41111.111111109582</v>
      </c>
      <c r="D330" s="100">
        <f t="shared" si="79"/>
        <v>448.11111111109443</v>
      </c>
      <c r="E330" s="100">
        <f t="shared" si="80"/>
        <v>41559.222222220676</v>
      </c>
      <c r="F330" s="100">
        <f t="shared" si="67"/>
        <v>555.55555555555554</v>
      </c>
      <c r="G330" s="100">
        <f t="shared" si="81"/>
        <v>2224.9119669789316</v>
      </c>
      <c r="H330" s="100">
        <f t="shared" si="82"/>
        <v>9.455555555555204</v>
      </c>
      <c r="I330" s="100">
        <f t="shared" si="83"/>
        <v>20</v>
      </c>
      <c r="J330" s="100">
        <f t="shared" si="84"/>
        <v>2254.3675225344869</v>
      </c>
      <c r="K330" s="101">
        <f t="shared" si="85"/>
        <v>40555.555555554027</v>
      </c>
      <c r="O330" s="118">
        <f t="shared" si="86"/>
        <v>16.666666666666664</v>
      </c>
      <c r="P330" s="119">
        <f t="shared" ca="1" si="87"/>
        <v>31</v>
      </c>
      <c r="Q330" s="120">
        <v>365</v>
      </c>
      <c r="AN330" s="132"/>
      <c r="AO330" s="132"/>
    </row>
    <row r="331" spans="1:41" ht="15.5" x14ac:dyDescent="0.35">
      <c r="A331" s="98">
        <f t="shared" si="76"/>
        <v>288</v>
      </c>
      <c r="B331" s="99">
        <f t="shared" ca="1" si="77"/>
        <v>54824</v>
      </c>
      <c r="C331" s="100">
        <f t="shared" si="78"/>
        <v>40555.555555554027</v>
      </c>
      <c r="D331" s="100">
        <f t="shared" si="79"/>
        <v>442.05555555553889</v>
      </c>
      <c r="E331" s="100">
        <f t="shared" si="80"/>
        <v>40997.611111109567</v>
      </c>
      <c r="F331" s="100">
        <f t="shared" si="67"/>
        <v>555.55555555555554</v>
      </c>
      <c r="G331" s="100">
        <f t="shared" si="81"/>
        <v>2224.9119669789316</v>
      </c>
      <c r="H331" s="100">
        <f t="shared" si="82"/>
        <v>9.3277777777774258</v>
      </c>
      <c r="I331" s="100">
        <f t="shared" si="83"/>
        <v>20</v>
      </c>
      <c r="J331" s="100">
        <f t="shared" si="84"/>
        <v>2254.2397447567091</v>
      </c>
      <c r="K331" s="101">
        <f t="shared" si="85"/>
        <v>39999.999999998472</v>
      </c>
      <c r="O331" s="118">
        <f t="shared" si="86"/>
        <v>16.666666666666664</v>
      </c>
      <c r="P331" s="119">
        <f t="shared" ca="1" si="87"/>
        <v>31</v>
      </c>
      <c r="Q331" s="120">
        <v>365</v>
      </c>
      <c r="AN331" s="132"/>
      <c r="AO331" s="132"/>
    </row>
    <row r="332" spans="1:41" ht="15.5" x14ac:dyDescent="0.35">
      <c r="A332" s="98">
        <f t="shared" si="76"/>
        <v>289</v>
      </c>
      <c r="B332" s="99">
        <f t="shared" ca="1" si="77"/>
        <v>54852</v>
      </c>
      <c r="C332" s="100">
        <f t="shared" si="78"/>
        <v>39999.999999998472</v>
      </c>
      <c r="D332" s="100">
        <f t="shared" si="79"/>
        <v>435.99999999998334</v>
      </c>
      <c r="E332" s="100">
        <f t="shared" si="80"/>
        <v>40435.999999998457</v>
      </c>
      <c r="F332" s="100">
        <f t="shared" si="67"/>
        <v>555.55555555555554</v>
      </c>
      <c r="G332" s="100">
        <f t="shared" si="81"/>
        <v>2224.9119669789316</v>
      </c>
      <c r="H332" s="100">
        <f t="shared" si="82"/>
        <v>9.1999999999996493</v>
      </c>
      <c r="I332" s="100">
        <f t="shared" si="83"/>
        <v>20</v>
      </c>
      <c r="J332" s="100">
        <f t="shared" si="84"/>
        <v>2254.1119669789314</v>
      </c>
      <c r="K332" s="101">
        <f t="shared" si="85"/>
        <v>39444.444444442917</v>
      </c>
      <c r="O332" s="118">
        <f t="shared" si="86"/>
        <v>16.666666666666664</v>
      </c>
      <c r="P332" s="119">
        <f t="shared" ca="1" si="87"/>
        <v>28</v>
      </c>
      <c r="Q332" s="120">
        <v>365</v>
      </c>
      <c r="AN332" s="132"/>
      <c r="AO332" s="132"/>
    </row>
    <row r="333" spans="1:41" ht="15.5" x14ac:dyDescent="0.35">
      <c r="A333" s="98">
        <f t="shared" si="76"/>
        <v>290</v>
      </c>
      <c r="B333" s="99">
        <f t="shared" ca="1" si="77"/>
        <v>54883</v>
      </c>
      <c r="C333" s="100">
        <f t="shared" si="78"/>
        <v>39444.444444442917</v>
      </c>
      <c r="D333" s="100">
        <f t="shared" si="79"/>
        <v>429.9444444444278</v>
      </c>
      <c r="E333" s="100">
        <f t="shared" si="80"/>
        <v>39874.388888887348</v>
      </c>
      <c r="F333" s="100">
        <f t="shared" si="67"/>
        <v>555.55555555555554</v>
      </c>
      <c r="G333" s="100">
        <f t="shared" si="81"/>
        <v>2224.9119669789316</v>
      </c>
      <c r="H333" s="100">
        <f t="shared" si="82"/>
        <v>9.0722222222218711</v>
      </c>
      <c r="I333" s="100">
        <f t="shared" si="83"/>
        <v>20</v>
      </c>
      <c r="J333" s="100">
        <f t="shared" si="84"/>
        <v>2253.9841892011536</v>
      </c>
      <c r="K333" s="101">
        <f t="shared" si="85"/>
        <v>38888.888888887363</v>
      </c>
      <c r="O333" s="118">
        <f t="shared" si="86"/>
        <v>16.666666666666664</v>
      </c>
      <c r="P333" s="119">
        <f t="shared" ca="1" si="87"/>
        <v>31</v>
      </c>
      <c r="Q333" s="120">
        <v>365</v>
      </c>
      <c r="AN333" s="132"/>
      <c r="AO333" s="132"/>
    </row>
    <row r="334" spans="1:41" ht="15.5" x14ac:dyDescent="0.35">
      <c r="A334" s="98">
        <f t="shared" si="76"/>
        <v>291</v>
      </c>
      <c r="B334" s="99">
        <f t="shared" ca="1" si="77"/>
        <v>54913</v>
      </c>
      <c r="C334" s="100">
        <f t="shared" si="78"/>
        <v>38888.888888887363</v>
      </c>
      <c r="D334" s="100">
        <f t="shared" si="79"/>
        <v>423.88888888887226</v>
      </c>
      <c r="E334" s="100">
        <f t="shared" si="80"/>
        <v>39312.777777776231</v>
      </c>
      <c r="F334" s="100">
        <f t="shared" si="67"/>
        <v>555.55555555555554</v>
      </c>
      <c r="G334" s="100">
        <f t="shared" si="81"/>
        <v>2224.9119669789316</v>
      </c>
      <c r="H334" s="100">
        <f t="shared" si="82"/>
        <v>8.9444444444440929</v>
      </c>
      <c r="I334" s="100">
        <f t="shared" si="83"/>
        <v>20</v>
      </c>
      <c r="J334" s="100">
        <f t="shared" si="84"/>
        <v>2253.8564114233754</v>
      </c>
      <c r="K334" s="101">
        <f t="shared" si="85"/>
        <v>38333.333333331808</v>
      </c>
      <c r="O334" s="118">
        <f t="shared" si="86"/>
        <v>16.666666666666664</v>
      </c>
      <c r="P334" s="119">
        <f t="shared" ca="1" si="87"/>
        <v>30</v>
      </c>
      <c r="Q334" s="120">
        <v>365</v>
      </c>
      <c r="AN334" s="132"/>
      <c r="AO334" s="132"/>
    </row>
    <row r="335" spans="1:41" ht="15.5" x14ac:dyDescent="0.35">
      <c r="A335" s="98">
        <f t="shared" si="76"/>
        <v>292</v>
      </c>
      <c r="B335" s="99">
        <f t="shared" ca="1" si="77"/>
        <v>54944</v>
      </c>
      <c r="C335" s="100">
        <f t="shared" si="78"/>
        <v>38333.333333331808</v>
      </c>
      <c r="D335" s="100">
        <f t="shared" si="79"/>
        <v>417.83333333331672</v>
      </c>
      <c r="E335" s="100">
        <f t="shared" si="80"/>
        <v>38751.166666665122</v>
      </c>
      <c r="F335" s="100">
        <f t="shared" si="67"/>
        <v>555.55555555555554</v>
      </c>
      <c r="G335" s="100">
        <f t="shared" si="81"/>
        <v>2224.9119669789316</v>
      </c>
      <c r="H335" s="100">
        <f t="shared" si="82"/>
        <v>8.8166666666663165</v>
      </c>
      <c r="I335" s="100">
        <f t="shared" si="83"/>
        <v>20</v>
      </c>
      <c r="J335" s="100">
        <f t="shared" si="84"/>
        <v>2253.7286336455977</v>
      </c>
      <c r="K335" s="101">
        <f t="shared" si="85"/>
        <v>37777.777777776253</v>
      </c>
      <c r="O335" s="118">
        <f t="shared" si="86"/>
        <v>16.666666666666664</v>
      </c>
      <c r="P335" s="119">
        <f t="shared" ca="1" si="87"/>
        <v>31</v>
      </c>
      <c r="Q335" s="120">
        <v>365</v>
      </c>
      <c r="AN335" s="132"/>
      <c r="AO335" s="132"/>
    </row>
    <row r="336" spans="1:41" ht="15.5" x14ac:dyDescent="0.35">
      <c r="A336" s="98">
        <f t="shared" si="76"/>
        <v>293</v>
      </c>
      <c r="B336" s="99">
        <f t="shared" ca="1" si="77"/>
        <v>54974</v>
      </c>
      <c r="C336" s="100">
        <f t="shared" si="78"/>
        <v>37777.777777776253</v>
      </c>
      <c r="D336" s="100">
        <f t="shared" si="79"/>
        <v>411.77777777776117</v>
      </c>
      <c r="E336" s="100">
        <f t="shared" si="80"/>
        <v>38189.555555554012</v>
      </c>
      <c r="F336" s="100">
        <f t="shared" si="67"/>
        <v>555.55555555555554</v>
      </c>
      <c r="G336" s="100">
        <f t="shared" si="81"/>
        <v>2224.9119669789316</v>
      </c>
      <c r="H336" s="100">
        <f t="shared" si="82"/>
        <v>8.6888888888885383</v>
      </c>
      <c r="I336" s="100">
        <f t="shared" si="83"/>
        <v>20</v>
      </c>
      <c r="J336" s="100">
        <f t="shared" si="84"/>
        <v>2253.60085586782</v>
      </c>
      <c r="K336" s="101">
        <f t="shared" si="85"/>
        <v>37222.222222220698</v>
      </c>
      <c r="O336" s="118">
        <f t="shared" si="86"/>
        <v>16.666666666666664</v>
      </c>
      <c r="P336" s="119">
        <f t="shared" ca="1" si="87"/>
        <v>30</v>
      </c>
      <c r="Q336" s="120">
        <v>365</v>
      </c>
      <c r="AN336" s="132"/>
      <c r="AO336" s="132"/>
    </row>
    <row r="337" spans="1:41" ht="15.5" x14ac:dyDescent="0.35">
      <c r="A337" s="98">
        <f t="shared" si="76"/>
        <v>294</v>
      </c>
      <c r="B337" s="99">
        <f t="shared" ca="1" si="77"/>
        <v>55005</v>
      </c>
      <c r="C337" s="100">
        <f t="shared" si="78"/>
        <v>37222.222222220698</v>
      </c>
      <c r="D337" s="100">
        <f t="shared" si="79"/>
        <v>405.72222222220563</v>
      </c>
      <c r="E337" s="100">
        <f t="shared" si="80"/>
        <v>37627.944444442903</v>
      </c>
      <c r="F337" s="100">
        <f t="shared" si="67"/>
        <v>555.55555555555554</v>
      </c>
      <c r="G337" s="100">
        <f t="shared" si="81"/>
        <v>2224.9119669789316</v>
      </c>
      <c r="H337" s="100">
        <f t="shared" si="82"/>
        <v>8.5611111111107601</v>
      </c>
      <c r="I337" s="100">
        <f t="shared" si="83"/>
        <v>20</v>
      </c>
      <c r="J337" s="100">
        <f t="shared" si="84"/>
        <v>2253.4730780900422</v>
      </c>
      <c r="K337" s="101">
        <f t="shared" si="85"/>
        <v>36666.666666665144</v>
      </c>
      <c r="O337" s="118">
        <f t="shared" si="86"/>
        <v>16.666666666666664</v>
      </c>
      <c r="P337" s="119">
        <f t="shared" ca="1" si="87"/>
        <v>31</v>
      </c>
      <c r="Q337" s="120">
        <v>365</v>
      </c>
      <c r="AN337" s="132"/>
      <c r="AO337" s="132"/>
    </row>
    <row r="338" spans="1:41" ht="15.5" x14ac:dyDescent="0.35">
      <c r="A338" s="98">
        <f t="shared" si="76"/>
        <v>295</v>
      </c>
      <c r="B338" s="99">
        <f t="shared" ca="1" si="77"/>
        <v>55036</v>
      </c>
      <c r="C338" s="100">
        <f t="shared" si="78"/>
        <v>36666.666666665144</v>
      </c>
      <c r="D338" s="100">
        <f t="shared" si="79"/>
        <v>399.66666666665009</v>
      </c>
      <c r="E338" s="100">
        <f t="shared" si="80"/>
        <v>37066.333333331793</v>
      </c>
      <c r="F338" s="100">
        <f t="shared" si="67"/>
        <v>555.55555555555554</v>
      </c>
      <c r="G338" s="100">
        <f t="shared" si="81"/>
        <v>2224.9119669789316</v>
      </c>
      <c r="H338" s="100">
        <f t="shared" si="82"/>
        <v>8.4333333333329836</v>
      </c>
      <c r="I338" s="100">
        <f t="shared" si="83"/>
        <v>20</v>
      </c>
      <c r="J338" s="100">
        <f t="shared" si="84"/>
        <v>2253.3453003122645</v>
      </c>
      <c r="K338" s="101">
        <f t="shared" si="85"/>
        <v>36111.111111109589</v>
      </c>
      <c r="O338" s="118">
        <f t="shared" si="86"/>
        <v>16.666666666666664</v>
      </c>
      <c r="P338" s="119">
        <f t="shared" ca="1" si="87"/>
        <v>31</v>
      </c>
      <c r="Q338" s="120">
        <v>365</v>
      </c>
      <c r="AN338" s="132"/>
      <c r="AO338" s="132"/>
    </row>
    <row r="339" spans="1:41" ht="15.5" x14ac:dyDescent="0.35">
      <c r="A339" s="98">
        <f t="shared" si="76"/>
        <v>296</v>
      </c>
      <c r="B339" s="99">
        <f t="shared" ca="1" si="77"/>
        <v>55066</v>
      </c>
      <c r="C339" s="100">
        <f t="shared" si="78"/>
        <v>36111.111111109589</v>
      </c>
      <c r="D339" s="100">
        <f t="shared" si="79"/>
        <v>393.61111111109454</v>
      </c>
      <c r="E339" s="100">
        <f t="shared" si="80"/>
        <v>36504.722222220684</v>
      </c>
      <c r="F339" s="100">
        <f t="shared" si="67"/>
        <v>555.55555555555554</v>
      </c>
      <c r="G339" s="100">
        <f t="shared" si="81"/>
        <v>2224.9119669789316</v>
      </c>
      <c r="H339" s="100">
        <f t="shared" si="82"/>
        <v>8.3055555555552054</v>
      </c>
      <c r="I339" s="100">
        <f t="shared" si="83"/>
        <v>20</v>
      </c>
      <c r="J339" s="100">
        <f t="shared" si="84"/>
        <v>2253.2175225344868</v>
      </c>
      <c r="K339" s="101">
        <f t="shared" si="85"/>
        <v>35555.555555554034</v>
      </c>
      <c r="O339" s="118">
        <f t="shared" si="86"/>
        <v>16.666666666666664</v>
      </c>
      <c r="P339" s="119">
        <f t="shared" ca="1" si="87"/>
        <v>30</v>
      </c>
      <c r="Q339" s="120">
        <v>365</v>
      </c>
      <c r="AN339" s="132"/>
      <c r="AO339" s="132"/>
    </row>
    <row r="340" spans="1:41" ht="15.5" x14ac:dyDescent="0.35">
      <c r="A340" s="98">
        <f t="shared" si="76"/>
        <v>297</v>
      </c>
      <c r="B340" s="99">
        <f t="shared" ca="1" si="77"/>
        <v>55097</v>
      </c>
      <c r="C340" s="100">
        <f t="shared" si="78"/>
        <v>35555.555555554034</v>
      </c>
      <c r="D340" s="100">
        <f t="shared" si="79"/>
        <v>387.55555555553894</v>
      </c>
      <c r="E340" s="100">
        <f t="shared" si="80"/>
        <v>35943.111111109574</v>
      </c>
      <c r="F340" s="100">
        <f t="shared" si="67"/>
        <v>555.55555555555554</v>
      </c>
      <c r="G340" s="100">
        <f t="shared" si="81"/>
        <v>2224.9119669789316</v>
      </c>
      <c r="H340" s="100">
        <f t="shared" si="82"/>
        <v>8.1777777777774272</v>
      </c>
      <c r="I340" s="100">
        <f t="shared" si="83"/>
        <v>20</v>
      </c>
      <c r="J340" s="100">
        <f t="shared" si="84"/>
        <v>2253.089744756709</v>
      </c>
      <c r="K340" s="101">
        <f t="shared" si="85"/>
        <v>34999.999999998479</v>
      </c>
      <c r="O340" s="118">
        <f t="shared" si="86"/>
        <v>16.666666666666664</v>
      </c>
      <c r="P340" s="119">
        <f t="shared" ca="1" si="87"/>
        <v>31</v>
      </c>
      <c r="Q340" s="120">
        <v>365</v>
      </c>
      <c r="AN340" s="132"/>
      <c r="AO340" s="132"/>
    </row>
    <row r="341" spans="1:41" ht="15.5" x14ac:dyDescent="0.35">
      <c r="A341" s="98">
        <f t="shared" si="76"/>
        <v>298</v>
      </c>
      <c r="B341" s="99">
        <f t="shared" ca="1" si="77"/>
        <v>55127</v>
      </c>
      <c r="C341" s="100">
        <f t="shared" si="78"/>
        <v>34999.999999998479</v>
      </c>
      <c r="D341" s="100">
        <f t="shared" si="79"/>
        <v>381.4999999999834</v>
      </c>
      <c r="E341" s="100">
        <f t="shared" si="80"/>
        <v>35381.499999998465</v>
      </c>
      <c r="F341" s="100">
        <f t="shared" si="67"/>
        <v>555.55555555555554</v>
      </c>
      <c r="G341" s="100">
        <f t="shared" si="81"/>
        <v>2224.9119669789316</v>
      </c>
      <c r="H341" s="100">
        <f t="shared" si="82"/>
        <v>8.0499999999996508</v>
      </c>
      <c r="I341" s="100">
        <f t="shared" si="83"/>
        <v>20</v>
      </c>
      <c r="J341" s="100">
        <f t="shared" si="84"/>
        <v>2252.9619669789313</v>
      </c>
      <c r="K341" s="101">
        <f t="shared" si="85"/>
        <v>34444.444444442925</v>
      </c>
      <c r="O341" s="118">
        <f t="shared" si="86"/>
        <v>16.666666666666664</v>
      </c>
      <c r="P341" s="119">
        <f t="shared" ca="1" si="87"/>
        <v>30</v>
      </c>
      <c r="Q341" s="120">
        <v>365</v>
      </c>
      <c r="AN341" s="132"/>
      <c r="AO341" s="132"/>
    </row>
    <row r="342" spans="1:41" ht="15.5" x14ac:dyDescent="0.35">
      <c r="A342" s="98">
        <f t="shared" si="76"/>
        <v>299</v>
      </c>
      <c r="B342" s="99">
        <f t="shared" ca="1" si="77"/>
        <v>55158</v>
      </c>
      <c r="C342" s="100">
        <f t="shared" si="78"/>
        <v>34444.444444442925</v>
      </c>
      <c r="D342" s="100">
        <f t="shared" si="79"/>
        <v>375.44444444442786</v>
      </c>
      <c r="E342" s="100">
        <f t="shared" si="80"/>
        <v>34819.888888887355</v>
      </c>
      <c r="F342" s="100">
        <f t="shared" si="67"/>
        <v>555.55555555555554</v>
      </c>
      <c r="G342" s="100">
        <f t="shared" si="81"/>
        <v>2224.9119669789316</v>
      </c>
      <c r="H342" s="100">
        <f t="shared" si="82"/>
        <v>7.9222222222218726</v>
      </c>
      <c r="I342" s="100">
        <f t="shared" si="83"/>
        <v>20</v>
      </c>
      <c r="J342" s="100">
        <f t="shared" si="84"/>
        <v>2252.8341892011535</v>
      </c>
      <c r="K342" s="101">
        <f t="shared" si="85"/>
        <v>33888.88888888737</v>
      </c>
      <c r="O342" s="118">
        <f t="shared" si="86"/>
        <v>16.666666666666664</v>
      </c>
      <c r="P342" s="119">
        <f t="shared" ca="1" si="87"/>
        <v>31</v>
      </c>
      <c r="Q342" s="120">
        <v>365</v>
      </c>
      <c r="AN342" s="132"/>
      <c r="AO342" s="132"/>
    </row>
    <row r="343" spans="1:41" ht="15.5" x14ac:dyDescent="0.35">
      <c r="A343" s="98">
        <f t="shared" si="76"/>
        <v>300</v>
      </c>
      <c r="B343" s="99">
        <f t="shared" ca="1" si="77"/>
        <v>55189</v>
      </c>
      <c r="C343" s="100">
        <f t="shared" si="78"/>
        <v>33888.88888888737</v>
      </c>
      <c r="D343" s="100">
        <f t="shared" si="79"/>
        <v>369.38888888887232</v>
      </c>
      <c r="E343" s="100">
        <f t="shared" si="80"/>
        <v>34258.277777776239</v>
      </c>
      <c r="F343" s="100">
        <f t="shared" si="67"/>
        <v>555.55555555555554</v>
      </c>
      <c r="G343" s="100">
        <f t="shared" si="81"/>
        <v>2224.9119669789316</v>
      </c>
      <c r="H343" s="100">
        <f t="shared" si="82"/>
        <v>7.7944444444440952</v>
      </c>
      <c r="I343" s="100">
        <f t="shared" si="83"/>
        <v>20</v>
      </c>
      <c r="J343" s="100">
        <f t="shared" si="84"/>
        <v>2252.7064114233758</v>
      </c>
      <c r="K343" s="101">
        <f t="shared" si="85"/>
        <v>33333.333333331815</v>
      </c>
      <c r="O343" s="118">
        <f t="shared" si="86"/>
        <v>16.666666666666664</v>
      </c>
      <c r="P343" s="119">
        <f t="shared" ca="1" si="87"/>
        <v>31</v>
      </c>
      <c r="Q343" s="120">
        <v>365</v>
      </c>
      <c r="AN343" s="132"/>
      <c r="AO343" s="132"/>
    </row>
    <row r="344" spans="1:41" ht="15.5" x14ac:dyDescent="0.35">
      <c r="A344" s="98">
        <f t="shared" si="76"/>
        <v>301</v>
      </c>
      <c r="B344" s="99">
        <f t="shared" ca="1" si="77"/>
        <v>55217</v>
      </c>
      <c r="C344" s="100">
        <f t="shared" si="78"/>
        <v>33333.333333331815</v>
      </c>
      <c r="D344" s="100">
        <f t="shared" si="79"/>
        <v>363.33333333331677</v>
      </c>
      <c r="E344" s="100">
        <f t="shared" si="80"/>
        <v>33696.666666665129</v>
      </c>
      <c r="F344" s="100">
        <f t="shared" si="67"/>
        <v>555.55555555555554</v>
      </c>
      <c r="G344" s="100">
        <f t="shared" si="81"/>
        <v>2224.9119669789316</v>
      </c>
      <c r="H344" s="100">
        <f t="shared" si="82"/>
        <v>7.6666666666663179</v>
      </c>
      <c r="I344" s="100">
        <f t="shared" si="83"/>
        <v>20</v>
      </c>
      <c r="J344" s="100">
        <f t="shared" si="84"/>
        <v>2252.5786336455981</v>
      </c>
      <c r="K344" s="101">
        <f t="shared" si="85"/>
        <v>32777.77777777626</v>
      </c>
      <c r="O344" s="118">
        <f t="shared" si="86"/>
        <v>16.666666666666664</v>
      </c>
      <c r="P344" s="119">
        <f t="shared" ca="1" si="87"/>
        <v>28</v>
      </c>
      <c r="Q344" s="120">
        <v>365</v>
      </c>
      <c r="AN344" s="132"/>
      <c r="AO344" s="132"/>
    </row>
    <row r="345" spans="1:41" ht="15.5" x14ac:dyDescent="0.35">
      <c r="A345" s="98">
        <f t="shared" si="76"/>
        <v>302</v>
      </c>
      <c r="B345" s="99">
        <f t="shared" ca="1" si="77"/>
        <v>55248</v>
      </c>
      <c r="C345" s="100">
        <f t="shared" si="78"/>
        <v>32777.77777777626</v>
      </c>
      <c r="D345" s="100">
        <f t="shared" si="79"/>
        <v>357.27777777776123</v>
      </c>
      <c r="E345" s="100">
        <f t="shared" si="80"/>
        <v>33135.05555555402</v>
      </c>
      <c r="F345" s="100">
        <f t="shared" si="67"/>
        <v>555.55555555555554</v>
      </c>
      <c r="G345" s="100">
        <f t="shared" si="81"/>
        <v>2224.9119669789316</v>
      </c>
      <c r="H345" s="100">
        <f t="shared" si="82"/>
        <v>7.5388888888885397</v>
      </c>
      <c r="I345" s="100">
        <f t="shared" si="83"/>
        <v>20</v>
      </c>
      <c r="J345" s="100">
        <f t="shared" si="84"/>
        <v>2252.4508558678199</v>
      </c>
      <c r="K345" s="101">
        <f t="shared" si="85"/>
        <v>32222.222222220706</v>
      </c>
      <c r="O345" s="118">
        <f t="shared" si="86"/>
        <v>16.666666666666664</v>
      </c>
      <c r="P345" s="119">
        <f t="shared" ca="1" si="87"/>
        <v>31</v>
      </c>
      <c r="Q345" s="120">
        <v>365</v>
      </c>
      <c r="AN345" s="132"/>
      <c r="AO345" s="132"/>
    </row>
    <row r="346" spans="1:41" ht="15.5" x14ac:dyDescent="0.35">
      <c r="A346" s="98">
        <f t="shared" si="76"/>
        <v>303</v>
      </c>
      <c r="B346" s="99">
        <f t="shared" ca="1" si="77"/>
        <v>55278</v>
      </c>
      <c r="C346" s="100">
        <f t="shared" si="78"/>
        <v>32222.222222220706</v>
      </c>
      <c r="D346" s="100">
        <f t="shared" si="79"/>
        <v>351.22222222220569</v>
      </c>
      <c r="E346" s="100">
        <f t="shared" si="80"/>
        <v>32573.44444444291</v>
      </c>
      <c r="F346" s="100">
        <f t="shared" si="67"/>
        <v>555.55555555555554</v>
      </c>
      <c r="G346" s="100">
        <f t="shared" si="81"/>
        <v>2224.9119669789316</v>
      </c>
      <c r="H346" s="100">
        <f t="shared" si="82"/>
        <v>7.4111111111107624</v>
      </c>
      <c r="I346" s="100">
        <f t="shared" si="83"/>
        <v>20</v>
      </c>
      <c r="J346" s="100">
        <f t="shared" si="84"/>
        <v>2252.3230780900421</v>
      </c>
      <c r="K346" s="101">
        <f t="shared" si="85"/>
        <v>31666.666666665151</v>
      </c>
      <c r="O346" s="118">
        <f t="shared" si="86"/>
        <v>16.666666666666664</v>
      </c>
      <c r="P346" s="119">
        <f t="shared" ca="1" si="87"/>
        <v>30</v>
      </c>
      <c r="Q346" s="120">
        <v>365</v>
      </c>
      <c r="AN346" s="132"/>
      <c r="AO346" s="132"/>
    </row>
    <row r="347" spans="1:41" ht="15.5" x14ac:dyDescent="0.35">
      <c r="A347" s="98">
        <f t="shared" ref="A347:A394" si="88">IF(IF(AND(A346&gt;0,A346&lt;$I$18),A346+1,0)=0,"",IF(AND(A346&gt;0,A346&lt;$I$18),A346+1,0))</f>
        <v>304</v>
      </c>
      <c r="B347" s="99">
        <f t="shared" ref="B347:B394" ca="1" si="89">IFERROR(IF(A347&lt;=$I$18,DATE(YEAR($B$44),MONTH($B$44)+A346,DAY($B$44)),"-"),"")</f>
        <v>55309</v>
      </c>
      <c r="C347" s="100">
        <f t="shared" ref="C347:C394" si="90">IF(A347="","",K346)</f>
        <v>31666.666666665151</v>
      </c>
      <c r="D347" s="100">
        <f t="shared" ref="D347:D403" si="91">C347*$I$20</f>
        <v>345.16666666665014</v>
      </c>
      <c r="E347" s="100">
        <f t="shared" ref="E347:E403" si="92">IFERROR(C347+D347,"")</f>
        <v>32011.833333331801</v>
      </c>
      <c r="F347" s="100">
        <f t="shared" si="67"/>
        <v>555.55555555555554</v>
      </c>
      <c r="G347" s="100">
        <f t="shared" ref="G347:G403" si="93">IF(A347="","",PMT($I$20,$I$18,$C$44)*-1)</f>
        <v>2224.9119669789316</v>
      </c>
      <c r="H347" s="100">
        <f t="shared" ref="H347:H403" si="94">C347*$J$27</f>
        <v>7.283333333332985</v>
      </c>
      <c r="I347" s="100">
        <f t="shared" ref="I347:I394" si="95">IF(A347="","",IF(K346="","",IF(K346=0,"",$J$28*$I$14)))</f>
        <v>20</v>
      </c>
      <c r="J347" s="100">
        <f t="shared" ref="J347:J403" si="96">IFERROR(SUM(I347+H347+G347),"")</f>
        <v>2252.1953003122644</v>
      </c>
      <c r="K347" s="101">
        <f t="shared" ref="K347:K403" si="97">C347-F347</f>
        <v>31111.111111109596</v>
      </c>
      <c r="O347" s="118">
        <f t="shared" ref="O347:O403" si="98">IFERROR(F347*$O$39,0)</f>
        <v>16.666666666666664</v>
      </c>
      <c r="P347" s="119">
        <f t="shared" ref="P347:P403" ca="1" si="99">IF($A347&lt;=$I$18,B347-B346,)</f>
        <v>31</v>
      </c>
      <c r="Q347" s="120">
        <v>365</v>
      </c>
      <c r="AN347" s="132"/>
      <c r="AO347" s="132"/>
    </row>
    <row r="348" spans="1:41" ht="15.5" x14ac:dyDescent="0.35">
      <c r="A348" s="98">
        <f t="shared" si="88"/>
        <v>305</v>
      </c>
      <c r="B348" s="99">
        <f t="shared" ca="1" si="89"/>
        <v>55339</v>
      </c>
      <c r="C348" s="100">
        <f t="shared" si="90"/>
        <v>31111.111111109596</v>
      </c>
      <c r="D348" s="100">
        <f t="shared" si="91"/>
        <v>339.1111111110946</v>
      </c>
      <c r="E348" s="100">
        <f t="shared" si="92"/>
        <v>31450.222222220691</v>
      </c>
      <c r="F348" s="100">
        <f t="shared" si="67"/>
        <v>555.55555555555554</v>
      </c>
      <c r="G348" s="100">
        <f t="shared" si="93"/>
        <v>2224.9119669789316</v>
      </c>
      <c r="H348" s="100">
        <f t="shared" si="94"/>
        <v>7.1555555555552077</v>
      </c>
      <c r="I348" s="100">
        <f t="shared" si="95"/>
        <v>20</v>
      </c>
      <c r="J348" s="100">
        <f t="shared" si="96"/>
        <v>2252.0675225344867</v>
      </c>
      <c r="K348" s="101">
        <f t="shared" si="97"/>
        <v>30555.555555554041</v>
      </c>
      <c r="O348" s="118">
        <f t="shared" si="98"/>
        <v>16.666666666666664</v>
      </c>
      <c r="P348" s="119">
        <f t="shared" ca="1" si="99"/>
        <v>30</v>
      </c>
      <c r="Q348" s="120">
        <v>365</v>
      </c>
      <c r="AN348" s="132"/>
      <c r="AO348" s="132"/>
    </row>
    <row r="349" spans="1:41" ht="15.5" x14ac:dyDescent="0.35">
      <c r="A349" s="98">
        <f t="shared" si="88"/>
        <v>306</v>
      </c>
      <c r="B349" s="99">
        <f t="shared" ca="1" si="89"/>
        <v>55370</v>
      </c>
      <c r="C349" s="100">
        <f t="shared" si="90"/>
        <v>30555.555555554041</v>
      </c>
      <c r="D349" s="100">
        <f t="shared" si="91"/>
        <v>333.05555555553906</v>
      </c>
      <c r="E349" s="100">
        <f t="shared" si="92"/>
        <v>30888.611111109582</v>
      </c>
      <c r="F349" s="100">
        <f t="shared" si="67"/>
        <v>555.55555555555554</v>
      </c>
      <c r="G349" s="100">
        <f t="shared" si="93"/>
        <v>2224.9119669789316</v>
      </c>
      <c r="H349" s="100">
        <f t="shared" si="94"/>
        <v>7.0277777777774295</v>
      </c>
      <c r="I349" s="100">
        <f t="shared" si="95"/>
        <v>20</v>
      </c>
      <c r="J349" s="100">
        <f t="shared" si="96"/>
        <v>2251.9397447567089</v>
      </c>
      <c r="K349" s="101">
        <f t="shared" si="97"/>
        <v>29999.999999998487</v>
      </c>
      <c r="O349" s="118">
        <f t="shared" si="98"/>
        <v>16.666666666666664</v>
      </c>
      <c r="P349" s="119">
        <f t="shared" ca="1" si="99"/>
        <v>31</v>
      </c>
      <c r="Q349" s="120">
        <v>365</v>
      </c>
      <c r="AN349" s="132"/>
      <c r="AO349" s="132"/>
    </row>
    <row r="350" spans="1:41" ht="15.5" x14ac:dyDescent="0.35">
      <c r="A350" s="98">
        <f t="shared" si="88"/>
        <v>307</v>
      </c>
      <c r="B350" s="99">
        <f t="shared" ca="1" si="89"/>
        <v>55401</v>
      </c>
      <c r="C350" s="100">
        <f t="shared" si="90"/>
        <v>29999.999999998487</v>
      </c>
      <c r="D350" s="100">
        <f t="shared" si="91"/>
        <v>326.99999999998352</v>
      </c>
      <c r="E350" s="100">
        <f t="shared" si="92"/>
        <v>30326.999999998468</v>
      </c>
      <c r="F350" s="100">
        <f t="shared" si="67"/>
        <v>555.55555555555554</v>
      </c>
      <c r="G350" s="100">
        <f t="shared" si="93"/>
        <v>2224.9119669789316</v>
      </c>
      <c r="H350" s="100">
        <f t="shared" si="94"/>
        <v>6.8999999999996522</v>
      </c>
      <c r="I350" s="100">
        <f t="shared" si="95"/>
        <v>20</v>
      </c>
      <c r="J350" s="100">
        <f t="shared" si="96"/>
        <v>2251.8119669789312</v>
      </c>
      <c r="K350" s="101">
        <f t="shared" si="97"/>
        <v>29444.444444442932</v>
      </c>
      <c r="O350" s="118">
        <f t="shared" si="98"/>
        <v>16.666666666666664</v>
      </c>
      <c r="P350" s="119">
        <f t="shared" ca="1" si="99"/>
        <v>31</v>
      </c>
      <c r="Q350" s="120">
        <v>365</v>
      </c>
      <c r="AN350" s="132"/>
      <c r="AO350" s="132"/>
    </row>
    <row r="351" spans="1:41" ht="15.5" x14ac:dyDescent="0.35">
      <c r="A351" s="98">
        <f t="shared" si="88"/>
        <v>308</v>
      </c>
      <c r="B351" s="99">
        <f t="shared" ca="1" si="89"/>
        <v>55431</v>
      </c>
      <c r="C351" s="100">
        <f t="shared" si="90"/>
        <v>29444.444444442932</v>
      </c>
      <c r="D351" s="100">
        <f t="shared" si="91"/>
        <v>320.94444444442797</v>
      </c>
      <c r="E351" s="100">
        <f t="shared" si="92"/>
        <v>29765.388888887359</v>
      </c>
      <c r="F351" s="100">
        <f t="shared" si="67"/>
        <v>555.55555555555554</v>
      </c>
      <c r="G351" s="100">
        <f t="shared" si="93"/>
        <v>2224.9119669789316</v>
      </c>
      <c r="H351" s="100">
        <f t="shared" si="94"/>
        <v>6.7722222222218749</v>
      </c>
      <c r="I351" s="100">
        <f t="shared" si="95"/>
        <v>20</v>
      </c>
      <c r="J351" s="100">
        <f t="shared" si="96"/>
        <v>2251.6841892011535</v>
      </c>
      <c r="K351" s="101">
        <f t="shared" si="97"/>
        <v>28888.888888887377</v>
      </c>
      <c r="O351" s="118">
        <f t="shared" si="98"/>
        <v>16.666666666666664</v>
      </c>
      <c r="P351" s="119">
        <f t="shared" ca="1" si="99"/>
        <v>30</v>
      </c>
      <c r="Q351" s="120">
        <v>365</v>
      </c>
      <c r="AN351" s="132"/>
      <c r="AO351" s="132"/>
    </row>
    <row r="352" spans="1:41" ht="15.5" x14ac:dyDescent="0.35">
      <c r="A352" s="98">
        <f t="shared" si="88"/>
        <v>309</v>
      </c>
      <c r="B352" s="99">
        <f t="shared" ca="1" si="89"/>
        <v>55462</v>
      </c>
      <c r="C352" s="100">
        <f t="shared" si="90"/>
        <v>28888.888888887377</v>
      </c>
      <c r="D352" s="100">
        <f t="shared" si="91"/>
        <v>314.88888888887243</v>
      </c>
      <c r="E352" s="100">
        <f t="shared" si="92"/>
        <v>29203.777777776249</v>
      </c>
      <c r="F352" s="100">
        <f t="shared" si="67"/>
        <v>555.55555555555554</v>
      </c>
      <c r="G352" s="100">
        <f t="shared" si="93"/>
        <v>2224.9119669789316</v>
      </c>
      <c r="H352" s="100">
        <f t="shared" si="94"/>
        <v>6.6444444444440967</v>
      </c>
      <c r="I352" s="100">
        <f t="shared" si="95"/>
        <v>20</v>
      </c>
      <c r="J352" s="100">
        <f t="shared" si="96"/>
        <v>2251.5564114233757</v>
      </c>
      <c r="K352" s="101">
        <f t="shared" si="97"/>
        <v>28333.333333331822</v>
      </c>
      <c r="O352" s="118">
        <f t="shared" si="98"/>
        <v>16.666666666666664</v>
      </c>
      <c r="P352" s="119">
        <f t="shared" ca="1" si="99"/>
        <v>31</v>
      </c>
      <c r="Q352" s="120">
        <v>365</v>
      </c>
      <c r="AN352" s="132"/>
      <c r="AO352" s="132"/>
    </row>
    <row r="353" spans="1:41" ht="15.5" x14ac:dyDescent="0.35">
      <c r="A353" s="98">
        <f t="shared" si="88"/>
        <v>310</v>
      </c>
      <c r="B353" s="99">
        <f t="shared" ca="1" si="89"/>
        <v>55492</v>
      </c>
      <c r="C353" s="100">
        <f t="shared" si="90"/>
        <v>28333.333333331822</v>
      </c>
      <c r="D353" s="100">
        <f t="shared" si="91"/>
        <v>308.83333333331689</v>
      </c>
      <c r="E353" s="100">
        <f t="shared" si="92"/>
        <v>28642.16666666514</v>
      </c>
      <c r="F353" s="100">
        <f t="shared" si="67"/>
        <v>555.55555555555554</v>
      </c>
      <c r="G353" s="100">
        <f t="shared" si="93"/>
        <v>2224.9119669789316</v>
      </c>
      <c r="H353" s="100">
        <f t="shared" si="94"/>
        <v>6.5166666666663193</v>
      </c>
      <c r="I353" s="100">
        <f t="shared" si="95"/>
        <v>20</v>
      </c>
      <c r="J353" s="100">
        <f t="shared" si="96"/>
        <v>2251.428633645598</v>
      </c>
      <c r="K353" s="101">
        <f t="shared" si="97"/>
        <v>27777.777777776268</v>
      </c>
      <c r="O353" s="118">
        <f t="shared" si="98"/>
        <v>16.666666666666664</v>
      </c>
      <c r="P353" s="119">
        <f t="shared" ca="1" si="99"/>
        <v>30</v>
      </c>
      <c r="Q353" s="120">
        <v>365</v>
      </c>
      <c r="AN353" s="132"/>
      <c r="AO353" s="132"/>
    </row>
    <row r="354" spans="1:41" ht="15.5" x14ac:dyDescent="0.35">
      <c r="A354" s="98">
        <f t="shared" si="88"/>
        <v>311</v>
      </c>
      <c r="B354" s="99">
        <f t="shared" ca="1" si="89"/>
        <v>55523</v>
      </c>
      <c r="C354" s="100">
        <f t="shared" si="90"/>
        <v>27777.777777776268</v>
      </c>
      <c r="D354" s="100">
        <f t="shared" si="91"/>
        <v>302.77777777776134</v>
      </c>
      <c r="E354" s="100">
        <f t="shared" si="92"/>
        <v>28080.55555555403</v>
      </c>
      <c r="F354" s="100">
        <f t="shared" si="67"/>
        <v>555.55555555555554</v>
      </c>
      <c r="G354" s="100">
        <f t="shared" si="93"/>
        <v>2224.9119669789316</v>
      </c>
      <c r="H354" s="100">
        <f t="shared" si="94"/>
        <v>6.388888888888542</v>
      </c>
      <c r="I354" s="100">
        <f t="shared" si="95"/>
        <v>20</v>
      </c>
      <c r="J354" s="100">
        <f t="shared" si="96"/>
        <v>2251.3008558678202</v>
      </c>
      <c r="K354" s="101">
        <f t="shared" si="97"/>
        <v>27222.222222220713</v>
      </c>
      <c r="O354" s="118">
        <f t="shared" si="98"/>
        <v>16.666666666666664</v>
      </c>
      <c r="P354" s="119">
        <f t="shared" ca="1" si="99"/>
        <v>31</v>
      </c>
      <c r="Q354" s="120">
        <v>365</v>
      </c>
      <c r="AN354" s="132"/>
      <c r="AO354" s="132"/>
    </row>
    <row r="355" spans="1:41" ht="15.5" x14ac:dyDescent="0.35">
      <c r="A355" s="98">
        <f t="shared" si="88"/>
        <v>312</v>
      </c>
      <c r="B355" s="99">
        <f t="shared" ca="1" si="89"/>
        <v>55554</v>
      </c>
      <c r="C355" s="100">
        <f t="shared" si="90"/>
        <v>27222.222222220713</v>
      </c>
      <c r="D355" s="100">
        <f t="shared" si="91"/>
        <v>296.72222222220574</v>
      </c>
      <c r="E355" s="100">
        <f t="shared" si="92"/>
        <v>27518.944444442917</v>
      </c>
      <c r="F355" s="100">
        <f t="shared" si="67"/>
        <v>555.55555555555554</v>
      </c>
      <c r="G355" s="100">
        <f t="shared" si="93"/>
        <v>2224.9119669789316</v>
      </c>
      <c r="H355" s="100">
        <f t="shared" si="94"/>
        <v>6.2611111111107638</v>
      </c>
      <c r="I355" s="100">
        <f t="shared" si="95"/>
        <v>20</v>
      </c>
      <c r="J355" s="100">
        <f t="shared" si="96"/>
        <v>2251.1730780900425</v>
      </c>
      <c r="K355" s="101">
        <f t="shared" si="97"/>
        <v>26666.666666665158</v>
      </c>
      <c r="O355" s="118">
        <f t="shared" si="98"/>
        <v>16.666666666666664</v>
      </c>
      <c r="P355" s="119">
        <f t="shared" ca="1" si="99"/>
        <v>31</v>
      </c>
      <c r="Q355" s="120">
        <v>365</v>
      </c>
      <c r="AN355" s="132"/>
      <c r="AO355" s="132"/>
    </row>
    <row r="356" spans="1:41" ht="15.5" x14ac:dyDescent="0.35">
      <c r="A356" s="98">
        <f t="shared" si="88"/>
        <v>313</v>
      </c>
      <c r="B356" s="99">
        <f t="shared" ca="1" si="89"/>
        <v>55583</v>
      </c>
      <c r="C356" s="100">
        <f t="shared" si="90"/>
        <v>26666.666666665158</v>
      </c>
      <c r="D356" s="100">
        <f t="shared" si="91"/>
        <v>290.6666666666502</v>
      </c>
      <c r="E356" s="100">
        <f t="shared" si="92"/>
        <v>26957.333333331808</v>
      </c>
      <c r="F356" s="100">
        <f t="shared" si="67"/>
        <v>555.55555555555554</v>
      </c>
      <c r="G356" s="100">
        <f t="shared" si="93"/>
        <v>2224.9119669789316</v>
      </c>
      <c r="H356" s="100">
        <f t="shared" si="94"/>
        <v>6.1333333333329865</v>
      </c>
      <c r="I356" s="100">
        <f t="shared" si="95"/>
        <v>20</v>
      </c>
      <c r="J356" s="100">
        <f t="shared" si="96"/>
        <v>2251.0453003122648</v>
      </c>
      <c r="K356" s="101">
        <f t="shared" si="97"/>
        <v>26111.111111109603</v>
      </c>
      <c r="O356" s="118">
        <f t="shared" si="98"/>
        <v>16.666666666666664</v>
      </c>
      <c r="P356" s="119">
        <f t="shared" ca="1" si="99"/>
        <v>29</v>
      </c>
      <c r="Q356" s="120">
        <v>365</v>
      </c>
      <c r="AN356" s="132"/>
      <c r="AO356" s="132"/>
    </row>
    <row r="357" spans="1:41" ht="15.5" x14ac:dyDescent="0.35">
      <c r="A357" s="98">
        <f t="shared" si="88"/>
        <v>314</v>
      </c>
      <c r="B357" s="99">
        <f t="shared" ca="1" si="89"/>
        <v>55614</v>
      </c>
      <c r="C357" s="100">
        <f t="shared" si="90"/>
        <v>26111.111111109603</v>
      </c>
      <c r="D357" s="100">
        <f t="shared" si="91"/>
        <v>284.61111111109466</v>
      </c>
      <c r="E357" s="100">
        <f t="shared" si="92"/>
        <v>26395.722222220698</v>
      </c>
      <c r="F357" s="100">
        <f t="shared" si="67"/>
        <v>555.55555555555554</v>
      </c>
      <c r="G357" s="100">
        <f t="shared" si="93"/>
        <v>2224.9119669789316</v>
      </c>
      <c r="H357" s="100">
        <f t="shared" si="94"/>
        <v>6.0055555555552091</v>
      </c>
      <c r="I357" s="100">
        <f t="shared" si="95"/>
        <v>20</v>
      </c>
      <c r="J357" s="100">
        <f t="shared" si="96"/>
        <v>2250.9175225344866</v>
      </c>
      <c r="K357" s="101">
        <f t="shared" si="97"/>
        <v>25555.555555554049</v>
      </c>
      <c r="O357" s="118">
        <f t="shared" si="98"/>
        <v>16.666666666666664</v>
      </c>
      <c r="P357" s="119">
        <f t="shared" ca="1" si="99"/>
        <v>31</v>
      </c>
      <c r="Q357" s="120">
        <v>365</v>
      </c>
      <c r="AN357" s="132"/>
      <c r="AO357" s="132"/>
    </row>
    <row r="358" spans="1:41" ht="15.5" x14ac:dyDescent="0.35">
      <c r="A358" s="98">
        <f t="shared" si="88"/>
        <v>315</v>
      </c>
      <c r="B358" s="99">
        <f t="shared" ca="1" si="89"/>
        <v>55644</v>
      </c>
      <c r="C358" s="100">
        <f t="shared" si="90"/>
        <v>25555.555555554049</v>
      </c>
      <c r="D358" s="100">
        <f t="shared" si="91"/>
        <v>278.55555555553912</v>
      </c>
      <c r="E358" s="100">
        <f t="shared" si="92"/>
        <v>25834.111111109589</v>
      </c>
      <c r="F358" s="100">
        <f t="shared" si="67"/>
        <v>555.55555555555554</v>
      </c>
      <c r="G358" s="100">
        <f t="shared" si="93"/>
        <v>2224.9119669789316</v>
      </c>
      <c r="H358" s="100">
        <f t="shared" si="94"/>
        <v>5.8777777777774309</v>
      </c>
      <c r="I358" s="100">
        <f t="shared" si="95"/>
        <v>20</v>
      </c>
      <c r="J358" s="100">
        <f t="shared" si="96"/>
        <v>2250.7897447567088</v>
      </c>
      <c r="K358" s="101">
        <f t="shared" si="97"/>
        <v>24999.999999998494</v>
      </c>
      <c r="O358" s="118">
        <f t="shared" si="98"/>
        <v>16.666666666666664</v>
      </c>
      <c r="P358" s="119">
        <f t="shared" ca="1" si="99"/>
        <v>30</v>
      </c>
      <c r="Q358" s="120">
        <v>365</v>
      </c>
      <c r="AN358" s="132"/>
      <c r="AO358" s="132"/>
    </row>
    <row r="359" spans="1:41" ht="15.5" x14ac:dyDescent="0.35">
      <c r="A359" s="98">
        <f t="shared" si="88"/>
        <v>316</v>
      </c>
      <c r="B359" s="99">
        <f t="shared" ca="1" si="89"/>
        <v>55675</v>
      </c>
      <c r="C359" s="100">
        <f t="shared" si="90"/>
        <v>24999.999999998494</v>
      </c>
      <c r="D359" s="100">
        <f t="shared" si="91"/>
        <v>272.49999999998357</v>
      </c>
      <c r="E359" s="100">
        <f t="shared" si="92"/>
        <v>25272.499999998476</v>
      </c>
      <c r="F359" s="100">
        <f t="shared" si="67"/>
        <v>555.55555555555554</v>
      </c>
      <c r="G359" s="100">
        <f t="shared" si="93"/>
        <v>2224.9119669789316</v>
      </c>
      <c r="H359" s="100">
        <f t="shared" si="94"/>
        <v>5.7499999999996536</v>
      </c>
      <c r="I359" s="100">
        <f t="shared" si="95"/>
        <v>20</v>
      </c>
      <c r="J359" s="100">
        <f t="shared" si="96"/>
        <v>2250.6619669789311</v>
      </c>
      <c r="K359" s="101">
        <f t="shared" si="97"/>
        <v>24444.444444442939</v>
      </c>
      <c r="O359" s="118">
        <f t="shared" si="98"/>
        <v>16.666666666666664</v>
      </c>
      <c r="P359" s="119">
        <f t="shared" ca="1" si="99"/>
        <v>31</v>
      </c>
      <c r="Q359" s="120">
        <v>365</v>
      </c>
      <c r="AN359" s="132"/>
      <c r="AO359" s="132"/>
    </row>
    <row r="360" spans="1:41" ht="15.5" x14ac:dyDescent="0.35">
      <c r="A360" s="98">
        <f t="shared" si="88"/>
        <v>317</v>
      </c>
      <c r="B360" s="99">
        <f t="shared" ca="1" si="89"/>
        <v>55705</v>
      </c>
      <c r="C360" s="100">
        <f t="shared" si="90"/>
        <v>24444.444444442939</v>
      </c>
      <c r="D360" s="100">
        <f t="shared" si="91"/>
        <v>266.44444444442803</v>
      </c>
      <c r="E360" s="100">
        <f t="shared" si="92"/>
        <v>24710.888888887366</v>
      </c>
      <c r="F360" s="100">
        <f t="shared" si="67"/>
        <v>555.55555555555554</v>
      </c>
      <c r="G360" s="100">
        <f t="shared" si="93"/>
        <v>2224.9119669789316</v>
      </c>
      <c r="H360" s="100">
        <f t="shared" si="94"/>
        <v>5.6222222222218763</v>
      </c>
      <c r="I360" s="100">
        <f t="shared" si="95"/>
        <v>20</v>
      </c>
      <c r="J360" s="100">
        <f t="shared" si="96"/>
        <v>2250.5341892011534</v>
      </c>
      <c r="K360" s="101">
        <f t="shared" si="97"/>
        <v>23888.888888887384</v>
      </c>
      <c r="O360" s="118">
        <f t="shared" si="98"/>
        <v>16.666666666666664</v>
      </c>
      <c r="P360" s="119">
        <f t="shared" ca="1" si="99"/>
        <v>30</v>
      </c>
      <c r="Q360" s="120">
        <v>365</v>
      </c>
      <c r="AN360" s="132"/>
      <c r="AO360" s="132"/>
    </row>
    <row r="361" spans="1:41" ht="15.5" x14ac:dyDescent="0.35">
      <c r="A361" s="98">
        <f t="shared" si="88"/>
        <v>318</v>
      </c>
      <c r="B361" s="99">
        <f t="shared" ca="1" si="89"/>
        <v>55736</v>
      </c>
      <c r="C361" s="100">
        <f t="shared" si="90"/>
        <v>23888.888888887384</v>
      </c>
      <c r="D361" s="100">
        <f t="shared" si="91"/>
        <v>260.38888888887249</v>
      </c>
      <c r="E361" s="100">
        <f t="shared" si="92"/>
        <v>24149.277777776257</v>
      </c>
      <c r="F361" s="100">
        <f t="shared" si="67"/>
        <v>555.55555555555554</v>
      </c>
      <c r="G361" s="100">
        <f t="shared" si="93"/>
        <v>2224.9119669789316</v>
      </c>
      <c r="H361" s="100">
        <f t="shared" si="94"/>
        <v>5.494444444444099</v>
      </c>
      <c r="I361" s="100">
        <f t="shared" si="95"/>
        <v>20</v>
      </c>
      <c r="J361" s="100">
        <f t="shared" si="96"/>
        <v>2250.4064114233756</v>
      </c>
      <c r="K361" s="101">
        <f t="shared" si="97"/>
        <v>23333.33333333183</v>
      </c>
      <c r="O361" s="118">
        <f t="shared" si="98"/>
        <v>16.666666666666664</v>
      </c>
      <c r="P361" s="119">
        <f t="shared" ca="1" si="99"/>
        <v>31</v>
      </c>
      <c r="Q361" s="120">
        <v>365</v>
      </c>
      <c r="AN361" s="132"/>
      <c r="AO361" s="132"/>
    </row>
    <row r="362" spans="1:41" ht="15.5" x14ac:dyDescent="0.35">
      <c r="A362" s="98">
        <f t="shared" si="88"/>
        <v>319</v>
      </c>
      <c r="B362" s="99">
        <f t="shared" ca="1" si="89"/>
        <v>55767</v>
      </c>
      <c r="C362" s="100">
        <f t="shared" si="90"/>
        <v>23333.33333333183</v>
      </c>
      <c r="D362" s="100">
        <f t="shared" si="91"/>
        <v>254.33333333331694</v>
      </c>
      <c r="E362" s="100">
        <f t="shared" si="92"/>
        <v>23587.666666665147</v>
      </c>
      <c r="F362" s="100">
        <f t="shared" si="67"/>
        <v>555.55555555555554</v>
      </c>
      <c r="G362" s="100">
        <f t="shared" si="93"/>
        <v>2224.9119669789316</v>
      </c>
      <c r="H362" s="100">
        <f t="shared" si="94"/>
        <v>5.3666666666663208</v>
      </c>
      <c r="I362" s="100">
        <f t="shared" si="95"/>
        <v>20</v>
      </c>
      <c r="J362" s="100">
        <f t="shared" si="96"/>
        <v>2250.2786336455979</v>
      </c>
      <c r="K362" s="101">
        <f t="shared" si="97"/>
        <v>22777.777777776275</v>
      </c>
      <c r="O362" s="118">
        <f t="shared" si="98"/>
        <v>16.666666666666664</v>
      </c>
      <c r="P362" s="119">
        <f t="shared" ca="1" si="99"/>
        <v>31</v>
      </c>
      <c r="Q362" s="120">
        <v>365</v>
      </c>
      <c r="AN362" s="132"/>
      <c r="AO362" s="132"/>
    </row>
    <row r="363" spans="1:41" ht="15.5" x14ac:dyDescent="0.35">
      <c r="A363" s="98">
        <f t="shared" si="88"/>
        <v>320</v>
      </c>
      <c r="B363" s="99">
        <f t="shared" ca="1" si="89"/>
        <v>55797</v>
      </c>
      <c r="C363" s="100">
        <f t="shared" si="90"/>
        <v>22777.777777776275</v>
      </c>
      <c r="D363" s="100">
        <f t="shared" si="91"/>
        <v>248.2777777777614</v>
      </c>
      <c r="E363" s="100">
        <f t="shared" si="92"/>
        <v>23026.055555554038</v>
      </c>
      <c r="F363" s="100">
        <f t="shared" si="67"/>
        <v>555.55555555555554</v>
      </c>
      <c r="G363" s="100">
        <f t="shared" si="93"/>
        <v>2224.9119669789316</v>
      </c>
      <c r="H363" s="100">
        <f t="shared" si="94"/>
        <v>5.2388888888885434</v>
      </c>
      <c r="I363" s="100">
        <f t="shared" si="95"/>
        <v>20</v>
      </c>
      <c r="J363" s="100">
        <f t="shared" si="96"/>
        <v>2250.1508558678202</v>
      </c>
      <c r="K363" s="101">
        <f t="shared" si="97"/>
        <v>22222.22222222072</v>
      </c>
      <c r="O363" s="118">
        <f t="shared" si="98"/>
        <v>16.666666666666664</v>
      </c>
      <c r="P363" s="119">
        <f t="shared" ca="1" si="99"/>
        <v>30</v>
      </c>
      <c r="Q363" s="120">
        <v>365</v>
      </c>
      <c r="AN363" s="132"/>
      <c r="AO363" s="132"/>
    </row>
    <row r="364" spans="1:41" ht="15.5" x14ac:dyDescent="0.35">
      <c r="A364" s="98">
        <f t="shared" si="88"/>
        <v>321</v>
      </c>
      <c r="B364" s="99">
        <f t="shared" ca="1" si="89"/>
        <v>55828</v>
      </c>
      <c r="C364" s="100">
        <f t="shared" si="90"/>
        <v>22222.22222222072</v>
      </c>
      <c r="D364" s="100">
        <f t="shared" si="91"/>
        <v>242.22222222220586</v>
      </c>
      <c r="E364" s="100">
        <f t="shared" si="92"/>
        <v>22464.444444442925</v>
      </c>
      <c r="F364" s="100">
        <f t="shared" si="67"/>
        <v>555.55555555555554</v>
      </c>
      <c r="G364" s="100">
        <f t="shared" si="93"/>
        <v>2224.9119669789316</v>
      </c>
      <c r="H364" s="100">
        <f t="shared" si="94"/>
        <v>5.1111111111107661</v>
      </c>
      <c r="I364" s="100">
        <f t="shared" si="95"/>
        <v>20</v>
      </c>
      <c r="J364" s="100">
        <f t="shared" si="96"/>
        <v>2250.0230780900424</v>
      </c>
      <c r="K364" s="101">
        <f t="shared" si="97"/>
        <v>21666.666666665165</v>
      </c>
      <c r="O364" s="118">
        <f t="shared" si="98"/>
        <v>16.666666666666664</v>
      </c>
      <c r="P364" s="119">
        <f t="shared" ca="1" si="99"/>
        <v>31</v>
      </c>
      <c r="Q364" s="120">
        <v>365</v>
      </c>
      <c r="AN364" s="132"/>
      <c r="AO364" s="132"/>
    </row>
    <row r="365" spans="1:41" ht="15.5" x14ac:dyDescent="0.35">
      <c r="A365" s="98">
        <f t="shared" si="88"/>
        <v>322</v>
      </c>
      <c r="B365" s="99">
        <f t="shared" ca="1" si="89"/>
        <v>55858</v>
      </c>
      <c r="C365" s="100">
        <f t="shared" si="90"/>
        <v>21666.666666665165</v>
      </c>
      <c r="D365" s="100">
        <f t="shared" si="91"/>
        <v>236.16666666665031</v>
      </c>
      <c r="E365" s="100">
        <f t="shared" si="92"/>
        <v>21902.833333331815</v>
      </c>
      <c r="F365" s="100">
        <f t="shared" si="67"/>
        <v>555.55555555555554</v>
      </c>
      <c r="G365" s="100">
        <f t="shared" si="93"/>
        <v>2224.9119669789316</v>
      </c>
      <c r="H365" s="100">
        <f t="shared" si="94"/>
        <v>4.9833333333329879</v>
      </c>
      <c r="I365" s="100">
        <f t="shared" si="95"/>
        <v>20</v>
      </c>
      <c r="J365" s="100">
        <f t="shared" si="96"/>
        <v>2249.8953003122647</v>
      </c>
      <c r="K365" s="101">
        <f t="shared" si="97"/>
        <v>21111.111111109611</v>
      </c>
      <c r="O365" s="118">
        <f t="shared" si="98"/>
        <v>16.666666666666664</v>
      </c>
      <c r="P365" s="119">
        <f t="shared" ca="1" si="99"/>
        <v>30</v>
      </c>
      <c r="Q365" s="120">
        <v>365</v>
      </c>
      <c r="AN365" s="132"/>
      <c r="AO365" s="132"/>
    </row>
    <row r="366" spans="1:41" ht="15.5" x14ac:dyDescent="0.35">
      <c r="A366" s="98">
        <f t="shared" si="88"/>
        <v>323</v>
      </c>
      <c r="B366" s="99">
        <f t="shared" ca="1" si="89"/>
        <v>55889</v>
      </c>
      <c r="C366" s="100">
        <f t="shared" si="90"/>
        <v>21111.111111109611</v>
      </c>
      <c r="D366" s="100">
        <f t="shared" si="91"/>
        <v>230.11111111109474</v>
      </c>
      <c r="E366" s="100">
        <f t="shared" si="92"/>
        <v>21341.222222220706</v>
      </c>
      <c r="F366" s="100">
        <f t="shared" si="67"/>
        <v>555.55555555555554</v>
      </c>
      <c r="G366" s="100">
        <f t="shared" si="93"/>
        <v>2224.9119669789316</v>
      </c>
      <c r="H366" s="100">
        <f t="shared" si="94"/>
        <v>4.8555555555552106</v>
      </c>
      <c r="I366" s="100">
        <f t="shared" si="95"/>
        <v>20</v>
      </c>
      <c r="J366" s="100">
        <f t="shared" si="96"/>
        <v>2249.7675225344869</v>
      </c>
      <c r="K366" s="101">
        <f t="shared" si="97"/>
        <v>20555.555555554056</v>
      </c>
      <c r="O366" s="118">
        <f t="shared" si="98"/>
        <v>16.666666666666664</v>
      </c>
      <c r="P366" s="119">
        <f t="shared" ca="1" si="99"/>
        <v>31</v>
      </c>
      <c r="Q366" s="120">
        <v>365</v>
      </c>
      <c r="AN366" s="132"/>
      <c r="AO366" s="132"/>
    </row>
    <row r="367" spans="1:41" ht="15.5" x14ac:dyDescent="0.35">
      <c r="A367" s="98">
        <f t="shared" si="88"/>
        <v>324</v>
      </c>
      <c r="B367" s="99">
        <f t="shared" ca="1" si="89"/>
        <v>55920</v>
      </c>
      <c r="C367" s="100">
        <f t="shared" si="90"/>
        <v>20555.555555554056</v>
      </c>
      <c r="D367" s="100">
        <f t="shared" si="91"/>
        <v>224.0555555555392</v>
      </c>
      <c r="E367" s="100">
        <f t="shared" si="92"/>
        <v>20779.611111109596</v>
      </c>
      <c r="F367" s="100">
        <f t="shared" si="67"/>
        <v>555.55555555555554</v>
      </c>
      <c r="G367" s="100">
        <f t="shared" si="93"/>
        <v>2224.9119669789316</v>
      </c>
      <c r="H367" s="100">
        <f t="shared" si="94"/>
        <v>4.7277777777774332</v>
      </c>
      <c r="I367" s="100">
        <f t="shared" si="95"/>
        <v>20</v>
      </c>
      <c r="J367" s="100">
        <f t="shared" si="96"/>
        <v>2249.6397447567092</v>
      </c>
      <c r="K367" s="101">
        <f t="shared" si="97"/>
        <v>19999.999999998501</v>
      </c>
      <c r="O367" s="118">
        <f t="shared" si="98"/>
        <v>16.666666666666664</v>
      </c>
      <c r="P367" s="119">
        <f t="shared" ca="1" si="99"/>
        <v>31</v>
      </c>
      <c r="Q367" s="120">
        <v>365</v>
      </c>
      <c r="AN367" s="132"/>
      <c r="AO367" s="132"/>
    </row>
    <row r="368" spans="1:41" ht="15.5" x14ac:dyDescent="0.35">
      <c r="A368" s="98">
        <f t="shared" si="88"/>
        <v>325</v>
      </c>
      <c r="B368" s="99">
        <f t="shared" ca="1" si="89"/>
        <v>55948</v>
      </c>
      <c r="C368" s="100">
        <f t="shared" si="90"/>
        <v>19999.999999998501</v>
      </c>
      <c r="D368" s="100">
        <f t="shared" si="91"/>
        <v>217.99999999998366</v>
      </c>
      <c r="E368" s="100">
        <f t="shared" si="92"/>
        <v>20217.999999998487</v>
      </c>
      <c r="F368" s="100">
        <f t="shared" si="67"/>
        <v>555.55555555555554</v>
      </c>
      <c r="G368" s="100">
        <f t="shared" si="93"/>
        <v>2224.9119669789316</v>
      </c>
      <c r="H368" s="100">
        <f t="shared" si="94"/>
        <v>4.599999999999655</v>
      </c>
      <c r="I368" s="100">
        <f t="shared" si="95"/>
        <v>20</v>
      </c>
      <c r="J368" s="100">
        <f t="shared" si="96"/>
        <v>2249.511966978931</v>
      </c>
      <c r="K368" s="101">
        <f t="shared" si="97"/>
        <v>19444.444444442946</v>
      </c>
      <c r="O368" s="118">
        <f t="shared" si="98"/>
        <v>16.666666666666664</v>
      </c>
      <c r="P368" s="119">
        <f t="shared" ca="1" si="99"/>
        <v>28</v>
      </c>
      <c r="Q368" s="120">
        <v>365</v>
      </c>
      <c r="AN368" s="132"/>
      <c r="AO368" s="132"/>
    </row>
    <row r="369" spans="1:41" ht="15.5" x14ac:dyDescent="0.35">
      <c r="A369" s="98">
        <f t="shared" si="88"/>
        <v>326</v>
      </c>
      <c r="B369" s="99">
        <f t="shared" ca="1" si="89"/>
        <v>55979</v>
      </c>
      <c r="C369" s="100">
        <f t="shared" si="90"/>
        <v>19444.444444442946</v>
      </c>
      <c r="D369" s="100">
        <f t="shared" si="91"/>
        <v>211.94444444442811</v>
      </c>
      <c r="E369" s="100">
        <f t="shared" si="92"/>
        <v>19656.388888887373</v>
      </c>
      <c r="F369" s="100">
        <f t="shared" si="67"/>
        <v>555.55555555555554</v>
      </c>
      <c r="G369" s="100">
        <f t="shared" si="93"/>
        <v>2224.9119669789316</v>
      </c>
      <c r="H369" s="100">
        <f t="shared" si="94"/>
        <v>4.4722222222218777</v>
      </c>
      <c r="I369" s="100">
        <f t="shared" si="95"/>
        <v>20</v>
      </c>
      <c r="J369" s="100">
        <f t="shared" si="96"/>
        <v>2249.3841892011533</v>
      </c>
      <c r="K369" s="101">
        <f t="shared" si="97"/>
        <v>18888.888888887392</v>
      </c>
      <c r="O369" s="118">
        <f t="shared" si="98"/>
        <v>16.666666666666664</v>
      </c>
      <c r="P369" s="119">
        <f t="shared" ca="1" si="99"/>
        <v>31</v>
      </c>
      <c r="Q369" s="120">
        <v>365</v>
      </c>
      <c r="AN369" s="132"/>
      <c r="AO369" s="132"/>
    </row>
    <row r="370" spans="1:41" ht="15.5" x14ac:dyDescent="0.35">
      <c r="A370" s="98">
        <f t="shared" si="88"/>
        <v>327</v>
      </c>
      <c r="B370" s="99">
        <f t="shared" ca="1" si="89"/>
        <v>56009</v>
      </c>
      <c r="C370" s="100">
        <f t="shared" si="90"/>
        <v>18888.888888887392</v>
      </c>
      <c r="D370" s="100">
        <f t="shared" si="91"/>
        <v>205.88888888887257</v>
      </c>
      <c r="E370" s="100">
        <f t="shared" si="92"/>
        <v>19094.777777776264</v>
      </c>
      <c r="F370" s="100">
        <f t="shared" si="67"/>
        <v>555.55555555555554</v>
      </c>
      <c r="G370" s="100">
        <f t="shared" si="93"/>
        <v>2224.9119669789316</v>
      </c>
      <c r="H370" s="100">
        <f t="shared" si="94"/>
        <v>4.3444444444441004</v>
      </c>
      <c r="I370" s="100">
        <f t="shared" si="95"/>
        <v>20</v>
      </c>
      <c r="J370" s="100">
        <f t="shared" si="96"/>
        <v>2249.2564114233755</v>
      </c>
      <c r="K370" s="101">
        <f t="shared" si="97"/>
        <v>18333.333333331837</v>
      </c>
      <c r="O370" s="118">
        <f t="shared" si="98"/>
        <v>16.666666666666664</v>
      </c>
      <c r="P370" s="119">
        <f t="shared" ca="1" si="99"/>
        <v>30</v>
      </c>
      <c r="Q370" s="120">
        <v>365</v>
      </c>
      <c r="AN370" s="132"/>
      <c r="AO370" s="132"/>
    </row>
    <row r="371" spans="1:41" ht="15.5" x14ac:dyDescent="0.35">
      <c r="A371" s="98">
        <f t="shared" si="88"/>
        <v>328</v>
      </c>
      <c r="B371" s="99">
        <f t="shared" ca="1" si="89"/>
        <v>56040</v>
      </c>
      <c r="C371" s="100">
        <f t="shared" si="90"/>
        <v>18333.333333331837</v>
      </c>
      <c r="D371" s="100">
        <f t="shared" si="91"/>
        <v>199.83333333331703</v>
      </c>
      <c r="E371" s="100">
        <f t="shared" si="92"/>
        <v>18533.166666665154</v>
      </c>
      <c r="F371" s="100">
        <f t="shared" si="67"/>
        <v>555.55555555555554</v>
      </c>
      <c r="G371" s="100">
        <f t="shared" si="93"/>
        <v>2224.9119669789316</v>
      </c>
      <c r="H371" s="100">
        <f t="shared" si="94"/>
        <v>4.2166666666663231</v>
      </c>
      <c r="I371" s="100">
        <f t="shared" si="95"/>
        <v>20</v>
      </c>
      <c r="J371" s="100">
        <f t="shared" si="96"/>
        <v>2249.1286336455978</v>
      </c>
      <c r="K371" s="101">
        <f t="shared" si="97"/>
        <v>17777.777777776282</v>
      </c>
      <c r="O371" s="118">
        <f t="shared" si="98"/>
        <v>16.666666666666664</v>
      </c>
      <c r="P371" s="119">
        <f t="shared" ca="1" si="99"/>
        <v>31</v>
      </c>
      <c r="Q371" s="120">
        <v>365</v>
      </c>
      <c r="AN371" s="132"/>
      <c r="AO371" s="132"/>
    </row>
    <row r="372" spans="1:41" ht="15.5" x14ac:dyDescent="0.35">
      <c r="A372" s="98">
        <f t="shared" si="88"/>
        <v>329</v>
      </c>
      <c r="B372" s="99">
        <f t="shared" ca="1" si="89"/>
        <v>56070</v>
      </c>
      <c r="C372" s="100">
        <f t="shared" si="90"/>
        <v>17777.777777776282</v>
      </c>
      <c r="D372" s="100">
        <f t="shared" si="91"/>
        <v>193.77777777776149</v>
      </c>
      <c r="E372" s="100">
        <f t="shared" si="92"/>
        <v>17971.555555554045</v>
      </c>
      <c r="F372" s="100">
        <f t="shared" si="67"/>
        <v>555.55555555555554</v>
      </c>
      <c r="G372" s="100">
        <f t="shared" si="93"/>
        <v>2224.9119669789316</v>
      </c>
      <c r="H372" s="100">
        <f t="shared" si="94"/>
        <v>4.0888888888885448</v>
      </c>
      <c r="I372" s="100">
        <f t="shared" si="95"/>
        <v>20</v>
      </c>
      <c r="J372" s="100">
        <f t="shared" si="96"/>
        <v>2249.0008558678201</v>
      </c>
      <c r="K372" s="101">
        <f t="shared" si="97"/>
        <v>17222.222222220727</v>
      </c>
      <c r="O372" s="118">
        <f t="shared" si="98"/>
        <v>16.666666666666664</v>
      </c>
      <c r="P372" s="119">
        <f t="shared" ca="1" si="99"/>
        <v>30</v>
      </c>
      <c r="Q372" s="120">
        <v>365</v>
      </c>
      <c r="AN372" s="132"/>
      <c r="AO372" s="132"/>
    </row>
    <row r="373" spans="1:41" ht="15.5" x14ac:dyDescent="0.35">
      <c r="A373" s="98">
        <f t="shared" si="88"/>
        <v>330</v>
      </c>
      <c r="B373" s="99">
        <f t="shared" ca="1" si="89"/>
        <v>56101</v>
      </c>
      <c r="C373" s="100">
        <f t="shared" si="90"/>
        <v>17222.222222220727</v>
      </c>
      <c r="D373" s="100">
        <f t="shared" si="91"/>
        <v>187.72222222220591</v>
      </c>
      <c r="E373" s="100">
        <f t="shared" si="92"/>
        <v>17409.944444442932</v>
      </c>
      <c r="F373" s="100">
        <f t="shared" si="67"/>
        <v>555.55555555555554</v>
      </c>
      <c r="G373" s="100">
        <f t="shared" si="93"/>
        <v>2224.9119669789316</v>
      </c>
      <c r="H373" s="100">
        <f t="shared" si="94"/>
        <v>3.9611111111107675</v>
      </c>
      <c r="I373" s="100">
        <f t="shared" si="95"/>
        <v>20</v>
      </c>
      <c r="J373" s="100">
        <f t="shared" si="96"/>
        <v>2248.8730780900423</v>
      </c>
      <c r="K373" s="101">
        <f t="shared" si="97"/>
        <v>16666.666666665173</v>
      </c>
      <c r="O373" s="118">
        <f t="shared" si="98"/>
        <v>16.666666666666664</v>
      </c>
      <c r="P373" s="119">
        <f t="shared" ca="1" si="99"/>
        <v>31</v>
      </c>
      <c r="Q373" s="120">
        <v>365</v>
      </c>
      <c r="AN373" s="132"/>
      <c r="AO373" s="132"/>
    </row>
    <row r="374" spans="1:41" ht="15.5" x14ac:dyDescent="0.35">
      <c r="A374" s="98">
        <f t="shared" si="88"/>
        <v>331</v>
      </c>
      <c r="B374" s="99">
        <f t="shared" ca="1" si="89"/>
        <v>56132</v>
      </c>
      <c r="C374" s="100">
        <f t="shared" si="90"/>
        <v>16666.666666665173</v>
      </c>
      <c r="D374" s="100">
        <f t="shared" si="91"/>
        <v>181.66666666665037</v>
      </c>
      <c r="E374" s="100">
        <f t="shared" si="92"/>
        <v>16848.333333331822</v>
      </c>
      <c r="F374" s="100">
        <f t="shared" si="67"/>
        <v>555.55555555555554</v>
      </c>
      <c r="G374" s="100">
        <f t="shared" si="93"/>
        <v>2224.9119669789316</v>
      </c>
      <c r="H374" s="100">
        <f t="shared" si="94"/>
        <v>3.8333333333329898</v>
      </c>
      <c r="I374" s="100">
        <f t="shared" si="95"/>
        <v>20</v>
      </c>
      <c r="J374" s="100">
        <f t="shared" si="96"/>
        <v>2248.7453003122646</v>
      </c>
      <c r="K374" s="101">
        <f t="shared" si="97"/>
        <v>16111.111111109618</v>
      </c>
      <c r="O374" s="118">
        <f t="shared" si="98"/>
        <v>16.666666666666664</v>
      </c>
      <c r="P374" s="119">
        <f t="shared" ca="1" si="99"/>
        <v>31</v>
      </c>
      <c r="Q374" s="120">
        <v>365</v>
      </c>
      <c r="AN374" s="132"/>
      <c r="AO374" s="132"/>
    </row>
    <row r="375" spans="1:41" ht="15.5" x14ac:dyDescent="0.35">
      <c r="A375" s="98">
        <f t="shared" si="88"/>
        <v>332</v>
      </c>
      <c r="B375" s="99">
        <f t="shared" ca="1" si="89"/>
        <v>56162</v>
      </c>
      <c r="C375" s="100">
        <f t="shared" si="90"/>
        <v>16111.111111109618</v>
      </c>
      <c r="D375" s="100">
        <f t="shared" si="91"/>
        <v>175.61111111109483</v>
      </c>
      <c r="E375" s="100">
        <f t="shared" si="92"/>
        <v>16286.722222220713</v>
      </c>
      <c r="F375" s="100">
        <f t="shared" si="67"/>
        <v>555.55555555555554</v>
      </c>
      <c r="G375" s="100">
        <f t="shared" si="93"/>
        <v>2224.9119669789316</v>
      </c>
      <c r="H375" s="100">
        <f t="shared" si="94"/>
        <v>3.7055555555552124</v>
      </c>
      <c r="I375" s="100">
        <f t="shared" si="95"/>
        <v>20</v>
      </c>
      <c r="J375" s="100">
        <f t="shared" si="96"/>
        <v>2248.6175225344869</v>
      </c>
      <c r="K375" s="101">
        <f t="shared" si="97"/>
        <v>15555.555555554063</v>
      </c>
      <c r="O375" s="118">
        <f t="shared" si="98"/>
        <v>16.666666666666664</v>
      </c>
      <c r="P375" s="119">
        <f t="shared" ca="1" si="99"/>
        <v>30</v>
      </c>
      <c r="Q375" s="120">
        <v>365</v>
      </c>
      <c r="AN375" s="132"/>
      <c r="AO375" s="132"/>
    </row>
    <row r="376" spans="1:41" ht="15.5" x14ac:dyDescent="0.35">
      <c r="A376" s="98">
        <f t="shared" si="88"/>
        <v>333</v>
      </c>
      <c r="B376" s="99">
        <f t="shared" ca="1" si="89"/>
        <v>56193</v>
      </c>
      <c r="C376" s="100">
        <f t="shared" si="90"/>
        <v>15555.555555554063</v>
      </c>
      <c r="D376" s="100">
        <f t="shared" si="91"/>
        <v>169.55555555553929</v>
      </c>
      <c r="E376" s="100">
        <f t="shared" si="92"/>
        <v>15725.111111109603</v>
      </c>
      <c r="F376" s="100">
        <f t="shared" si="67"/>
        <v>555.55555555555554</v>
      </c>
      <c r="G376" s="100">
        <f t="shared" si="93"/>
        <v>2224.9119669789316</v>
      </c>
      <c r="H376" s="100">
        <f t="shared" si="94"/>
        <v>3.5777777777774347</v>
      </c>
      <c r="I376" s="100">
        <f t="shared" si="95"/>
        <v>20</v>
      </c>
      <c r="J376" s="100">
        <f t="shared" si="96"/>
        <v>2248.4897447567091</v>
      </c>
      <c r="K376" s="101">
        <f t="shared" si="97"/>
        <v>14999.999999998508</v>
      </c>
      <c r="O376" s="118">
        <f t="shared" si="98"/>
        <v>16.666666666666664</v>
      </c>
      <c r="P376" s="119">
        <f t="shared" ca="1" si="99"/>
        <v>31</v>
      </c>
      <c r="Q376" s="120">
        <v>365</v>
      </c>
      <c r="AN376" s="132"/>
      <c r="AO376" s="132"/>
    </row>
    <row r="377" spans="1:41" ht="15.5" x14ac:dyDescent="0.35">
      <c r="A377" s="98">
        <f t="shared" si="88"/>
        <v>334</v>
      </c>
      <c r="B377" s="99">
        <f t="shared" ca="1" si="89"/>
        <v>56223</v>
      </c>
      <c r="C377" s="100">
        <f t="shared" si="90"/>
        <v>14999.999999998508</v>
      </c>
      <c r="D377" s="100">
        <f t="shared" si="91"/>
        <v>163.49999999998374</v>
      </c>
      <c r="E377" s="100">
        <f t="shared" si="92"/>
        <v>15163.499999998492</v>
      </c>
      <c r="F377" s="100">
        <f t="shared" si="67"/>
        <v>555.55555555555554</v>
      </c>
      <c r="G377" s="100">
        <f t="shared" si="93"/>
        <v>2224.9119669789316</v>
      </c>
      <c r="H377" s="100">
        <f t="shared" si="94"/>
        <v>3.4499999999996569</v>
      </c>
      <c r="I377" s="100">
        <f t="shared" si="95"/>
        <v>20</v>
      </c>
      <c r="J377" s="100">
        <f t="shared" si="96"/>
        <v>2248.3619669789314</v>
      </c>
      <c r="K377" s="101">
        <f t="shared" si="97"/>
        <v>14444.444444442954</v>
      </c>
      <c r="O377" s="118">
        <f t="shared" si="98"/>
        <v>16.666666666666664</v>
      </c>
      <c r="P377" s="119">
        <f t="shared" ca="1" si="99"/>
        <v>30</v>
      </c>
      <c r="Q377" s="120">
        <v>365</v>
      </c>
      <c r="AN377" s="132"/>
      <c r="AO377" s="132"/>
    </row>
    <row r="378" spans="1:41" ht="15.5" x14ac:dyDescent="0.35">
      <c r="A378" s="98">
        <f t="shared" si="88"/>
        <v>335</v>
      </c>
      <c r="B378" s="99">
        <f t="shared" ca="1" si="89"/>
        <v>56254</v>
      </c>
      <c r="C378" s="100">
        <f t="shared" si="90"/>
        <v>14444.444444442954</v>
      </c>
      <c r="D378" s="100">
        <f t="shared" si="91"/>
        <v>157.4444444444282</v>
      </c>
      <c r="E378" s="100">
        <f t="shared" si="92"/>
        <v>14601.888888887383</v>
      </c>
      <c r="F378" s="100">
        <f t="shared" si="67"/>
        <v>555.55555555555554</v>
      </c>
      <c r="G378" s="100">
        <f t="shared" si="93"/>
        <v>2224.9119669789316</v>
      </c>
      <c r="H378" s="100">
        <f t="shared" si="94"/>
        <v>3.3222222222218796</v>
      </c>
      <c r="I378" s="100">
        <f t="shared" si="95"/>
        <v>20</v>
      </c>
      <c r="J378" s="100">
        <f t="shared" si="96"/>
        <v>2248.2341892011536</v>
      </c>
      <c r="K378" s="101">
        <f t="shared" si="97"/>
        <v>13888.888888887399</v>
      </c>
      <c r="O378" s="118">
        <f t="shared" si="98"/>
        <v>16.666666666666664</v>
      </c>
      <c r="P378" s="119">
        <f t="shared" ca="1" si="99"/>
        <v>31</v>
      </c>
      <c r="Q378" s="120">
        <v>365</v>
      </c>
      <c r="AN378" s="132"/>
      <c r="AO378" s="132"/>
    </row>
    <row r="379" spans="1:41" ht="15.5" x14ac:dyDescent="0.35">
      <c r="A379" s="98">
        <f t="shared" si="88"/>
        <v>336</v>
      </c>
      <c r="B379" s="99">
        <f t="shared" ca="1" si="89"/>
        <v>56285</v>
      </c>
      <c r="C379" s="100">
        <f t="shared" si="90"/>
        <v>13888.888888887399</v>
      </c>
      <c r="D379" s="100">
        <f t="shared" si="91"/>
        <v>151.38888888887266</v>
      </c>
      <c r="E379" s="100">
        <f t="shared" si="92"/>
        <v>14040.277777776271</v>
      </c>
      <c r="F379" s="100">
        <f t="shared" si="67"/>
        <v>555.55555555555554</v>
      </c>
      <c r="G379" s="100">
        <f t="shared" si="93"/>
        <v>2224.9119669789316</v>
      </c>
      <c r="H379" s="100">
        <f t="shared" si="94"/>
        <v>3.1944444444441018</v>
      </c>
      <c r="I379" s="100">
        <f t="shared" si="95"/>
        <v>20</v>
      </c>
      <c r="J379" s="100">
        <f t="shared" si="96"/>
        <v>2248.1064114233754</v>
      </c>
      <c r="K379" s="101">
        <f t="shared" si="97"/>
        <v>13333.333333331844</v>
      </c>
      <c r="O379" s="118">
        <f t="shared" si="98"/>
        <v>16.666666666666664</v>
      </c>
      <c r="P379" s="119">
        <f t="shared" ca="1" si="99"/>
        <v>31</v>
      </c>
      <c r="Q379" s="120">
        <v>365</v>
      </c>
      <c r="AN379" s="132"/>
      <c r="AO379" s="132"/>
    </row>
    <row r="380" spans="1:41" ht="15.5" x14ac:dyDescent="0.35">
      <c r="A380" s="98">
        <f t="shared" si="88"/>
        <v>337</v>
      </c>
      <c r="B380" s="99">
        <f t="shared" ca="1" si="89"/>
        <v>56313</v>
      </c>
      <c r="C380" s="100">
        <f t="shared" si="90"/>
        <v>13333.333333331844</v>
      </c>
      <c r="D380" s="100">
        <f t="shared" si="91"/>
        <v>145.33333333331711</v>
      </c>
      <c r="E380" s="100">
        <f t="shared" si="92"/>
        <v>13478.666666665162</v>
      </c>
      <c r="F380" s="100">
        <f t="shared" si="67"/>
        <v>555.55555555555554</v>
      </c>
      <c r="G380" s="100">
        <f t="shared" si="93"/>
        <v>2224.9119669789316</v>
      </c>
      <c r="H380" s="100">
        <f t="shared" si="94"/>
        <v>3.066666666666324</v>
      </c>
      <c r="I380" s="100">
        <f t="shared" si="95"/>
        <v>20</v>
      </c>
      <c r="J380" s="100">
        <f t="shared" si="96"/>
        <v>2247.9786336455977</v>
      </c>
      <c r="K380" s="101">
        <f t="shared" si="97"/>
        <v>12777.777777776289</v>
      </c>
      <c r="O380" s="118">
        <f t="shared" si="98"/>
        <v>16.666666666666664</v>
      </c>
      <c r="P380" s="119">
        <f t="shared" ca="1" si="99"/>
        <v>28</v>
      </c>
      <c r="Q380" s="120">
        <v>365</v>
      </c>
      <c r="AN380" s="132"/>
      <c r="AO380" s="132"/>
    </row>
    <row r="381" spans="1:41" ht="15.5" x14ac:dyDescent="0.35">
      <c r="A381" s="98">
        <f t="shared" si="88"/>
        <v>338</v>
      </c>
      <c r="B381" s="99">
        <f t="shared" ca="1" si="89"/>
        <v>56344</v>
      </c>
      <c r="C381" s="100">
        <f t="shared" si="90"/>
        <v>12777.777777776289</v>
      </c>
      <c r="D381" s="100">
        <f t="shared" si="91"/>
        <v>139.27777777776154</v>
      </c>
      <c r="E381" s="100">
        <f t="shared" si="92"/>
        <v>12917.05555555405</v>
      </c>
      <c r="F381" s="100">
        <f t="shared" si="67"/>
        <v>555.55555555555554</v>
      </c>
      <c r="G381" s="100">
        <f t="shared" si="93"/>
        <v>2224.9119669789316</v>
      </c>
      <c r="H381" s="100">
        <f t="shared" si="94"/>
        <v>2.9388888888885467</v>
      </c>
      <c r="I381" s="100">
        <f t="shared" si="95"/>
        <v>20</v>
      </c>
      <c r="J381" s="100">
        <f t="shared" si="96"/>
        <v>2247.85085586782</v>
      </c>
      <c r="K381" s="101">
        <f t="shared" si="97"/>
        <v>12222.222222220735</v>
      </c>
      <c r="O381" s="118">
        <f t="shared" si="98"/>
        <v>16.666666666666664</v>
      </c>
      <c r="P381" s="119">
        <f t="shared" ca="1" si="99"/>
        <v>31</v>
      </c>
      <c r="Q381" s="120">
        <v>365</v>
      </c>
      <c r="AN381" s="132"/>
      <c r="AO381" s="132"/>
    </row>
    <row r="382" spans="1:41" ht="15.5" x14ac:dyDescent="0.35">
      <c r="A382" s="98">
        <f t="shared" si="88"/>
        <v>339</v>
      </c>
      <c r="B382" s="99">
        <f t="shared" ca="1" si="89"/>
        <v>56374</v>
      </c>
      <c r="C382" s="100">
        <f t="shared" si="90"/>
        <v>12222.222222220735</v>
      </c>
      <c r="D382" s="100">
        <f t="shared" si="91"/>
        <v>133.222222222206</v>
      </c>
      <c r="E382" s="100">
        <f t="shared" si="92"/>
        <v>12355.444444442941</v>
      </c>
      <c r="F382" s="100">
        <f t="shared" si="67"/>
        <v>555.55555555555554</v>
      </c>
      <c r="G382" s="100">
        <f t="shared" si="93"/>
        <v>2224.9119669789316</v>
      </c>
      <c r="H382" s="100">
        <f t="shared" si="94"/>
        <v>2.8111111111107689</v>
      </c>
      <c r="I382" s="100">
        <f t="shared" si="95"/>
        <v>20</v>
      </c>
      <c r="J382" s="100">
        <f t="shared" si="96"/>
        <v>2247.7230780900422</v>
      </c>
      <c r="K382" s="101">
        <f t="shared" si="97"/>
        <v>11666.66666666518</v>
      </c>
      <c r="O382" s="118">
        <f t="shared" si="98"/>
        <v>16.666666666666664</v>
      </c>
      <c r="P382" s="119">
        <f t="shared" ca="1" si="99"/>
        <v>30</v>
      </c>
      <c r="Q382" s="120">
        <v>365</v>
      </c>
      <c r="AN382" s="132"/>
      <c r="AO382" s="132"/>
    </row>
    <row r="383" spans="1:41" ht="15.5" x14ac:dyDescent="0.35">
      <c r="A383" s="98">
        <f t="shared" si="88"/>
        <v>340</v>
      </c>
      <c r="B383" s="99">
        <f t="shared" ca="1" si="89"/>
        <v>56405</v>
      </c>
      <c r="C383" s="100">
        <f t="shared" si="90"/>
        <v>11666.66666666518</v>
      </c>
      <c r="D383" s="100">
        <f t="shared" si="91"/>
        <v>127.16666666665046</v>
      </c>
      <c r="E383" s="100">
        <f t="shared" si="92"/>
        <v>11793.83333333183</v>
      </c>
      <c r="F383" s="100">
        <f t="shared" si="67"/>
        <v>555.55555555555554</v>
      </c>
      <c r="G383" s="100">
        <f t="shared" si="93"/>
        <v>2224.9119669789316</v>
      </c>
      <c r="H383" s="100">
        <f t="shared" si="94"/>
        <v>2.6833333333329916</v>
      </c>
      <c r="I383" s="100">
        <f t="shared" si="95"/>
        <v>20</v>
      </c>
      <c r="J383" s="100">
        <f t="shared" si="96"/>
        <v>2247.5953003122645</v>
      </c>
      <c r="K383" s="101">
        <f t="shared" si="97"/>
        <v>11111.111111109625</v>
      </c>
      <c r="O383" s="118">
        <f t="shared" si="98"/>
        <v>16.666666666666664</v>
      </c>
      <c r="P383" s="119">
        <f t="shared" ca="1" si="99"/>
        <v>31</v>
      </c>
      <c r="Q383" s="120">
        <v>365</v>
      </c>
      <c r="AN383" s="132"/>
      <c r="AO383" s="132"/>
    </row>
    <row r="384" spans="1:41" ht="15.5" x14ac:dyDescent="0.35">
      <c r="A384" s="98">
        <f t="shared" si="88"/>
        <v>341</v>
      </c>
      <c r="B384" s="99">
        <f t="shared" ca="1" si="89"/>
        <v>56435</v>
      </c>
      <c r="C384" s="100">
        <f t="shared" si="90"/>
        <v>11111.111111109625</v>
      </c>
      <c r="D384" s="100">
        <f t="shared" si="91"/>
        <v>121.11111111109491</v>
      </c>
      <c r="E384" s="100">
        <f t="shared" si="92"/>
        <v>11232.22222222072</v>
      </c>
      <c r="F384" s="100">
        <f t="shared" si="67"/>
        <v>555.55555555555554</v>
      </c>
      <c r="G384" s="100">
        <f t="shared" si="93"/>
        <v>2224.9119669789316</v>
      </c>
      <c r="H384" s="100">
        <f t="shared" si="94"/>
        <v>2.5555555555552139</v>
      </c>
      <c r="I384" s="100">
        <f t="shared" si="95"/>
        <v>20</v>
      </c>
      <c r="J384" s="100">
        <f t="shared" si="96"/>
        <v>2247.4675225344868</v>
      </c>
      <c r="K384" s="101">
        <f t="shared" si="97"/>
        <v>10555.55555555407</v>
      </c>
      <c r="O384" s="118">
        <f t="shared" si="98"/>
        <v>16.666666666666664</v>
      </c>
      <c r="P384" s="119">
        <f t="shared" ca="1" si="99"/>
        <v>30</v>
      </c>
      <c r="Q384" s="120">
        <v>365</v>
      </c>
      <c r="AN384" s="132"/>
      <c r="AO384" s="132"/>
    </row>
    <row r="385" spans="1:41" ht="15.5" x14ac:dyDescent="0.35">
      <c r="A385" s="98">
        <f t="shared" si="88"/>
        <v>342</v>
      </c>
      <c r="B385" s="99">
        <f t="shared" ca="1" si="89"/>
        <v>56466</v>
      </c>
      <c r="C385" s="100">
        <f t="shared" si="90"/>
        <v>10555.55555555407</v>
      </c>
      <c r="D385" s="100">
        <f t="shared" si="91"/>
        <v>115.05555555553937</v>
      </c>
      <c r="E385" s="100">
        <f t="shared" si="92"/>
        <v>10670.611111109611</v>
      </c>
      <c r="F385" s="100">
        <f t="shared" si="67"/>
        <v>555.55555555555554</v>
      </c>
      <c r="G385" s="100">
        <f t="shared" si="93"/>
        <v>2224.9119669789316</v>
      </c>
      <c r="H385" s="100">
        <f t="shared" si="94"/>
        <v>2.4277777777774361</v>
      </c>
      <c r="I385" s="100">
        <f t="shared" si="95"/>
        <v>20</v>
      </c>
      <c r="J385" s="100">
        <f t="shared" si="96"/>
        <v>2247.339744756709</v>
      </c>
      <c r="K385" s="101">
        <f t="shared" si="97"/>
        <v>9999.9999999985157</v>
      </c>
      <c r="O385" s="118">
        <f t="shared" si="98"/>
        <v>16.666666666666664</v>
      </c>
      <c r="P385" s="119">
        <f t="shared" ca="1" si="99"/>
        <v>31</v>
      </c>
      <c r="Q385" s="120">
        <v>365</v>
      </c>
      <c r="AN385" s="132"/>
      <c r="AO385" s="132"/>
    </row>
    <row r="386" spans="1:41" ht="15.5" x14ac:dyDescent="0.35">
      <c r="A386" s="98">
        <f t="shared" si="88"/>
        <v>343</v>
      </c>
      <c r="B386" s="99">
        <f t="shared" ca="1" si="89"/>
        <v>56497</v>
      </c>
      <c r="C386" s="100">
        <f t="shared" si="90"/>
        <v>9999.9999999985157</v>
      </c>
      <c r="D386" s="100">
        <f t="shared" si="91"/>
        <v>108.99999999998381</v>
      </c>
      <c r="E386" s="100">
        <f t="shared" si="92"/>
        <v>10108.999999998499</v>
      </c>
      <c r="F386" s="100">
        <f t="shared" si="67"/>
        <v>555.55555555555554</v>
      </c>
      <c r="G386" s="100">
        <f t="shared" si="93"/>
        <v>2224.9119669789316</v>
      </c>
      <c r="H386" s="100">
        <f t="shared" si="94"/>
        <v>2.2999999999996588</v>
      </c>
      <c r="I386" s="100">
        <f t="shared" si="95"/>
        <v>20</v>
      </c>
      <c r="J386" s="100">
        <f t="shared" si="96"/>
        <v>2247.2119669789313</v>
      </c>
      <c r="K386" s="101">
        <f t="shared" si="97"/>
        <v>9444.444444442961</v>
      </c>
      <c r="O386" s="118">
        <f t="shared" si="98"/>
        <v>16.666666666666664</v>
      </c>
      <c r="P386" s="119">
        <f t="shared" ca="1" si="99"/>
        <v>31</v>
      </c>
      <c r="Q386" s="120">
        <v>365</v>
      </c>
      <c r="AN386" s="132"/>
      <c r="AO386" s="132"/>
    </row>
    <row r="387" spans="1:41" ht="15.5" x14ac:dyDescent="0.35">
      <c r="A387" s="98">
        <f t="shared" si="88"/>
        <v>344</v>
      </c>
      <c r="B387" s="99">
        <f t="shared" ca="1" si="89"/>
        <v>56527</v>
      </c>
      <c r="C387" s="100">
        <f t="shared" si="90"/>
        <v>9444.444444442961</v>
      </c>
      <c r="D387" s="100">
        <f t="shared" si="91"/>
        <v>102.94444444442827</v>
      </c>
      <c r="E387" s="100">
        <f t="shared" si="92"/>
        <v>9547.3888888873898</v>
      </c>
      <c r="F387" s="100">
        <f t="shared" si="67"/>
        <v>555.55555555555554</v>
      </c>
      <c r="G387" s="100">
        <f t="shared" si="93"/>
        <v>2224.9119669789316</v>
      </c>
      <c r="H387" s="100">
        <f t="shared" si="94"/>
        <v>2.172222222221881</v>
      </c>
      <c r="I387" s="100">
        <f t="shared" si="95"/>
        <v>20</v>
      </c>
      <c r="J387" s="100">
        <f t="shared" si="96"/>
        <v>2247.0841892011535</v>
      </c>
      <c r="K387" s="101">
        <f t="shared" si="97"/>
        <v>8888.8888888874062</v>
      </c>
      <c r="O387" s="118">
        <f t="shared" si="98"/>
        <v>16.666666666666664</v>
      </c>
      <c r="P387" s="119">
        <f t="shared" ca="1" si="99"/>
        <v>30</v>
      </c>
      <c r="Q387" s="120">
        <v>365</v>
      </c>
      <c r="AN387" s="132"/>
      <c r="AO387" s="132"/>
    </row>
    <row r="388" spans="1:41" ht="15.5" x14ac:dyDescent="0.35">
      <c r="A388" s="98">
        <f t="shared" si="88"/>
        <v>345</v>
      </c>
      <c r="B388" s="99">
        <f t="shared" ca="1" si="89"/>
        <v>56558</v>
      </c>
      <c r="C388" s="100">
        <f t="shared" si="90"/>
        <v>8888.8888888874062</v>
      </c>
      <c r="D388" s="100">
        <f t="shared" si="91"/>
        <v>96.888888888872728</v>
      </c>
      <c r="E388" s="100">
        <f t="shared" si="92"/>
        <v>8985.7777777762785</v>
      </c>
      <c r="F388" s="100">
        <f t="shared" si="67"/>
        <v>555.55555555555554</v>
      </c>
      <c r="G388" s="100">
        <f t="shared" si="93"/>
        <v>2224.9119669789316</v>
      </c>
      <c r="H388" s="100">
        <f t="shared" si="94"/>
        <v>2.0444444444441037</v>
      </c>
      <c r="I388" s="100">
        <f t="shared" si="95"/>
        <v>20</v>
      </c>
      <c r="J388" s="100">
        <f t="shared" si="96"/>
        <v>2246.9564114233758</v>
      </c>
      <c r="K388" s="101">
        <f t="shared" si="97"/>
        <v>8333.3333333318515</v>
      </c>
      <c r="O388" s="118">
        <f t="shared" si="98"/>
        <v>16.666666666666664</v>
      </c>
      <c r="P388" s="119">
        <f t="shared" ca="1" si="99"/>
        <v>31</v>
      </c>
      <c r="Q388" s="120">
        <v>365</v>
      </c>
      <c r="AN388" s="132"/>
      <c r="AO388" s="132"/>
    </row>
    <row r="389" spans="1:41" ht="15.5" x14ac:dyDescent="0.35">
      <c r="A389" s="98">
        <f t="shared" si="88"/>
        <v>346</v>
      </c>
      <c r="B389" s="99">
        <f t="shared" ca="1" si="89"/>
        <v>56588</v>
      </c>
      <c r="C389" s="100">
        <f t="shared" si="90"/>
        <v>8333.3333333318515</v>
      </c>
      <c r="D389" s="100">
        <f t="shared" si="91"/>
        <v>90.833333333317185</v>
      </c>
      <c r="E389" s="100">
        <f t="shared" si="92"/>
        <v>8424.166666665169</v>
      </c>
      <c r="F389" s="100">
        <f t="shared" si="67"/>
        <v>555.55555555555554</v>
      </c>
      <c r="G389" s="100">
        <f t="shared" si="93"/>
        <v>2224.9119669789316</v>
      </c>
      <c r="H389" s="100">
        <f t="shared" si="94"/>
        <v>1.9166666666663259</v>
      </c>
      <c r="I389" s="100">
        <f t="shared" si="95"/>
        <v>20</v>
      </c>
      <c r="J389" s="100">
        <f t="shared" si="96"/>
        <v>2246.8286336455981</v>
      </c>
      <c r="K389" s="101">
        <f t="shared" si="97"/>
        <v>7777.7777777762958</v>
      </c>
      <c r="O389" s="118">
        <f t="shared" si="98"/>
        <v>16.666666666666664</v>
      </c>
      <c r="P389" s="119">
        <f t="shared" ca="1" si="99"/>
        <v>30</v>
      </c>
      <c r="Q389" s="120">
        <v>365</v>
      </c>
      <c r="AN389" s="132"/>
      <c r="AO389" s="132"/>
    </row>
    <row r="390" spans="1:41" ht="15.5" x14ac:dyDescent="0.35">
      <c r="A390" s="98">
        <f t="shared" si="88"/>
        <v>347</v>
      </c>
      <c r="B390" s="99">
        <f t="shared" ca="1" si="89"/>
        <v>56619</v>
      </c>
      <c r="C390" s="100">
        <f t="shared" si="90"/>
        <v>7777.7777777762958</v>
      </c>
      <c r="D390" s="100">
        <f t="shared" si="91"/>
        <v>84.777777777761628</v>
      </c>
      <c r="E390" s="100">
        <f t="shared" si="92"/>
        <v>7862.5555555540577</v>
      </c>
      <c r="F390" s="100">
        <f t="shared" si="67"/>
        <v>555.55555555555554</v>
      </c>
      <c r="G390" s="100">
        <f t="shared" si="93"/>
        <v>2224.9119669789316</v>
      </c>
      <c r="H390" s="100">
        <f t="shared" si="94"/>
        <v>1.7888888888885481</v>
      </c>
      <c r="I390" s="100">
        <f t="shared" si="95"/>
        <v>20</v>
      </c>
      <c r="J390" s="100">
        <f t="shared" si="96"/>
        <v>2246.7008558678199</v>
      </c>
      <c r="K390" s="101">
        <f t="shared" si="97"/>
        <v>7222.2222222207402</v>
      </c>
      <c r="O390" s="118">
        <f t="shared" si="98"/>
        <v>16.666666666666664</v>
      </c>
      <c r="P390" s="119">
        <f t="shared" ca="1" si="99"/>
        <v>31</v>
      </c>
      <c r="Q390" s="120">
        <v>365</v>
      </c>
      <c r="AN390" s="132"/>
      <c r="AO390" s="132"/>
    </row>
    <row r="391" spans="1:41" ht="15.5" x14ac:dyDescent="0.35">
      <c r="A391" s="98">
        <f t="shared" si="88"/>
        <v>348</v>
      </c>
      <c r="B391" s="99">
        <f t="shared" ca="1" si="89"/>
        <v>56650</v>
      </c>
      <c r="C391" s="100">
        <f t="shared" si="90"/>
        <v>7222.2222222207402</v>
      </c>
      <c r="D391" s="100">
        <f t="shared" si="91"/>
        <v>78.722222222206071</v>
      </c>
      <c r="E391" s="100">
        <f t="shared" si="92"/>
        <v>7300.9444444429464</v>
      </c>
      <c r="F391" s="100">
        <f t="shared" si="67"/>
        <v>555.55555555555554</v>
      </c>
      <c r="G391" s="100">
        <f t="shared" si="93"/>
        <v>2224.9119669789316</v>
      </c>
      <c r="H391" s="100">
        <f t="shared" si="94"/>
        <v>1.6611111111107704</v>
      </c>
      <c r="I391" s="100">
        <f t="shared" si="95"/>
        <v>20</v>
      </c>
      <c r="J391" s="100">
        <f t="shared" si="96"/>
        <v>2246.5730780900421</v>
      </c>
      <c r="K391" s="101">
        <f t="shared" si="97"/>
        <v>6666.6666666651845</v>
      </c>
      <c r="O391" s="118">
        <f t="shared" si="98"/>
        <v>16.666666666666664</v>
      </c>
      <c r="P391" s="119">
        <f t="shared" ca="1" si="99"/>
        <v>31</v>
      </c>
      <c r="Q391" s="120">
        <v>365</v>
      </c>
      <c r="AN391" s="132"/>
      <c r="AO391" s="132"/>
    </row>
    <row r="392" spans="1:41" ht="15.5" x14ac:dyDescent="0.35">
      <c r="A392" s="98">
        <f t="shared" si="88"/>
        <v>349</v>
      </c>
      <c r="B392" s="99">
        <f t="shared" ca="1" si="89"/>
        <v>56678</v>
      </c>
      <c r="C392" s="100">
        <f t="shared" si="90"/>
        <v>6666.6666666651845</v>
      </c>
      <c r="D392" s="100">
        <f t="shared" si="91"/>
        <v>72.666666666650514</v>
      </c>
      <c r="E392" s="100">
        <f t="shared" si="92"/>
        <v>6739.3333333318351</v>
      </c>
      <c r="F392" s="100">
        <f t="shared" si="67"/>
        <v>555.55555555555554</v>
      </c>
      <c r="G392" s="100">
        <f t="shared" si="93"/>
        <v>2224.9119669789316</v>
      </c>
      <c r="H392" s="100">
        <f t="shared" si="94"/>
        <v>1.5333333333329924</v>
      </c>
      <c r="I392" s="100">
        <f t="shared" si="95"/>
        <v>20</v>
      </c>
      <c r="J392" s="100">
        <f t="shared" si="96"/>
        <v>2246.4453003122644</v>
      </c>
      <c r="K392" s="101">
        <f t="shared" si="97"/>
        <v>6111.1111111096288</v>
      </c>
      <c r="O392" s="118">
        <f t="shared" si="98"/>
        <v>16.666666666666664</v>
      </c>
      <c r="P392" s="119">
        <f t="shared" ca="1" si="99"/>
        <v>28</v>
      </c>
      <c r="Q392" s="120">
        <v>365</v>
      </c>
      <c r="AN392" s="132"/>
      <c r="AO392" s="132"/>
    </row>
    <row r="393" spans="1:41" ht="15.5" x14ac:dyDescent="0.35">
      <c r="A393" s="98">
        <f t="shared" si="88"/>
        <v>350</v>
      </c>
      <c r="B393" s="99">
        <f t="shared" ca="1" si="89"/>
        <v>56709</v>
      </c>
      <c r="C393" s="100">
        <f t="shared" si="90"/>
        <v>6111.1111111096288</v>
      </c>
      <c r="D393" s="100">
        <f t="shared" si="91"/>
        <v>66.611111111094957</v>
      </c>
      <c r="E393" s="100">
        <f t="shared" si="92"/>
        <v>6177.7222222207238</v>
      </c>
      <c r="F393" s="100">
        <f t="shared" si="67"/>
        <v>555.55555555555554</v>
      </c>
      <c r="G393" s="100">
        <f t="shared" si="93"/>
        <v>2224.9119669789316</v>
      </c>
      <c r="H393" s="100">
        <f t="shared" si="94"/>
        <v>1.4055555555552146</v>
      </c>
      <c r="I393" s="100">
        <f t="shared" si="95"/>
        <v>20</v>
      </c>
      <c r="J393" s="100">
        <f t="shared" si="96"/>
        <v>2246.3175225344867</v>
      </c>
      <c r="K393" s="101">
        <f t="shared" si="97"/>
        <v>5555.5555555540732</v>
      </c>
      <c r="O393" s="118">
        <f t="shared" si="98"/>
        <v>16.666666666666664</v>
      </c>
      <c r="P393" s="119">
        <f t="shared" ca="1" si="99"/>
        <v>31</v>
      </c>
      <c r="Q393" s="120">
        <v>365</v>
      </c>
      <c r="AN393" s="132"/>
      <c r="AO393" s="132"/>
    </row>
    <row r="394" spans="1:41" ht="15.5" x14ac:dyDescent="0.35">
      <c r="A394" s="98">
        <f t="shared" si="88"/>
        <v>351</v>
      </c>
      <c r="B394" s="99">
        <f t="shared" ca="1" si="89"/>
        <v>56739</v>
      </c>
      <c r="C394" s="100">
        <f t="shared" si="90"/>
        <v>5555.5555555540732</v>
      </c>
      <c r="D394" s="100">
        <f t="shared" si="91"/>
        <v>60.555555555539399</v>
      </c>
      <c r="E394" s="100">
        <f t="shared" si="92"/>
        <v>5616.1111111096125</v>
      </c>
      <c r="F394" s="100">
        <f t="shared" si="67"/>
        <v>555.55555555555554</v>
      </c>
      <c r="G394" s="100">
        <f t="shared" si="93"/>
        <v>2224.9119669789316</v>
      </c>
      <c r="H394" s="100">
        <f t="shared" si="94"/>
        <v>1.2777777777774368</v>
      </c>
      <c r="I394" s="100">
        <f t="shared" si="95"/>
        <v>20</v>
      </c>
      <c r="J394" s="100">
        <f t="shared" si="96"/>
        <v>2246.1897447567089</v>
      </c>
      <c r="K394" s="101">
        <f t="shared" si="97"/>
        <v>4999.9999999985175</v>
      </c>
      <c r="O394" s="118">
        <f t="shared" si="98"/>
        <v>16.666666666666664</v>
      </c>
      <c r="P394" s="119">
        <f t="shared" ca="1" si="99"/>
        <v>30</v>
      </c>
      <c r="Q394" s="120">
        <v>365</v>
      </c>
      <c r="AN394" s="132"/>
      <c r="AO394" s="132"/>
    </row>
    <row r="395" spans="1:41" ht="15.5" x14ac:dyDescent="0.35">
      <c r="A395" s="98">
        <f>IF(IF(AND(A394&gt;0,A394&lt;$I$18),A394+1,0)=0,"",IF(AND(A394&gt;0,A394&lt;$I$18),A394+1,0))</f>
        <v>352</v>
      </c>
      <c r="B395" s="99">
        <f ca="1">IFERROR(IF(A395&lt;=$I$18,DATE(YEAR($B$44),MONTH($B$44)+A394,DAY($B$44)),"-"),"")</f>
        <v>56770</v>
      </c>
      <c r="C395" s="100">
        <f>IF(A395="","",K394)</f>
        <v>4999.9999999985175</v>
      </c>
      <c r="D395" s="100">
        <f t="shared" si="91"/>
        <v>54.499999999983842</v>
      </c>
      <c r="E395" s="100">
        <f t="shared" si="92"/>
        <v>5054.4999999985012</v>
      </c>
      <c r="F395" s="100">
        <f t="shared" si="67"/>
        <v>555.55555555555554</v>
      </c>
      <c r="G395" s="100">
        <f t="shared" si="93"/>
        <v>2224.9119669789316</v>
      </c>
      <c r="H395" s="100">
        <f t="shared" si="94"/>
        <v>1.1499999999996591</v>
      </c>
      <c r="I395" s="100">
        <f>IF(A395="","",IF(K394="","",IF(K394=0,"",$J$28*$I$14)))</f>
        <v>20</v>
      </c>
      <c r="J395" s="100">
        <f t="shared" si="96"/>
        <v>2246.0619669789312</v>
      </c>
      <c r="K395" s="101">
        <f t="shared" si="97"/>
        <v>4444.4444444429619</v>
      </c>
      <c r="O395" s="118">
        <f t="shared" si="98"/>
        <v>16.666666666666664</v>
      </c>
      <c r="P395" s="119">
        <f t="shared" ca="1" si="99"/>
        <v>31</v>
      </c>
      <c r="Q395" s="120">
        <v>365</v>
      </c>
      <c r="AN395" s="132"/>
      <c r="AO395" s="132"/>
    </row>
    <row r="396" spans="1:41" ht="15.5" x14ac:dyDescent="0.35">
      <c r="A396" s="98">
        <f t="shared" ref="A396" si="100">IF(IF(AND(A395&gt;0,A395&lt;$I$18),A395+1,0)=0,"",IF(AND(A395&gt;0,A395&lt;$I$18),A395+1,0))</f>
        <v>353</v>
      </c>
      <c r="B396" s="99">
        <f t="shared" ref="B396" ca="1" si="101">IFERROR(IF(A396&lt;=$I$18,DATE(YEAR($B$44),MONTH($B$44)+A395,DAY($B$44)),"-"),"")</f>
        <v>56800</v>
      </c>
      <c r="C396" s="100">
        <f t="shared" ref="C396" si="102">IF(A396="","",K395)</f>
        <v>4444.4444444429619</v>
      </c>
      <c r="D396" s="100">
        <f t="shared" si="91"/>
        <v>48.444444444428285</v>
      </c>
      <c r="E396" s="100">
        <f t="shared" si="92"/>
        <v>4492.8888888873898</v>
      </c>
      <c r="F396" s="100">
        <f t="shared" si="67"/>
        <v>555.55555555555554</v>
      </c>
      <c r="G396" s="100">
        <f t="shared" si="93"/>
        <v>2224.9119669789316</v>
      </c>
      <c r="H396" s="100">
        <f t="shared" si="94"/>
        <v>1.0222222222218813</v>
      </c>
      <c r="I396" s="100">
        <f t="shared" ref="I396" si="103">IF(A396="","",IF(K395="","",IF(K395=0,"",$J$28*$I$14)))</f>
        <v>20</v>
      </c>
      <c r="J396" s="100">
        <f t="shared" si="96"/>
        <v>2245.9341892011535</v>
      </c>
      <c r="K396" s="101">
        <f t="shared" si="97"/>
        <v>3888.8888888874062</v>
      </c>
      <c r="O396" s="118">
        <f t="shared" si="98"/>
        <v>16.666666666666664</v>
      </c>
      <c r="P396" s="119">
        <f t="shared" ca="1" si="99"/>
        <v>30</v>
      </c>
      <c r="Q396" s="120">
        <v>365</v>
      </c>
      <c r="AN396" s="132"/>
      <c r="AO396" s="132"/>
    </row>
    <row r="397" spans="1:41" ht="15.5" x14ac:dyDescent="0.35">
      <c r="A397" s="98">
        <f>IF(IF(AND(A396&gt;0,A396&lt;$I$18),A396+1,0)=0,"",IF(AND(A396&gt;0,A396&lt;$I$18),A396+1,0))</f>
        <v>354</v>
      </c>
      <c r="B397" s="99">
        <f ca="1">IFERROR(IF(A397&lt;=$I$18,DATE(YEAR($B$44),MONTH($B$44)+A396,DAY($B$44)),"-"),"")</f>
        <v>56831</v>
      </c>
      <c r="C397" s="100">
        <f>IF(A397="","",K396)</f>
        <v>3888.8888888874062</v>
      </c>
      <c r="D397" s="100">
        <f t="shared" si="91"/>
        <v>42.388888888872728</v>
      </c>
      <c r="E397" s="100">
        <f t="shared" si="92"/>
        <v>3931.277777776279</v>
      </c>
      <c r="F397" s="100">
        <f t="shared" si="67"/>
        <v>555.55555555555554</v>
      </c>
      <c r="G397" s="100">
        <f t="shared" si="93"/>
        <v>2224.9119669789316</v>
      </c>
      <c r="H397" s="100">
        <f t="shared" si="94"/>
        <v>0.89444444444410343</v>
      </c>
      <c r="I397" s="100">
        <f>IF(A397="","",IF(K396="","",IF(K396=0,"",$J$28*$I$14)))</f>
        <v>20</v>
      </c>
      <c r="J397" s="100">
        <f t="shared" si="96"/>
        <v>2245.8064114233757</v>
      </c>
      <c r="K397" s="101">
        <f t="shared" si="97"/>
        <v>3333.3333333318506</v>
      </c>
      <c r="O397" s="118">
        <f t="shared" si="98"/>
        <v>16.666666666666664</v>
      </c>
      <c r="P397" s="119">
        <f t="shared" ca="1" si="99"/>
        <v>31</v>
      </c>
      <c r="Q397" s="120">
        <v>365</v>
      </c>
      <c r="AN397" s="132"/>
      <c r="AO397" s="132"/>
    </row>
    <row r="398" spans="1:41" ht="15.5" x14ac:dyDescent="0.35">
      <c r="A398" s="98">
        <f t="shared" ref="A398:A400" si="104">IF(IF(AND(A397&gt;0,A397&lt;$I$18),A397+1,0)=0,"",IF(AND(A397&gt;0,A397&lt;$I$18),A397+1,0))</f>
        <v>355</v>
      </c>
      <c r="B398" s="99">
        <f t="shared" ref="B398:B400" ca="1" si="105">IFERROR(IF(A398&lt;=$I$18,DATE(YEAR($B$44),MONTH($B$44)+A397,DAY($B$44)),"-"),"")</f>
        <v>56862</v>
      </c>
      <c r="C398" s="100">
        <f t="shared" ref="C398:C400" si="106">IF(A398="","",K397)</f>
        <v>3333.3333333318506</v>
      </c>
      <c r="D398" s="100">
        <f t="shared" si="91"/>
        <v>36.333333333317171</v>
      </c>
      <c r="E398" s="100">
        <f t="shared" si="92"/>
        <v>3369.6666666651677</v>
      </c>
      <c r="F398" s="100">
        <f t="shared" si="67"/>
        <v>555.55555555555554</v>
      </c>
      <c r="G398" s="100">
        <f t="shared" si="93"/>
        <v>2224.9119669789316</v>
      </c>
      <c r="H398" s="100">
        <f t="shared" si="94"/>
        <v>0.76666666666632566</v>
      </c>
      <c r="I398" s="100">
        <f t="shared" ref="I398:I400" si="107">IF(A398="","",IF(K397="","",IF(K397=0,"",$J$28*$I$14)))</f>
        <v>20</v>
      </c>
      <c r="J398" s="100">
        <f t="shared" si="96"/>
        <v>2245.678633645598</v>
      </c>
      <c r="K398" s="101">
        <f t="shared" si="97"/>
        <v>2777.7777777762949</v>
      </c>
      <c r="O398" s="118">
        <f t="shared" si="98"/>
        <v>16.666666666666664</v>
      </c>
      <c r="P398" s="119">
        <f t="shared" ca="1" si="99"/>
        <v>31</v>
      </c>
      <c r="Q398" s="120">
        <v>365</v>
      </c>
      <c r="AN398" s="132"/>
      <c r="AO398" s="132"/>
    </row>
    <row r="399" spans="1:41" ht="15.5" x14ac:dyDescent="0.35">
      <c r="A399" s="98">
        <f t="shared" si="104"/>
        <v>356</v>
      </c>
      <c r="B399" s="99">
        <f t="shared" ca="1" si="105"/>
        <v>56892</v>
      </c>
      <c r="C399" s="100">
        <f t="shared" si="106"/>
        <v>2777.7777777762949</v>
      </c>
      <c r="D399" s="100">
        <f t="shared" si="91"/>
        <v>30.277777777761614</v>
      </c>
      <c r="E399" s="100">
        <f t="shared" si="92"/>
        <v>2808.0555555540564</v>
      </c>
      <c r="F399" s="100">
        <f t="shared" si="67"/>
        <v>555.55555555555554</v>
      </c>
      <c r="G399" s="100">
        <f t="shared" si="93"/>
        <v>2224.9119669789316</v>
      </c>
      <c r="H399" s="100">
        <f t="shared" si="94"/>
        <v>0.63888888888854789</v>
      </c>
      <c r="I399" s="100">
        <f t="shared" si="107"/>
        <v>20</v>
      </c>
      <c r="J399" s="100">
        <f t="shared" si="96"/>
        <v>2245.5508558678202</v>
      </c>
      <c r="K399" s="101">
        <f t="shared" si="97"/>
        <v>2222.2222222207392</v>
      </c>
      <c r="O399" s="118">
        <f t="shared" si="98"/>
        <v>16.666666666666664</v>
      </c>
      <c r="P399" s="119">
        <f t="shared" ca="1" si="99"/>
        <v>30</v>
      </c>
      <c r="Q399" s="120">
        <v>365</v>
      </c>
      <c r="AN399" s="132"/>
      <c r="AO399" s="132"/>
    </row>
    <row r="400" spans="1:41" ht="15.5" x14ac:dyDescent="0.35">
      <c r="A400" s="98">
        <f t="shared" si="104"/>
        <v>357</v>
      </c>
      <c r="B400" s="99">
        <f t="shared" ca="1" si="105"/>
        <v>56923</v>
      </c>
      <c r="C400" s="100">
        <f t="shared" si="106"/>
        <v>2222.2222222207392</v>
      </c>
      <c r="D400" s="100">
        <f t="shared" si="91"/>
        <v>24.222222222206057</v>
      </c>
      <c r="E400" s="100">
        <f t="shared" si="92"/>
        <v>2246.4444444429455</v>
      </c>
      <c r="F400" s="100">
        <f t="shared" si="67"/>
        <v>555.55555555555554</v>
      </c>
      <c r="G400" s="100">
        <f t="shared" si="93"/>
        <v>2224.9119669789316</v>
      </c>
      <c r="H400" s="100">
        <f t="shared" si="94"/>
        <v>0.51111111111077001</v>
      </c>
      <c r="I400" s="100">
        <f t="shared" si="107"/>
        <v>20</v>
      </c>
      <c r="J400" s="100">
        <f t="shared" si="96"/>
        <v>2245.4230780900425</v>
      </c>
      <c r="K400" s="101">
        <f t="shared" si="97"/>
        <v>1666.6666666651836</v>
      </c>
      <c r="O400" s="118">
        <f t="shared" si="98"/>
        <v>16.666666666666664</v>
      </c>
      <c r="P400" s="119">
        <f t="shared" ca="1" si="99"/>
        <v>31</v>
      </c>
      <c r="Q400" s="120">
        <v>365</v>
      </c>
      <c r="AN400" s="132"/>
      <c r="AO400" s="132"/>
    </row>
    <row r="401" spans="1:41" ht="15.5" x14ac:dyDescent="0.35">
      <c r="A401" s="98">
        <f>IF(IF(AND(A400&gt;0,A400&lt;$I$18),A400+1,0)=0,"",IF(AND(A400&gt;0,A400&lt;$I$18),A400+1,0))</f>
        <v>358</v>
      </c>
      <c r="B401" s="99">
        <f ca="1">IFERROR(IF(A401&lt;=$I$18,DATE(YEAR($B$44),MONTH($B$44)+A400,DAY($B$44)),"-"),"")</f>
        <v>56953</v>
      </c>
      <c r="C401" s="100">
        <f>IF(A401="","",K400)</f>
        <v>1666.6666666651836</v>
      </c>
      <c r="D401" s="100">
        <f t="shared" si="91"/>
        <v>18.166666666650499</v>
      </c>
      <c r="E401" s="100">
        <f t="shared" si="92"/>
        <v>1684.8333333318342</v>
      </c>
      <c r="F401" s="100">
        <f t="shared" si="67"/>
        <v>555.55555555555554</v>
      </c>
      <c r="G401" s="100">
        <f t="shared" si="93"/>
        <v>2224.9119669789316</v>
      </c>
      <c r="H401" s="100">
        <f t="shared" si="94"/>
        <v>0.38333333333299224</v>
      </c>
      <c r="I401" s="100">
        <f>IF(A401="","",IF(K400="","",IF(K400=0,"",$J$28*$I$14)))</f>
        <v>20</v>
      </c>
      <c r="J401" s="100">
        <f t="shared" si="96"/>
        <v>2245.2953003122648</v>
      </c>
      <c r="K401" s="101">
        <f t="shared" si="97"/>
        <v>1111.1111111096279</v>
      </c>
      <c r="O401" s="118">
        <f t="shared" si="98"/>
        <v>16.666666666666664</v>
      </c>
      <c r="P401" s="119">
        <f t="shared" ca="1" si="99"/>
        <v>30</v>
      </c>
      <c r="Q401" s="120">
        <v>365</v>
      </c>
      <c r="AN401" s="132"/>
      <c r="AO401" s="132"/>
    </row>
    <row r="402" spans="1:41" ht="15.5" x14ac:dyDescent="0.35">
      <c r="A402" s="98">
        <f t="shared" ref="A402:A403" si="108">IF(IF(AND(A401&gt;0,A401&lt;$I$18),A401+1,0)=0,"",IF(AND(A401&gt;0,A401&lt;$I$18),A401+1,0))</f>
        <v>359</v>
      </c>
      <c r="B402" s="99">
        <f t="shared" ref="B402:B403" ca="1" si="109">IFERROR(IF(A402&lt;=$I$18,DATE(YEAR($B$44),MONTH($B$44)+A401,DAY($B$44)),"-"),"")</f>
        <v>56984</v>
      </c>
      <c r="C402" s="100">
        <f t="shared" ref="C402:C403" si="110">IF(A402="","",K401)</f>
        <v>1111.1111111096279</v>
      </c>
      <c r="D402" s="100">
        <f t="shared" si="91"/>
        <v>12.111111111094944</v>
      </c>
      <c r="E402" s="100">
        <f t="shared" si="92"/>
        <v>1123.2222222207229</v>
      </c>
      <c r="F402" s="100">
        <f t="shared" si="67"/>
        <v>555.55555555555554</v>
      </c>
      <c r="G402" s="100">
        <f t="shared" si="93"/>
        <v>2224.9119669789316</v>
      </c>
      <c r="H402" s="100">
        <f t="shared" si="94"/>
        <v>0.25555555555521442</v>
      </c>
      <c r="I402" s="100">
        <f t="shared" ref="I402:I403" si="111">IF(A402="","",IF(K401="","",IF(K401=0,"",$J$28*$I$14)))</f>
        <v>20</v>
      </c>
      <c r="J402" s="100">
        <f t="shared" si="96"/>
        <v>2245.1675225344866</v>
      </c>
      <c r="K402" s="101">
        <f t="shared" si="97"/>
        <v>555.55555555407238</v>
      </c>
      <c r="O402" s="118">
        <f t="shared" si="98"/>
        <v>16.666666666666664</v>
      </c>
      <c r="P402" s="119">
        <f t="shared" ca="1" si="99"/>
        <v>31</v>
      </c>
      <c r="Q402" s="120">
        <v>365</v>
      </c>
      <c r="AN402" s="132"/>
      <c r="AO402" s="132"/>
    </row>
    <row r="403" spans="1:41" ht="15.5" x14ac:dyDescent="0.35">
      <c r="A403" s="98">
        <f t="shared" si="108"/>
        <v>360</v>
      </c>
      <c r="B403" s="99">
        <f t="shared" ca="1" si="109"/>
        <v>57015</v>
      </c>
      <c r="C403" s="100">
        <f t="shared" si="110"/>
        <v>555.55555555407238</v>
      </c>
      <c r="D403" s="100">
        <f t="shared" si="91"/>
        <v>6.0555555555393887</v>
      </c>
      <c r="E403" s="100">
        <f t="shared" si="92"/>
        <v>561.61111110961178</v>
      </c>
      <c r="F403" s="100">
        <f t="shared" si="67"/>
        <v>555.55555555555554</v>
      </c>
      <c r="G403" s="100">
        <f t="shared" si="93"/>
        <v>2224.9119669789316</v>
      </c>
      <c r="H403" s="100">
        <f t="shared" si="94"/>
        <v>0.12777777777743665</v>
      </c>
      <c r="I403" s="100">
        <f t="shared" si="111"/>
        <v>20</v>
      </c>
      <c r="J403" s="100">
        <f t="shared" si="96"/>
        <v>2245.0397447567088</v>
      </c>
      <c r="K403" s="101">
        <f t="shared" si="97"/>
        <v>-1.4831584849162027E-9</v>
      </c>
      <c r="O403" s="118">
        <f t="shared" si="98"/>
        <v>16.666666666666664</v>
      </c>
      <c r="P403" s="119">
        <f t="shared" ca="1" si="99"/>
        <v>31</v>
      </c>
      <c r="Q403" s="120">
        <v>365</v>
      </c>
      <c r="AN403" s="132"/>
      <c r="AO403" s="132"/>
    </row>
    <row r="404" spans="1:41" ht="16" thickBot="1" x14ac:dyDescent="0.4">
      <c r="A404" s="158" t="s">
        <v>97</v>
      </c>
      <c r="B404" s="159"/>
      <c r="C404" s="160"/>
      <c r="D404" s="125">
        <f>SUM(D44:D403)</f>
        <v>393489.99999999575</v>
      </c>
      <c r="E404" s="126" t="s">
        <v>98</v>
      </c>
      <c r="F404" s="125">
        <f>ROUNDUP(SUM(F44:F403),0)</f>
        <v>200001</v>
      </c>
      <c r="G404" s="125">
        <f>SUM(G44:G403)</f>
        <v>801478.95170098916</v>
      </c>
      <c r="H404" s="125">
        <f>SUM(H44:H403)</f>
        <v>8302.9999999999145</v>
      </c>
      <c r="I404" s="125">
        <f>SUM(I44:I403)</f>
        <v>7200</v>
      </c>
      <c r="J404" s="125">
        <f ca="1">SUM(J43:J403)</f>
        <v>619981.95170099195</v>
      </c>
      <c r="K404" s="127" t="s">
        <v>98</v>
      </c>
      <c r="AN404" s="132"/>
      <c r="AO404" s="132"/>
    </row>
    <row r="405" spans="1:41" ht="15.5" x14ac:dyDescent="0.35">
      <c r="AN405" s="132"/>
      <c r="AO405" s="132"/>
    </row>
    <row r="406" spans="1:41" ht="15.5" x14ac:dyDescent="0.35">
      <c r="AN406" s="132"/>
      <c r="AO406" s="132"/>
    </row>
    <row r="407" spans="1:41" ht="15.5" x14ac:dyDescent="0.35">
      <c r="AN407" s="132"/>
      <c r="AO407" s="132"/>
    </row>
    <row r="408" spans="1:41" ht="15.5" x14ac:dyDescent="0.35">
      <c r="AN408" s="132"/>
      <c r="AO408" s="132"/>
    </row>
    <row r="409" spans="1:41" ht="16" thickBot="1" x14ac:dyDescent="0.4">
      <c r="B409" s="130"/>
      <c r="C409" s="130"/>
      <c r="D409" s="130"/>
      <c r="E409" s="130"/>
      <c r="H409" s="130"/>
      <c r="I409" s="130"/>
      <c r="J409" s="130"/>
      <c r="K409" s="130"/>
      <c r="AN409" s="132"/>
      <c r="AO409" s="132"/>
    </row>
    <row r="410" spans="1:41" ht="15.5" x14ac:dyDescent="0.35">
      <c r="B410" s="266" t="s">
        <v>99</v>
      </c>
      <c r="C410" s="266"/>
      <c r="D410" s="266"/>
      <c r="E410" s="266"/>
      <c r="H410" s="266" t="str">
        <f>C9</f>
        <v xml:space="preserve">&lt; Insira dados do cleinte mais velho&gt; </v>
      </c>
      <c r="I410" s="266"/>
      <c r="J410" s="266"/>
      <c r="K410" s="266"/>
      <c r="AN410" s="132"/>
      <c r="AO410" s="132"/>
    </row>
    <row r="411" spans="1:41" ht="15.5" x14ac:dyDescent="0.35">
      <c r="AN411" s="132"/>
      <c r="AO411" s="132"/>
    </row>
    <row r="412" spans="1:41" ht="15.5" x14ac:dyDescent="0.35">
      <c r="AN412" s="132"/>
      <c r="AO412" s="132"/>
    </row>
    <row r="413" spans="1:41" ht="15.5" x14ac:dyDescent="0.35">
      <c r="AN413" s="132"/>
      <c r="AO413" s="132"/>
    </row>
    <row r="414" spans="1:41" ht="15.5" x14ac:dyDescent="0.35">
      <c r="AN414" s="132"/>
      <c r="AO414" s="132"/>
    </row>
    <row r="415" spans="1:41" ht="16" thickBot="1" x14ac:dyDescent="0.4">
      <c r="B415" s="10"/>
      <c r="C415" s="10"/>
      <c r="H415" s="130"/>
      <c r="I415" s="130"/>
      <c r="J415" s="130"/>
      <c r="K415" s="130"/>
      <c r="AN415" s="132"/>
      <c r="AO415" s="132"/>
    </row>
    <row r="416" spans="1:41" ht="15.5" x14ac:dyDescent="0.35">
      <c r="B416" s="10"/>
      <c r="C416" s="10"/>
      <c r="H416" s="266"/>
      <c r="I416" s="266"/>
      <c r="J416" s="266"/>
      <c r="K416" s="266"/>
      <c r="AN416" s="132"/>
      <c r="AO416" s="132"/>
    </row>
    <row r="417" spans="2:41" ht="15.5" x14ac:dyDescent="0.35">
      <c r="AN417" s="132"/>
      <c r="AO417" s="132"/>
    </row>
    <row r="418" spans="2:41" ht="15.5" x14ac:dyDescent="0.35">
      <c r="AN418" s="132"/>
      <c r="AO418" s="132"/>
    </row>
    <row r="419" spans="2:41" ht="15.5" x14ac:dyDescent="0.35">
      <c r="AN419" s="132"/>
      <c r="AO419" s="132"/>
    </row>
    <row r="420" spans="2:41" ht="15.5" x14ac:dyDescent="0.35">
      <c r="B420" s="264" t="s">
        <v>100</v>
      </c>
      <c r="C420" s="264"/>
      <c r="D420" s="264"/>
      <c r="E420" s="264"/>
      <c r="F420" s="264"/>
      <c r="G420" s="264"/>
      <c r="H420" s="264"/>
      <c r="I420" s="264"/>
      <c r="J420" s="264"/>
      <c r="K420" s="10" t="s">
        <v>105</v>
      </c>
      <c r="AN420" s="132"/>
      <c r="AO420" s="132"/>
    </row>
    <row r="421" spans="2:41" ht="15.5" x14ac:dyDescent="0.35">
      <c r="B421" s="264" t="s">
        <v>101</v>
      </c>
      <c r="C421" s="264"/>
      <c r="D421" s="264"/>
      <c r="E421" s="264"/>
      <c r="F421" s="264"/>
      <c r="G421" s="264"/>
      <c r="H421" s="264"/>
      <c r="I421" s="264"/>
      <c r="J421" s="264"/>
      <c r="AN421" s="132"/>
      <c r="AO421" s="132"/>
    </row>
    <row r="422" spans="2:41" ht="15.5" x14ac:dyDescent="0.35">
      <c r="B422" s="264" t="s">
        <v>102</v>
      </c>
      <c r="C422" s="264"/>
      <c r="D422" s="264"/>
      <c r="E422" s="264"/>
      <c r="F422" s="264"/>
      <c r="G422" s="264"/>
      <c r="H422" s="264"/>
      <c r="I422" s="264"/>
      <c r="J422" s="264"/>
      <c r="AN422" s="132"/>
      <c r="AO422" s="132"/>
    </row>
    <row r="423" spans="2:41" ht="15.5" x14ac:dyDescent="0.35">
      <c r="AN423" s="132"/>
      <c r="AO423" s="132"/>
    </row>
    <row r="424" spans="2:41" ht="15.5" x14ac:dyDescent="0.35">
      <c r="AN424" s="132"/>
      <c r="AO424" s="132"/>
    </row>
    <row r="425" spans="2:41" ht="15.5" x14ac:dyDescent="0.35">
      <c r="AN425" s="132"/>
      <c r="AO425" s="132"/>
    </row>
    <row r="426" spans="2:41" ht="15.5" x14ac:dyDescent="0.35">
      <c r="AN426" s="132"/>
      <c r="AO426" s="132"/>
    </row>
    <row r="427" spans="2:41" ht="15.5" x14ac:dyDescent="0.35">
      <c r="AN427" s="132"/>
      <c r="AO427" s="132"/>
    </row>
    <row r="428" spans="2:41" ht="15.5" x14ac:dyDescent="0.35">
      <c r="AN428" s="132"/>
      <c r="AO428" s="132"/>
    </row>
    <row r="429" spans="2:41" ht="15.5" x14ac:dyDescent="0.35">
      <c r="AN429" s="132"/>
      <c r="AO429" s="132"/>
    </row>
    <row r="430" spans="2:41" ht="15.5" x14ac:dyDescent="0.35">
      <c r="AN430" s="132"/>
      <c r="AO430" s="132"/>
    </row>
    <row r="431" spans="2:41" ht="15.5" x14ac:dyDescent="0.35">
      <c r="AN431" s="132"/>
      <c r="AO431" s="132"/>
    </row>
    <row r="432" spans="2:41" ht="15.5" x14ac:dyDescent="0.35">
      <c r="AN432" s="132"/>
      <c r="AO432" s="132"/>
    </row>
    <row r="433" spans="40:41" ht="15.5" x14ac:dyDescent="0.35">
      <c r="AN433" s="132"/>
      <c r="AO433" s="132"/>
    </row>
    <row r="434" spans="40:41" ht="15.5" x14ac:dyDescent="0.35">
      <c r="AN434" s="132"/>
      <c r="AO434" s="132"/>
    </row>
    <row r="435" spans="40:41" ht="15.5" x14ac:dyDescent="0.35">
      <c r="AN435" s="132"/>
      <c r="AO435" s="132"/>
    </row>
    <row r="436" spans="40:41" ht="15.5" x14ac:dyDescent="0.35">
      <c r="AN436" s="132"/>
      <c r="AO436" s="132"/>
    </row>
    <row r="437" spans="40:41" ht="15.5" x14ac:dyDescent="0.35">
      <c r="AN437" s="132"/>
      <c r="AO437" s="132"/>
    </row>
    <row r="438" spans="40:41" ht="15.5" x14ac:dyDescent="0.35">
      <c r="AN438" s="132"/>
      <c r="AO438" s="132"/>
    </row>
    <row r="439" spans="40:41" ht="15.5" x14ac:dyDescent="0.35">
      <c r="AN439" s="132"/>
      <c r="AO439" s="132"/>
    </row>
    <row r="440" spans="40:41" ht="15.5" x14ac:dyDescent="0.35">
      <c r="AN440" s="132"/>
      <c r="AO440" s="132"/>
    </row>
    <row r="441" spans="40:41" ht="15.5" x14ac:dyDescent="0.35">
      <c r="AN441" s="132"/>
      <c r="AO441" s="132"/>
    </row>
    <row r="442" spans="40:41" ht="15.5" x14ac:dyDescent="0.35">
      <c r="AN442" s="132"/>
      <c r="AO442" s="132"/>
    </row>
    <row r="443" spans="40:41" ht="15.5" x14ac:dyDescent="0.35">
      <c r="AN443" s="132"/>
      <c r="AO443" s="132"/>
    </row>
    <row r="444" spans="40:41" ht="15.5" x14ac:dyDescent="0.35">
      <c r="AN444" s="132"/>
      <c r="AO444" s="132"/>
    </row>
    <row r="445" spans="40:41" ht="15.5" x14ac:dyDescent="0.35">
      <c r="AN445" s="132"/>
      <c r="AO445" s="132"/>
    </row>
    <row r="446" spans="40:41" ht="15.5" x14ac:dyDescent="0.35">
      <c r="AN446" s="132"/>
      <c r="AO446" s="132"/>
    </row>
    <row r="447" spans="40:41" ht="15.5" x14ac:dyDescent="0.35">
      <c r="AN447" s="132"/>
      <c r="AO447" s="132"/>
    </row>
    <row r="448" spans="40:41" ht="15.5" x14ac:dyDescent="0.35">
      <c r="AN448" s="132"/>
      <c r="AO448" s="132"/>
    </row>
    <row r="449" spans="40:41" ht="15.5" x14ac:dyDescent="0.35">
      <c r="AN449" s="132"/>
      <c r="AO449" s="132"/>
    </row>
    <row r="450" spans="40:41" ht="15.5" x14ac:dyDescent="0.35">
      <c r="AN450" s="132"/>
      <c r="AO450" s="132"/>
    </row>
    <row r="451" spans="40:41" ht="15.5" x14ac:dyDescent="0.35">
      <c r="AN451" s="132"/>
      <c r="AO451" s="132"/>
    </row>
    <row r="452" spans="40:41" ht="15.5" x14ac:dyDescent="0.35">
      <c r="AN452" s="132"/>
      <c r="AO452" s="132"/>
    </row>
    <row r="453" spans="40:41" ht="15.5" x14ac:dyDescent="0.35">
      <c r="AN453" s="132"/>
      <c r="AO453" s="132"/>
    </row>
    <row r="454" spans="40:41" ht="15.5" x14ac:dyDescent="0.35">
      <c r="AN454" s="132"/>
      <c r="AO454" s="132"/>
    </row>
    <row r="455" spans="40:41" ht="15.5" x14ac:dyDescent="0.35">
      <c r="AN455" s="132"/>
      <c r="AO455" s="132"/>
    </row>
    <row r="456" spans="40:41" ht="15.5" x14ac:dyDescent="0.35">
      <c r="AN456" s="132"/>
      <c r="AO456" s="132"/>
    </row>
    <row r="457" spans="40:41" ht="15.5" x14ac:dyDescent="0.35">
      <c r="AN457" s="132"/>
      <c r="AO457" s="132"/>
    </row>
    <row r="458" spans="40:41" ht="15.5" x14ac:dyDescent="0.35">
      <c r="AN458" s="132"/>
      <c r="AO458" s="132"/>
    </row>
    <row r="459" spans="40:41" ht="15.5" x14ac:dyDescent="0.35">
      <c r="AN459" s="132"/>
      <c r="AO459" s="132"/>
    </row>
    <row r="460" spans="40:41" ht="15.5" x14ac:dyDescent="0.35">
      <c r="AN460" s="132"/>
      <c r="AO460" s="132"/>
    </row>
    <row r="461" spans="40:41" ht="15.5" x14ac:dyDescent="0.35">
      <c r="AN461" s="132"/>
      <c r="AO461" s="132"/>
    </row>
    <row r="462" spans="40:41" ht="15.5" x14ac:dyDescent="0.35">
      <c r="AN462" s="132"/>
      <c r="AO462" s="132"/>
    </row>
    <row r="463" spans="40:41" ht="15.5" x14ac:dyDescent="0.35">
      <c r="AN463" s="132"/>
      <c r="AO463" s="132"/>
    </row>
    <row r="464" spans="40:41" ht="15.5" x14ac:dyDescent="0.35">
      <c r="AN464" s="132"/>
      <c r="AO464" s="132"/>
    </row>
    <row r="465" spans="40:41" ht="15.5" x14ac:dyDescent="0.35">
      <c r="AN465" s="132"/>
      <c r="AO465" s="132"/>
    </row>
    <row r="466" spans="40:41" ht="15.5" x14ac:dyDescent="0.35">
      <c r="AN466" s="132"/>
      <c r="AO466" s="132"/>
    </row>
    <row r="467" spans="40:41" ht="15.5" x14ac:dyDescent="0.35">
      <c r="AN467" s="132"/>
      <c r="AO467" s="132"/>
    </row>
    <row r="468" spans="40:41" ht="15.5" x14ac:dyDescent="0.35">
      <c r="AN468" s="132"/>
      <c r="AO468" s="132"/>
    </row>
    <row r="469" spans="40:41" ht="15.5" x14ac:dyDescent="0.35">
      <c r="AN469" s="132"/>
      <c r="AO469" s="132"/>
    </row>
    <row r="470" spans="40:41" ht="15.5" x14ac:dyDescent="0.35">
      <c r="AN470" s="132"/>
      <c r="AO470" s="132"/>
    </row>
    <row r="471" spans="40:41" ht="15.5" x14ac:dyDescent="0.35">
      <c r="AN471" s="132"/>
      <c r="AO471" s="132"/>
    </row>
    <row r="472" spans="40:41" ht="15.5" x14ac:dyDescent="0.35">
      <c r="AN472" s="132"/>
      <c r="AO472" s="132"/>
    </row>
    <row r="473" spans="40:41" ht="15.5" x14ac:dyDescent="0.35">
      <c r="AN473" s="132"/>
      <c r="AO473" s="132"/>
    </row>
    <row r="474" spans="40:41" ht="15.5" x14ac:dyDescent="0.35">
      <c r="AN474" s="132"/>
      <c r="AO474" s="132"/>
    </row>
    <row r="475" spans="40:41" ht="15.5" x14ac:dyDescent="0.35">
      <c r="AN475" s="132"/>
      <c r="AO475" s="132"/>
    </row>
    <row r="476" spans="40:41" ht="15.5" x14ac:dyDescent="0.35">
      <c r="AN476" s="132"/>
      <c r="AO476" s="132"/>
    </row>
    <row r="477" spans="40:41" ht="15.5" x14ac:dyDescent="0.35">
      <c r="AN477" s="132"/>
      <c r="AO477" s="132"/>
    </row>
    <row r="478" spans="40:41" ht="15.5" x14ac:dyDescent="0.35">
      <c r="AN478" s="132"/>
      <c r="AO478" s="132"/>
    </row>
    <row r="479" spans="40:41" ht="15.5" x14ac:dyDescent="0.35">
      <c r="AN479" s="132"/>
      <c r="AO479" s="132"/>
    </row>
    <row r="480" spans="40:41" ht="15.5" x14ac:dyDescent="0.35">
      <c r="AN480" s="132"/>
      <c r="AO480" s="132"/>
    </row>
    <row r="481" spans="40:41" ht="15.5" x14ac:dyDescent="0.35">
      <c r="AN481" s="132"/>
      <c r="AO481" s="132"/>
    </row>
    <row r="482" spans="40:41" ht="15.5" x14ac:dyDescent="0.35">
      <c r="AN482" s="132"/>
      <c r="AO482" s="132"/>
    </row>
    <row r="483" spans="40:41" ht="15.5" x14ac:dyDescent="0.35">
      <c r="AN483" s="132"/>
      <c r="AO483" s="132"/>
    </row>
    <row r="484" spans="40:41" ht="15.5" x14ac:dyDescent="0.35">
      <c r="AN484" s="132"/>
      <c r="AO484" s="132"/>
    </row>
    <row r="485" spans="40:41" ht="15.5" x14ac:dyDescent="0.35">
      <c r="AN485" s="132"/>
      <c r="AO485" s="132"/>
    </row>
    <row r="486" spans="40:41" ht="15.5" x14ac:dyDescent="0.35">
      <c r="AN486" s="132"/>
      <c r="AO486" s="132"/>
    </row>
    <row r="487" spans="40:41" ht="15.5" x14ac:dyDescent="0.35">
      <c r="AN487" s="132"/>
      <c r="AO487" s="132"/>
    </row>
    <row r="488" spans="40:41" ht="15.5" x14ac:dyDescent="0.35">
      <c r="AN488" s="132"/>
      <c r="AO488" s="132"/>
    </row>
    <row r="489" spans="40:41" ht="15.5" x14ac:dyDescent="0.35">
      <c r="AN489" s="132"/>
      <c r="AO489" s="132"/>
    </row>
    <row r="490" spans="40:41" ht="15.5" x14ac:dyDescent="0.35">
      <c r="AN490" s="132"/>
      <c r="AO490" s="132"/>
    </row>
    <row r="491" spans="40:41" ht="15.5" x14ac:dyDescent="0.35">
      <c r="AN491" s="132"/>
      <c r="AO491" s="132"/>
    </row>
    <row r="492" spans="40:41" ht="15.5" x14ac:dyDescent="0.35">
      <c r="AN492" s="132"/>
      <c r="AO492" s="132"/>
    </row>
    <row r="493" spans="40:41" ht="15.5" x14ac:dyDescent="0.35">
      <c r="AN493" s="132"/>
      <c r="AO493" s="132"/>
    </row>
    <row r="494" spans="40:41" ht="15.5" x14ac:dyDescent="0.35">
      <c r="AN494" s="132"/>
      <c r="AO494" s="132"/>
    </row>
    <row r="495" spans="40:41" ht="15.5" x14ac:dyDescent="0.35">
      <c r="AN495" s="132"/>
      <c r="AO495" s="132"/>
    </row>
    <row r="496" spans="40:41" ht="15.5" x14ac:dyDescent="0.35">
      <c r="AN496" s="132"/>
      <c r="AO496" s="132"/>
    </row>
    <row r="497" spans="40:41" ht="15.5" x14ac:dyDescent="0.35">
      <c r="AN497" s="132"/>
      <c r="AO497" s="132"/>
    </row>
    <row r="498" spans="40:41" ht="15.5" x14ac:dyDescent="0.35">
      <c r="AN498" s="132"/>
      <c r="AO498" s="132"/>
    </row>
    <row r="499" spans="40:41" ht="15.5" x14ac:dyDescent="0.35">
      <c r="AN499" s="132"/>
      <c r="AO499" s="132"/>
    </row>
    <row r="500" spans="40:41" ht="15.5" x14ac:dyDescent="0.35">
      <c r="AN500" s="132"/>
      <c r="AO500" s="132"/>
    </row>
    <row r="501" spans="40:41" ht="15.5" x14ac:dyDescent="0.35">
      <c r="AN501" s="132"/>
      <c r="AO501" s="132"/>
    </row>
    <row r="502" spans="40:41" ht="15.5" x14ac:dyDescent="0.35">
      <c r="AN502" s="132"/>
      <c r="AO502" s="132"/>
    </row>
    <row r="503" spans="40:41" ht="15.5" x14ac:dyDescent="0.35">
      <c r="AN503" s="132"/>
      <c r="AO503" s="132"/>
    </row>
    <row r="504" spans="40:41" ht="15.5" x14ac:dyDescent="0.35">
      <c r="AN504" s="132"/>
      <c r="AO504" s="132"/>
    </row>
    <row r="505" spans="40:41" ht="15.5" x14ac:dyDescent="0.35">
      <c r="AN505" s="132"/>
      <c r="AO505" s="132"/>
    </row>
    <row r="506" spans="40:41" ht="15.5" x14ac:dyDescent="0.35">
      <c r="AN506" s="132"/>
      <c r="AO506" s="132"/>
    </row>
    <row r="507" spans="40:41" ht="15.5" x14ac:dyDescent="0.35">
      <c r="AN507" s="132"/>
      <c r="AO507" s="132"/>
    </row>
    <row r="508" spans="40:41" ht="15.5" x14ac:dyDescent="0.35">
      <c r="AN508" s="132"/>
      <c r="AO508" s="132"/>
    </row>
    <row r="509" spans="40:41" ht="15.5" x14ac:dyDescent="0.35">
      <c r="AN509" s="132"/>
      <c r="AO509" s="132"/>
    </row>
    <row r="510" spans="40:41" ht="15.5" x14ac:dyDescent="0.35">
      <c r="AN510" s="132"/>
      <c r="AO510" s="132"/>
    </row>
    <row r="511" spans="40:41" ht="15.5" x14ac:dyDescent="0.35">
      <c r="AN511" s="132"/>
      <c r="AO511" s="132"/>
    </row>
    <row r="512" spans="40:41" ht="15.5" x14ac:dyDescent="0.35">
      <c r="AN512" s="132"/>
      <c r="AO512" s="132"/>
    </row>
    <row r="513" spans="40:41" ht="15.5" x14ac:dyDescent="0.35">
      <c r="AN513" s="132"/>
      <c r="AO513" s="132"/>
    </row>
    <row r="514" spans="40:41" ht="15.5" x14ac:dyDescent="0.35">
      <c r="AN514" s="132"/>
      <c r="AO514" s="132"/>
    </row>
    <row r="515" spans="40:41" ht="15.5" x14ac:dyDescent="0.35">
      <c r="AN515" s="132"/>
      <c r="AO515" s="132"/>
    </row>
    <row r="516" spans="40:41" ht="15.5" x14ac:dyDescent="0.35">
      <c r="AN516" s="132"/>
      <c r="AO516" s="132"/>
    </row>
    <row r="517" spans="40:41" ht="15.5" x14ac:dyDescent="0.35">
      <c r="AN517" s="132"/>
      <c r="AO517" s="132"/>
    </row>
    <row r="518" spans="40:41" ht="15.5" x14ac:dyDescent="0.35">
      <c r="AN518" s="132"/>
      <c r="AO518" s="132"/>
    </row>
    <row r="519" spans="40:41" ht="15.5" x14ac:dyDescent="0.35">
      <c r="AN519" s="132"/>
      <c r="AO519" s="132"/>
    </row>
    <row r="520" spans="40:41" ht="15.5" x14ac:dyDescent="0.35">
      <c r="AN520" s="132"/>
    </row>
    <row r="521" spans="40:41" ht="15.5" x14ac:dyDescent="0.35">
      <c r="AN521" s="132"/>
    </row>
    <row r="522" spans="40:41" ht="15.5" x14ac:dyDescent="0.35">
      <c r="AN522" s="132"/>
    </row>
    <row r="523" spans="40:41" ht="15.5" x14ac:dyDescent="0.35">
      <c r="AN523" s="132"/>
    </row>
    <row r="524" spans="40:41" ht="15.5" x14ac:dyDescent="0.35">
      <c r="AN524" s="132"/>
    </row>
    <row r="525" spans="40:41" ht="15.5" x14ac:dyDescent="0.35">
      <c r="AN525" s="132"/>
    </row>
    <row r="526" spans="40:41" ht="15.5" x14ac:dyDescent="0.35">
      <c r="AN526" s="132"/>
    </row>
    <row r="527" spans="40:41" ht="15.5" x14ac:dyDescent="0.35">
      <c r="AN527" s="132"/>
    </row>
    <row r="528" spans="40:41" ht="15.5" x14ac:dyDescent="0.35">
      <c r="AN528" s="132"/>
    </row>
    <row r="529" spans="40:40" ht="15.5" x14ac:dyDescent="0.35">
      <c r="AN529" s="132"/>
    </row>
    <row r="530" spans="40:40" ht="15.5" x14ac:dyDescent="0.35">
      <c r="AN530" s="132"/>
    </row>
    <row r="531" spans="40:40" ht="15.5" x14ac:dyDescent="0.35">
      <c r="AN531" s="132"/>
    </row>
    <row r="532" spans="40:40" ht="15.5" x14ac:dyDescent="0.35">
      <c r="AN532" s="132"/>
    </row>
    <row r="533" spans="40:40" ht="15.5" x14ac:dyDescent="0.35">
      <c r="AN533" s="132"/>
    </row>
    <row r="534" spans="40:40" ht="15.5" x14ac:dyDescent="0.35">
      <c r="AN534" s="132"/>
    </row>
    <row r="535" spans="40:40" ht="15.5" x14ac:dyDescent="0.35">
      <c r="AN535" s="132"/>
    </row>
    <row r="536" spans="40:40" ht="15.5" x14ac:dyDescent="0.35">
      <c r="AN536" s="132"/>
    </row>
    <row r="537" spans="40:40" ht="15.5" x14ac:dyDescent="0.35">
      <c r="AN537" s="132"/>
    </row>
    <row r="538" spans="40:40" ht="15.5" x14ac:dyDescent="0.35">
      <c r="AN538" s="132"/>
    </row>
    <row r="539" spans="40:40" ht="15.5" x14ac:dyDescent="0.35">
      <c r="AN539" s="132"/>
    </row>
    <row r="540" spans="40:40" ht="15.5" x14ac:dyDescent="0.35">
      <c r="AN540" s="132"/>
    </row>
    <row r="541" spans="40:40" ht="15.5" x14ac:dyDescent="0.35">
      <c r="AN541" s="132"/>
    </row>
    <row r="542" spans="40:40" ht="15.5" x14ac:dyDescent="0.35">
      <c r="AN542" s="132"/>
    </row>
    <row r="543" spans="40:40" ht="15.5" x14ac:dyDescent="0.35">
      <c r="AN543" s="132"/>
    </row>
    <row r="544" spans="40:40" ht="15.5" x14ac:dyDescent="0.35">
      <c r="AN544" s="132"/>
    </row>
    <row r="545" spans="40:40" ht="15.5" x14ac:dyDescent="0.35">
      <c r="AN545" s="132"/>
    </row>
    <row r="546" spans="40:40" ht="15.5" x14ac:dyDescent="0.35">
      <c r="AN546" s="132"/>
    </row>
    <row r="547" spans="40:40" ht="15.5" x14ac:dyDescent="0.35">
      <c r="AN547" s="132"/>
    </row>
    <row r="548" spans="40:40" ht="15.5" x14ac:dyDescent="0.35">
      <c r="AN548" s="132"/>
    </row>
    <row r="549" spans="40:40" ht="15.5" x14ac:dyDescent="0.35">
      <c r="AN549" s="132"/>
    </row>
    <row r="550" spans="40:40" ht="15.5" x14ac:dyDescent="0.35">
      <c r="AN550" s="132"/>
    </row>
    <row r="551" spans="40:40" ht="15.5" x14ac:dyDescent="0.35">
      <c r="AN551" s="132"/>
    </row>
    <row r="552" spans="40:40" ht="15.5" x14ac:dyDescent="0.35">
      <c r="AN552" s="132"/>
    </row>
    <row r="553" spans="40:40" ht="15.5" x14ac:dyDescent="0.35">
      <c r="AN553" s="132"/>
    </row>
    <row r="554" spans="40:40" ht="15.5" x14ac:dyDescent="0.35">
      <c r="AN554" s="132"/>
    </row>
    <row r="555" spans="40:40" ht="15.5" x14ac:dyDescent="0.35">
      <c r="AN555" s="132"/>
    </row>
    <row r="556" spans="40:40" ht="15.5" x14ac:dyDescent="0.35">
      <c r="AN556" s="132"/>
    </row>
    <row r="557" spans="40:40" ht="15.5" x14ac:dyDescent="0.35">
      <c r="AN557" s="132"/>
    </row>
    <row r="558" spans="40:40" ht="15.5" x14ac:dyDescent="0.35">
      <c r="AN558" s="132"/>
    </row>
    <row r="559" spans="40:40" ht="15.5" x14ac:dyDescent="0.35">
      <c r="AN559" s="132"/>
    </row>
    <row r="560" spans="40:40" ht="15.5" x14ac:dyDescent="0.35">
      <c r="AN560" s="132"/>
    </row>
    <row r="561" spans="40:40" ht="15.5" x14ac:dyDescent="0.35">
      <c r="AN561" s="132"/>
    </row>
    <row r="562" spans="40:40" ht="15.5" x14ac:dyDescent="0.35">
      <c r="AN562" s="132"/>
    </row>
    <row r="563" spans="40:40" ht="15.5" x14ac:dyDescent="0.35">
      <c r="AN563" s="132"/>
    </row>
    <row r="564" spans="40:40" ht="15.5" x14ac:dyDescent="0.35">
      <c r="AN564" s="132"/>
    </row>
    <row r="565" spans="40:40" ht="15.5" x14ac:dyDescent="0.35">
      <c r="AN565" s="132"/>
    </row>
    <row r="566" spans="40:40" ht="15.5" x14ac:dyDescent="0.35">
      <c r="AN566" s="132"/>
    </row>
    <row r="567" spans="40:40" ht="15.5" x14ac:dyDescent="0.35">
      <c r="AN567" s="132"/>
    </row>
    <row r="568" spans="40:40" ht="15.5" x14ac:dyDescent="0.35">
      <c r="AN568" s="132"/>
    </row>
    <row r="569" spans="40:40" ht="15.5" x14ac:dyDescent="0.35">
      <c r="AN569" s="132"/>
    </row>
    <row r="570" spans="40:40" ht="15.5" x14ac:dyDescent="0.35">
      <c r="AN570" s="132"/>
    </row>
    <row r="571" spans="40:40" ht="15.5" x14ac:dyDescent="0.35">
      <c r="AN571" s="132"/>
    </row>
    <row r="572" spans="40:40" ht="15.5" x14ac:dyDescent="0.35">
      <c r="AN572" s="132"/>
    </row>
    <row r="573" spans="40:40" ht="15.5" x14ac:dyDescent="0.35">
      <c r="AN573" s="132"/>
    </row>
    <row r="574" spans="40:40" ht="15.5" x14ac:dyDescent="0.35">
      <c r="AN574" s="132"/>
    </row>
    <row r="575" spans="40:40" ht="15.5" x14ac:dyDescent="0.35">
      <c r="AN575" s="132"/>
    </row>
    <row r="576" spans="40:40" ht="15.5" x14ac:dyDescent="0.35">
      <c r="AN576" s="132"/>
    </row>
    <row r="577" spans="40:40" ht="15.5" x14ac:dyDescent="0.35">
      <c r="AN577" s="132"/>
    </row>
    <row r="578" spans="40:40" ht="15.5" x14ac:dyDescent="0.35">
      <c r="AN578" s="132"/>
    </row>
    <row r="579" spans="40:40" ht="15.5" x14ac:dyDescent="0.35">
      <c r="AN579" s="132"/>
    </row>
    <row r="580" spans="40:40" ht="15.5" x14ac:dyDescent="0.35">
      <c r="AN580" s="132"/>
    </row>
    <row r="581" spans="40:40" ht="15.5" x14ac:dyDescent="0.35">
      <c r="AN581" s="132"/>
    </row>
    <row r="582" spans="40:40" ht="15.5" x14ac:dyDescent="0.35">
      <c r="AN582" s="132"/>
    </row>
    <row r="583" spans="40:40" ht="15.5" x14ac:dyDescent="0.35">
      <c r="AN583" s="132"/>
    </row>
    <row r="584" spans="40:40" ht="15.5" x14ac:dyDescent="0.35">
      <c r="AN584" s="132"/>
    </row>
    <row r="585" spans="40:40" ht="15.5" x14ac:dyDescent="0.35">
      <c r="AN585" s="132"/>
    </row>
    <row r="586" spans="40:40" ht="15.5" x14ac:dyDescent="0.35">
      <c r="AN586" s="132"/>
    </row>
    <row r="587" spans="40:40" ht="15.5" x14ac:dyDescent="0.35">
      <c r="AN587" s="132"/>
    </row>
    <row r="588" spans="40:40" ht="15.5" x14ac:dyDescent="0.35">
      <c r="AN588" s="132"/>
    </row>
    <row r="589" spans="40:40" ht="15.5" x14ac:dyDescent="0.35">
      <c r="AN589" s="132"/>
    </row>
    <row r="590" spans="40:40" ht="15.5" x14ac:dyDescent="0.35">
      <c r="AN590" s="132"/>
    </row>
    <row r="591" spans="40:40" ht="15.5" x14ac:dyDescent="0.35">
      <c r="AN591" s="132"/>
    </row>
    <row r="592" spans="40:40" ht="15.5" x14ac:dyDescent="0.35">
      <c r="AN592" s="132"/>
    </row>
    <row r="593" spans="40:40" ht="15.5" x14ac:dyDescent="0.35">
      <c r="AN593" s="132"/>
    </row>
    <row r="594" spans="40:40" ht="15.5" x14ac:dyDescent="0.35">
      <c r="AN594" s="132"/>
    </row>
    <row r="595" spans="40:40" ht="15.5" x14ac:dyDescent="0.35">
      <c r="AN595" s="132"/>
    </row>
    <row r="596" spans="40:40" ht="15.5" x14ac:dyDescent="0.35">
      <c r="AN596" s="132"/>
    </row>
    <row r="597" spans="40:40" ht="15.5" x14ac:dyDescent="0.35">
      <c r="AN597" s="132"/>
    </row>
    <row r="598" spans="40:40" ht="15.5" x14ac:dyDescent="0.35">
      <c r="AN598" s="132"/>
    </row>
    <row r="599" spans="40:40" ht="15.5" x14ac:dyDescent="0.35">
      <c r="AN599" s="132"/>
    </row>
    <row r="600" spans="40:40" ht="15.5" x14ac:dyDescent="0.35">
      <c r="AN600" s="132"/>
    </row>
    <row r="601" spans="40:40" ht="15.5" x14ac:dyDescent="0.35">
      <c r="AN601" s="132"/>
    </row>
    <row r="602" spans="40:40" ht="15.5" x14ac:dyDescent="0.35">
      <c r="AN602" s="132"/>
    </row>
    <row r="603" spans="40:40" ht="15.5" x14ac:dyDescent="0.35">
      <c r="AN603" s="132"/>
    </row>
    <row r="604" spans="40:40" ht="15.5" x14ac:dyDescent="0.35">
      <c r="AN604" s="132"/>
    </row>
    <row r="605" spans="40:40" ht="15.5" x14ac:dyDescent="0.35">
      <c r="AN605" s="132"/>
    </row>
    <row r="606" spans="40:40" ht="15.5" x14ac:dyDescent="0.35">
      <c r="AN606" s="132"/>
    </row>
    <row r="607" spans="40:40" ht="15.5" x14ac:dyDescent="0.35">
      <c r="AN607" s="132"/>
    </row>
    <row r="608" spans="40:40" ht="15.5" x14ac:dyDescent="0.35">
      <c r="AN608" s="132"/>
    </row>
    <row r="609" spans="40:40" ht="15.5" x14ac:dyDescent="0.35">
      <c r="AN609" s="132"/>
    </row>
    <row r="610" spans="40:40" ht="15.5" x14ac:dyDescent="0.35">
      <c r="AN610" s="132"/>
    </row>
    <row r="611" spans="40:40" ht="15.5" x14ac:dyDescent="0.35">
      <c r="AN611" s="132"/>
    </row>
    <row r="612" spans="40:40" ht="15.5" x14ac:dyDescent="0.35">
      <c r="AN612" s="132"/>
    </row>
    <row r="613" spans="40:40" ht="15.5" x14ac:dyDescent="0.35">
      <c r="AN613" s="132"/>
    </row>
    <row r="614" spans="40:40" ht="15.5" x14ac:dyDescent="0.35">
      <c r="AN614" s="132"/>
    </row>
    <row r="615" spans="40:40" ht="15.5" x14ac:dyDescent="0.35">
      <c r="AN615" s="132"/>
    </row>
    <row r="616" spans="40:40" ht="15.5" x14ac:dyDescent="0.35">
      <c r="AN616" s="132"/>
    </row>
    <row r="617" spans="40:40" ht="15.5" x14ac:dyDescent="0.35">
      <c r="AN617" s="132"/>
    </row>
    <row r="618" spans="40:40" ht="15.5" x14ac:dyDescent="0.35">
      <c r="AN618" s="132"/>
    </row>
    <row r="619" spans="40:40" ht="15.5" x14ac:dyDescent="0.35">
      <c r="AN619" s="132"/>
    </row>
    <row r="620" spans="40:40" ht="15.5" x14ac:dyDescent="0.35">
      <c r="AN620" s="132"/>
    </row>
    <row r="621" spans="40:40" ht="15.5" x14ac:dyDescent="0.35">
      <c r="AN621" s="132"/>
    </row>
    <row r="622" spans="40:40" ht="15.5" x14ac:dyDescent="0.35">
      <c r="AN622" s="132"/>
    </row>
    <row r="623" spans="40:40" ht="15.5" x14ac:dyDescent="0.35">
      <c r="AN623" s="132"/>
    </row>
    <row r="624" spans="40:40" ht="15.5" x14ac:dyDescent="0.35">
      <c r="AN624" s="132"/>
    </row>
    <row r="625" spans="40:40" ht="15.5" x14ac:dyDescent="0.35">
      <c r="AN625" s="132"/>
    </row>
    <row r="626" spans="40:40" ht="15.5" x14ac:dyDescent="0.35">
      <c r="AN626" s="132"/>
    </row>
    <row r="627" spans="40:40" ht="15.5" x14ac:dyDescent="0.35">
      <c r="AN627" s="132"/>
    </row>
    <row r="628" spans="40:40" ht="15.5" x14ac:dyDescent="0.35">
      <c r="AN628" s="132"/>
    </row>
    <row r="629" spans="40:40" ht="15.5" x14ac:dyDescent="0.35">
      <c r="AN629" s="132"/>
    </row>
    <row r="630" spans="40:40" ht="15.5" x14ac:dyDescent="0.35">
      <c r="AN630" s="132"/>
    </row>
    <row r="631" spans="40:40" ht="15.5" x14ac:dyDescent="0.35">
      <c r="AN631" s="132"/>
    </row>
    <row r="632" spans="40:40" ht="15.5" x14ac:dyDescent="0.35">
      <c r="AN632" s="132"/>
    </row>
    <row r="633" spans="40:40" ht="15.5" x14ac:dyDescent="0.35">
      <c r="AN633" s="132"/>
    </row>
    <row r="634" spans="40:40" ht="15.5" x14ac:dyDescent="0.35">
      <c r="AN634" s="132"/>
    </row>
    <row r="635" spans="40:40" ht="15.5" x14ac:dyDescent="0.35">
      <c r="AN635" s="132"/>
    </row>
    <row r="636" spans="40:40" ht="15.5" x14ac:dyDescent="0.35">
      <c r="AN636" s="132"/>
    </row>
    <row r="637" spans="40:40" ht="15.5" x14ac:dyDescent="0.35">
      <c r="AN637" s="132"/>
    </row>
    <row r="638" spans="40:40" ht="15.5" x14ac:dyDescent="0.35">
      <c r="AN638" s="132"/>
    </row>
    <row r="639" spans="40:40" ht="15.5" x14ac:dyDescent="0.35">
      <c r="AN639" s="132"/>
    </row>
    <row r="640" spans="40:40" ht="15.5" x14ac:dyDescent="0.35">
      <c r="AN640" s="132"/>
    </row>
    <row r="641" spans="40:40" ht="15.5" x14ac:dyDescent="0.35">
      <c r="AN641" s="132"/>
    </row>
    <row r="642" spans="40:40" ht="15.5" x14ac:dyDescent="0.35">
      <c r="AN642" s="132"/>
    </row>
    <row r="643" spans="40:40" ht="15.5" x14ac:dyDescent="0.35">
      <c r="AN643" s="132"/>
    </row>
    <row r="644" spans="40:40" ht="15.5" x14ac:dyDescent="0.35">
      <c r="AN644" s="132"/>
    </row>
    <row r="645" spans="40:40" ht="15.5" x14ac:dyDescent="0.35">
      <c r="AN645" s="132"/>
    </row>
    <row r="646" spans="40:40" ht="15.5" x14ac:dyDescent="0.35">
      <c r="AN646" s="132"/>
    </row>
    <row r="647" spans="40:40" ht="15.5" x14ac:dyDescent="0.35">
      <c r="AN647" s="132"/>
    </row>
    <row r="648" spans="40:40" ht="15.5" x14ac:dyDescent="0.35">
      <c r="AN648" s="132"/>
    </row>
    <row r="649" spans="40:40" ht="15.5" x14ac:dyDescent="0.35">
      <c r="AN649" s="132"/>
    </row>
    <row r="650" spans="40:40" ht="15.5" x14ac:dyDescent="0.35">
      <c r="AN650" s="132"/>
    </row>
    <row r="651" spans="40:40" ht="15.5" x14ac:dyDescent="0.35">
      <c r="AN651" s="132"/>
    </row>
    <row r="652" spans="40:40" ht="15.5" x14ac:dyDescent="0.35">
      <c r="AN652" s="132"/>
    </row>
    <row r="653" spans="40:40" ht="15.5" x14ac:dyDescent="0.35">
      <c r="AN653" s="132"/>
    </row>
    <row r="654" spans="40:40" ht="15.5" x14ac:dyDescent="0.35">
      <c r="AN654" s="132"/>
    </row>
    <row r="655" spans="40:40" ht="15.5" x14ac:dyDescent="0.35">
      <c r="AN655" s="132"/>
    </row>
    <row r="656" spans="40:40" ht="15.5" x14ac:dyDescent="0.35">
      <c r="AN656" s="132"/>
    </row>
    <row r="657" spans="40:40" ht="15.5" x14ac:dyDescent="0.35">
      <c r="AN657" s="132"/>
    </row>
    <row r="658" spans="40:40" ht="15.5" x14ac:dyDescent="0.35">
      <c r="AN658" s="132"/>
    </row>
    <row r="659" spans="40:40" ht="15.5" x14ac:dyDescent="0.35">
      <c r="AN659" s="132"/>
    </row>
    <row r="660" spans="40:40" ht="15.5" x14ac:dyDescent="0.35">
      <c r="AN660" s="132"/>
    </row>
    <row r="661" spans="40:40" ht="15.5" x14ac:dyDescent="0.35">
      <c r="AN661" s="132"/>
    </row>
    <row r="662" spans="40:40" ht="15.5" x14ac:dyDescent="0.35">
      <c r="AN662" s="132"/>
    </row>
    <row r="663" spans="40:40" ht="15.5" x14ac:dyDescent="0.35">
      <c r="AN663" s="132"/>
    </row>
    <row r="664" spans="40:40" ht="15.5" x14ac:dyDescent="0.35">
      <c r="AN664" s="132"/>
    </row>
    <row r="665" spans="40:40" ht="15.5" x14ac:dyDescent="0.35">
      <c r="AN665" s="132"/>
    </row>
    <row r="666" spans="40:40" ht="15.5" x14ac:dyDescent="0.35">
      <c r="AN666" s="132"/>
    </row>
    <row r="667" spans="40:40" ht="15.5" x14ac:dyDescent="0.35">
      <c r="AN667" s="132"/>
    </row>
    <row r="668" spans="40:40" ht="15.5" x14ac:dyDescent="0.35">
      <c r="AN668" s="132"/>
    </row>
    <row r="669" spans="40:40" ht="15.5" x14ac:dyDescent="0.35">
      <c r="AN669" s="132"/>
    </row>
    <row r="670" spans="40:40" ht="15.5" x14ac:dyDescent="0.35">
      <c r="AN670" s="132"/>
    </row>
    <row r="671" spans="40:40" ht="15.5" x14ac:dyDescent="0.35">
      <c r="AN671" s="132"/>
    </row>
    <row r="672" spans="40:40" ht="15.5" x14ac:dyDescent="0.35">
      <c r="AN672" s="132"/>
    </row>
    <row r="673" spans="40:40" ht="15.5" x14ac:dyDescent="0.35">
      <c r="AN673" s="132"/>
    </row>
    <row r="674" spans="40:40" ht="15.5" x14ac:dyDescent="0.35">
      <c r="AN674" s="132"/>
    </row>
    <row r="675" spans="40:40" ht="15.5" x14ac:dyDescent="0.35">
      <c r="AN675" s="132"/>
    </row>
    <row r="676" spans="40:40" ht="15.5" x14ac:dyDescent="0.35">
      <c r="AN676" s="132"/>
    </row>
    <row r="677" spans="40:40" ht="15.5" x14ac:dyDescent="0.35">
      <c r="AN677" s="132"/>
    </row>
    <row r="678" spans="40:40" ht="15.5" x14ac:dyDescent="0.35">
      <c r="AN678" s="132"/>
    </row>
    <row r="679" spans="40:40" ht="15.5" x14ac:dyDescent="0.35">
      <c r="AN679" s="132"/>
    </row>
    <row r="680" spans="40:40" ht="15.5" x14ac:dyDescent="0.35">
      <c r="AN680" s="132"/>
    </row>
    <row r="681" spans="40:40" ht="15.5" x14ac:dyDescent="0.35">
      <c r="AN681" s="132"/>
    </row>
    <row r="682" spans="40:40" ht="15.5" x14ac:dyDescent="0.35">
      <c r="AN682" s="132"/>
    </row>
    <row r="683" spans="40:40" ht="15.5" x14ac:dyDescent="0.35">
      <c r="AN683" s="132"/>
    </row>
    <row r="684" spans="40:40" ht="15.5" x14ac:dyDescent="0.35">
      <c r="AN684" s="132"/>
    </row>
    <row r="685" spans="40:40" ht="15.5" x14ac:dyDescent="0.35">
      <c r="AN685" s="132"/>
    </row>
    <row r="686" spans="40:40" ht="15.5" x14ac:dyDescent="0.35">
      <c r="AN686" s="132"/>
    </row>
    <row r="687" spans="40:40" ht="15.5" x14ac:dyDescent="0.35">
      <c r="AN687" s="132"/>
    </row>
    <row r="688" spans="40:40" ht="15.5" x14ac:dyDescent="0.35">
      <c r="AN688" s="132"/>
    </row>
    <row r="689" spans="40:40" ht="15.5" x14ac:dyDescent="0.35">
      <c r="AN689" s="132"/>
    </row>
    <row r="690" spans="40:40" ht="15.5" x14ac:dyDescent="0.35">
      <c r="AN690" s="132"/>
    </row>
    <row r="691" spans="40:40" ht="15.5" x14ac:dyDescent="0.35">
      <c r="AN691" s="132"/>
    </row>
    <row r="692" spans="40:40" ht="15.5" x14ac:dyDescent="0.35">
      <c r="AN692" s="132"/>
    </row>
    <row r="693" spans="40:40" ht="15.5" x14ac:dyDescent="0.35">
      <c r="AN693" s="132"/>
    </row>
    <row r="694" spans="40:40" ht="15.5" x14ac:dyDescent="0.35">
      <c r="AN694" s="132"/>
    </row>
    <row r="695" spans="40:40" ht="15.5" x14ac:dyDescent="0.35">
      <c r="AN695" s="132"/>
    </row>
    <row r="696" spans="40:40" ht="15.5" x14ac:dyDescent="0.35">
      <c r="AN696" s="132"/>
    </row>
    <row r="697" spans="40:40" ht="15.5" x14ac:dyDescent="0.35">
      <c r="AN697" s="132"/>
    </row>
    <row r="698" spans="40:40" ht="15.5" x14ac:dyDescent="0.35">
      <c r="AN698" s="132"/>
    </row>
    <row r="699" spans="40:40" ht="15.5" x14ac:dyDescent="0.35">
      <c r="AN699" s="132"/>
    </row>
    <row r="700" spans="40:40" ht="15.75" customHeight="1" x14ac:dyDescent="0.35"/>
    <row r="701" spans="40:40" ht="15.75" customHeight="1" x14ac:dyDescent="0.35"/>
    <row r="702" spans="40:40" ht="15.75" customHeight="1" x14ac:dyDescent="0.35"/>
    <row r="703" spans="40:40" ht="15.75" customHeight="1" x14ac:dyDescent="0.35"/>
    <row r="704" spans="40:40" ht="15.75" customHeight="1" x14ac:dyDescent="0.35"/>
    <row r="705" ht="15.75" customHeight="1" x14ac:dyDescent="0.35"/>
  </sheetData>
  <mergeCells count="31">
    <mergeCell ref="B422:J422"/>
    <mergeCell ref="AO36:AX36"/>
    <mergeCell ref="B410:E410"/>
    <mergeCell ref="H410:K410"/>
    <mergeCell ref="H416:K416"/>
    <mergeCell ref="B420:J420"/>
    <mergeCell ref="B421:J421"/>
    <mergeCell ref="T36:W36"/>
    <mergeCell ref="C27:H27"/>
    <mergeCell ref="C28:H28"/>
    <mergeCell ref="C29:H29"/>
    <mergeCell ref="C30:H30"/>
    <mergeCell ref="N36:Q36"/>
    <mergeCell ref="C26:H26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9:F9"/>
    <mergeCell ref="H2:J2"/>
    <mergeCell ref="C3:F3"/>
    <mergeCell ref="H3:J3"/>
    <mergeCell ref="C6:D6"/>
    <mergeCell ref="F6:G6"/>
  </mergeCells>
  <dataValidations count="8">
    <dataValidation type="list" allowBlank="1" showInputMessage="1" showErrorMessage="1" sqref="J6" xr:uid="{E78AB356-93A9-4C70-A0ED-607F19F9825C}">
      <formula1>"PRICE - FIXA, PRICE - PÓS-FIXADA, SAC - FIXA, SAC - PÓS-FIXADA"</formula1>
    </dataValidation>
    <dataValidation type="whole" allowBlank="1" showInputMessage="1" showErrorMessage="1" errorTitle="Prazo não Permitido" error="** Prazo da operação fora da Politica ** _x000a__x000a_Favor checar Política da Instituição Financeira_x000a_" promptTitle="Prazo Mínimo e Prazo Máximo" prompt="Prazo mínimo permitido 36 meses e prazo máximo de 180 meses para operações sistema de amortização Price" sqref="I6" xr:uid="{1AE8768A-4C3E-400A-9743-A3883B3F736E}">
      <formula1>36</formula1>
      <formula2>360</formula2>
    </dataValidation>
    <dataValidation type="whole" operator="greaterThanOrEqual" allowBlank="1" showInputMessage="1" showErrorMessage="1" errorTitle="Valor não Permitido" error="** Valor mínimo de Crédito não Permitido **_x000a__x000a_Favor checar política da instituição" promptTitle="Valor Mínimo de Crédito Bruto" prompt="Valor Mínimo de Crédito Bruto é de R$ 50mil" sqref="C6:D6" xr:uid="{5865706A-CA51-47A2-8742-2BB5F9B8B11A}">
      <formula1>50000</formula1>
    </dataValidation>
    <dataValidation type="whole" operator="greaterThanOrEqual" allowBlank="1" showInputMessage="1" showErrorMessage="1" errorTitle="Valor não Permitido" error="** Valor Mínimo do imóvel oferecido em garantia fora da Política ** _x000a__x000a_Favor checar Política da Instituição Financeira_x000a__x000a_" promptTitle="Valor Mínimo de Imóvel" prompt="Valor mínimo de Imóvel R$ 250mil" sqref="F6:G6" xr:uid="{A9E522C7-BE61-4CE3-9AD9-8A7A3E3122F4}">
      <formula1>250000</formula1>
    </dataValidation>
    <dataValidation type="list" allowBlank="1" showInputMessage="1" showErrorMessage="1" sqref="C3:F3" xr:uid="{B58D7E90-372F-441A-A420-94C5CBED358C}">
      <formula1>"Crédito Com Garantia de Imóvel - CGI, Financiamento Imobiliário - FI, Terreno Com Construção Concluída - TCC"</formula1>
    </dataValidation>
    <dataValidation type="list" allowBlank="1" showInputMessage="1" showErrorMessage="1" sqref="H3" xr:uid="{F264CE6F-21A6-4C43-9D31-CEA31614ACD1}">
      <formula1>"Apartamento, Casa, Sala Comercial, Loja Comercial,"</formula1>
    </dataValidation>
    <dataValidation type="list" allowBlank="1" showInputMessage="1" showErrorMessage="1" sqref="S59 S68" xr:uid="{362AC672-70B4-405E-8F0C-AB9DED6D1BB8}">
      <formula1>"CGI, FCTO-AQUIS"</formula1>
    </dataValidation>
    <dataValidation type="list" allowBlank="1" showInputMessage="1" showErrorMessage="1" sqref="S60:S66 S69:S75" xr:uid="{6D8BA692-42AB-4C96-BB05-7047AA0BD1D9}">
      <formula1>"1 - RESIDENCIAL - CASA,2 - RESIDENCIAL - APARTAMENTO,3 - COMERCIAL - LOJA,4 - COMERCIAL - SALA COMERCIAL,5 - MISTO - COMERCIAL / RESIDENCIAL,6 - IMOVEL VERANEIO,7 - TERRENO + CONSTRUÇÃO CONCLUÍDA"</formula1>
    </dataValidation>
  </dataValidations>
  <pageMargins left="0.23622047244094491" right="0.23622047244094491" top="0.74803149606299213" bottom="0.74803149606299213" header="0.31496062992125984" footer="0.31496062992125984"/>
  <pageSetup paperSize="9" scale="38" fitToWidth="0" fitToHeight="0" orientation="portrait" horizontalDpi="4294967295" verticalDpi="4294967295" r:id="rId1"/>
  <headerFooter>
    <oddHeader>&amp;C&amp;G</oddHeader>
    <oddFooter>&amp;L&amp;D - &amp;T&amp;Cdaycovalimovel.com.br&amp;R&amp;P -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3622C-4E87-4DA5-9C19-BF88F69F563A}">
  <sheetPr codeName="Planilha11">
    <pageSetUpPr fitToPage="1"/>
  </sheetPr>
  <dimension ref="A1:XFC707"/>
  <sheetViews>
    <sheetView tabSelected="1" topLeftCell="C1" zoomScaleNormal="100" zoomScalePageLayoutView="70" workbookViewId="0">
      <selection activeCell="I9" sqref="I9"/>
    </sheetView>
  </sheetViews>
  <sheetFormatPr defaultColWidth="0" defaultRowHeight="0" customHeight="1" zeroHeight="1" x14ac:dyDescent="0.35"/>
  <cols>
    <col min="1" max="1" width="16.453125" style="10" hidden="1" customWidth="1"/>
    <col min="2" max="2" width="5.81640625" style="10" customWidth="1"/>
    <col min="3" max="3" width="14.453125" style="128" customWidth="1"/>
    <col min="4" max="4" width="17.453125" style="129" customWidth="1"/>
    <col min="5" max="5" width="16" style="10" customWidth="1"/>
    <col min="6" max="6" width="20.26953125" style="10" customWidth="1"/>
    <col min="7" max="7" width="17" style="10" customWidth="1"/>
    <col min="8" max="8" width="18" style="10" customWidth="1"/>
    <col min="9" max="9" width="19.7265625" style="10" customWidth="1"/>
    <col min="10" max="10" width="23.54296875" style="10" customWidth="1"/>
    <col min="11" max="11" width="21.26953125" style="10" customWidth="1"/>
    <col min="12" max="12" width="17.1796875" style="10" customWidth="1"/>
    <col min="13" max="13" width="1.26953125" style="10" customWidth="1"/>
    <col min="14" max="14" width="10.26953125" style="10" customWidth="1"/>
    <col min="15" max="15" width="1.26953125" style="10" customWidth="1"/>
    <col min="16" max="16383" width="17.1796875" style="10" hidden="1"/>
    <col min="16384" max="16384" width="14.81640625" style="10" hidden="1"/>
  </cols>
  <sheetData>
    <row r="1" spans="1:21" ht="15.5" x14ac:dyDescent="0.35">
      <c r="A1" s="2"/>
      <c r="B1" s="1"/>
      <c r="C1" s="2"/>
      <c r="D1" s="3"/>
      <c r="E1" s="4"/>
      <c r="F1" s="4"/>
      <c r="G1" s="5"/>
      <c r="H1" s="4"/>
      <c r="I1" s="6"/>
      <c r="J1" s="4"/>
      <c r="K1" s="7"/>
      <c r="L1" s="8"/>
      <c r="M1" s="2"/>
      <c r="N1" s="2"/>
      <c r="O1" s="12"/>
    </row>
    <row r="2" spans="1:21" ht="15.5" x14ac:dyDescent="0.35">
      <c r="A2" s="2"/>
      <c r="B2" s="1"/>
      <c r="C2" s="2"/>
      <c r="D2" s="11" t="s">
        <v>0</v>
      </c>
      <c r="E2" s="11"/>
      <c r="F2" s="11"/>
      <c r="G2" s="5"/>
      <c r="H2" s="12"/>
      <c r="I2" s="253" t="s">
        <v>1</v>
      </c>
      <c r="J2" s="253"/>
      <c r="K2" s="253"/>
      <c r="L2" s="8"/>
      <c r="M2" s="2"/>
      <c r="N2" s="2"/>
      <c r="O2" s="12"/>
    </row>
    <row r="3" spans="1:21" ht="29.25" customHeight="1" x14ac:dyDescent="0.35">
      <c r="A3" s="1"/>
      <c r="B3" s="2"/>
      <c r="C3" s="2"/>
      <c r="D3" s="268" t="s">
        <v>104</v>
      </c>
      <c r="E3" s="268"/>
      <c r="F3" s="268"/>
      <c r="G3" s="268"/>
      <c r="H3" s="12"/>
      <c r="I3" s="269" t="s">
        <v>403</v>
      </c>
      <c r="J3" s="269"/>
      <c r="K3" s="269"/>
      <c r="L3" s="8"/>
      <c r="M3" s="12"/>
      <c r="N3" s="12"/>
      <c r="O3" s="12"/>
      <c r="P3" s="18"/>
      <c r="Q3" s="18"/>
      <c r="R3" s="18"/>
      <c r="S3" s="18"/>
      <c r="T3" s="18"/>
      <c r="U3" s="18"/>
    </row>
    <row r="4" spans="1:21" ht="6" customHeight="1" x14ac:dyDescent="0.35">
      <c r="A4" s="2"/>
      <c r="B4" s="1"/>
      <c r="C4" s="2"/>
      <c r="D4" s="3"/>
      <c r="E4" s="4"/>
      <c r="F4" s="141"/>
      <c r="G4" s="5"/>
      <c r="H4" s="4"/>
      <c r="I4" s="6"/>
      <c r="J4" s="4"/>
      <c r="K4" s="7"/>
      <c r="L4" s="8"/>
      <c r="M4" s="12"/>
      <c r="N4" s="12"/>
      <c r="O4" s="12"/>
      <c r="P4" s="18"/>
      <c r="Q4" s="18"/>
      <c r="R4" s="18"/>
      <c r="S4" s="18"/>
      <c r="T4" s="18"/>
      <c r="U4" s="18"/>
    </row>
    <row r="5" spans="1:21" ht="15.5" x14ac:dyDescent="0.35">
      <c r="A5" s="2"/>
      <c r="B5" s="1"/>
      <c r="C5" s="2"/>
      <c r="D5" s="253" t="s">
        <v>3</v>
      </c>
      <c r="E5" s="253"/>
      <c r="F5" s="15"/>
      <c r="G5" s="253" t="s">
        <v>4</v>
      </c>
      <c r="H5" s="253"/>
      <c r="I5" s="13" t="s">
        <v>5</v>
      </c>
      <c r="J5" s="13" t="s">
        <v>6</v>
      </c>
      <c r="K5" s="13" t="s">
        <v>7</v>
      </c>
      <c r="L5" s="8"/>
      <c r="M5" s="12"/>
      <c r="N5" s="12"/>
      <c r="O5" s="12"/>
      <c r="P5" s="18"/>
      <c r="Q5" s="18"/>
      <c r="R5" s="18"/>
      <c r="S5" s="18"/>
      <c r="T5" s="18"/>
      <c r="U5" s="18"/>
    </row>
    <row r="6" spans="1:21" ht="22.5" customHeight="1" x14ac:dyDescent="0.35">
      <c r="A6" s="2"/>
      <c r="B6" s="1"/>
      <c r="C6" s="2"/>
      <c r="D6" s="270">
        <v>1000000</v>
      </c>
      <c r="E6" s="270"/>
      <c r="F6" s="5"/>
      <c r="G6" s="270">
        <v>3000000</v>
      </c>
      <c r="H6" s="270"/>
      <c r="I6" s="171">
        <f>IFERROR(D6/G6,"")</f>
        <v>0.33333333333333331</v>
      </c>
      <c r="J6" s="169">
        <v>240</v>
      </c>
      <c r="K6" s="176" t="s">
        <v>372</v>
      </c>
      <c r="L6" s="8"/>
      <c r="M6" s="12"/>
      <c r="N6" s="12"/>
      <c r="O6" s="12"/>
      <c r="P6" s="18"/>
      <c r="Q6" s="18"/>
      <c r="R6" s="18"/>
      <c r="S6" s="18"/>
      <c r="T6" s="18"/>
      <c r="U6" s="18"/>
    </row>
    <row r="7" spans="1:21" ht="6" customHeight="1" x14ac:dyDescent="0.35">
      <c r="A7" s="2"/>
      <c r="B7" s="1"/>
      <c r="C7" s="2"/>
      <c r="D7" s="3"/>
      <c r="E7" s="4"/>
      <c r="F7" s="4"/>
      <c r="G7" s="5"/>
      <c r="H7" s="4"/>
      <c r="I7" s="6"/>
      <c r="J7" s="4"/>
      <c r="K7" s="7"/>
      <c r="L7" s="8"/>
      <c r="M7" s="12"/>
      <c r="N7" s="12"/>
      <c r="O7" s="12"/>
      <c r="P7" s="18"/>
      <c r="Q7" s="18"/>
      <c r="R7" s="18"/>
      <c r="S7" s="18"/>
      <c r="T7" s="18"/>
      <c r="U7" s="18"/>
    </row>
    <row r="8" spans="1:21" ht="15.5" x14ac:dyDescent="0.35">
      <c r="A8" s="2"/>
      <c r="B8" s="1"/>
      <c r="C8" s="2"/>
      <c r="D8" s="11" t="s">
        <v>385</v>
      </c>
      <c r="E8" s="11"/>
      <c r="F8" s="11" t="s">
        <v>397</v>
      </c>
      <c r="G8" s="13"/>
      <c r="H8" s="8"/>
      <c r="I8" s="16" t="s">
        <v>9</v>
      </c>
      <c r="J8" s="16" t="s">
        <v>400</v>
      </c>
      <c r="K8" s="16" t="s">
        <v>368</v>
      </c>
      <c r="L8" s="8"/>
      <c r="M8" s="12"/>
      <c r="N8" s="12"/>
      <c r="O8" s="12"/>
      <c r="P8" s="18"/>
      <c r="Q8" s="18"/>
      <c r="R8" s="18"/>
      <c r="S8" s="18"/>
      <c r="T8" s="18"/>
      <c r="U8" s="18"/>
    </row>
    <row r="9" spans="1:21" ht="25.5" customHeight="1" x14ac:dyDescent="0.35">
      <c r="A9" s="2"/>
      <c r="B9" s="1"/>
      <c r="C9" s="2"/>
      <c r="D9" s="198">
        <v>3</v>
      </c>
      <c r="E9" s="8"/>
      <c r="F9" s="278" t="s">
        <v>401</v>
      </c>
      <c r="G9" s="279"/>
      <c r="H9" s="279"/>
      <c r="I9" s="244">
        <v>27368</v>
      </c>
      <c r="J9" s="176" t="s">
        <v>402</v>
      </c>
      <c r="K9" s="170">
        <f>IF(D9&gt;0,VLOOKUP(D9+1,B58:K299,10,0)/36%,VLOOKUP(D9+1,B58:K299,10,0)/36%)</f>
        <v>39915.198527213819</v>
      </c>
      <c r="L9" s="249"/>
      <c r="M9" s="12"/>
      <c r="N9" s="12"/>
      <c r="O9" s="12"/>
      <c r="P9" s="18"/>
      <c r="Q9" s="18"/>
      <c r="R9" s="18"/>
      <c r="S9" s="18"/>
      <c r="T9" s="18"/>
      <c r="U9" s="18"/>
    </row>
    <row r="10" spans="1:21" ht="6" customHeight="1" x14ac:dyDescent="0.35">
      <c r="A10" s="2"/>
      <c r="B10" s="1"/>
      <c r="C10" s="2"/>
      <c r="D10" s="3"/>
      <c r="E10" s="4"/>
      <c r="F10" s="4"/>
      <c r="G10" s="5"/>
      <c r="H10" s="4"/>
      <c r="I10" s="6"/>
      <c r="J10" s="4"/>
      <c r="K10" s="7"/>
      <c r="L10" s="8"/>
      <c r="M10" s="12"/>
      <c r="N10" s="12"/>
      <c r="O10" s="12"/>
      <c r="P10" s="18"/>
      <c r="Q10" s="18"/>
      <c r="R10" s="18"/>
      <c r="S10" s="18"/>
      <c r="T10" s="18"/>
      <c r="U10" s="18"/>
    </row>
    <row r="11" spans="1:21" ht="15.5" hidden="1" x14ac:dyDescent="0.35">
      <c r="A11" s="2"/>
      <c r="B11" s="1"/>
      <c r="C11" s="2"/>
      <c r="D11" s="8"/>
      <c r="E11" s="8"/>
      <c r="F11" s="8"/>
      <c r="G11" s="8"/>
      <c r="H11" s="8"/>
      <c r="I11" s="8"/>
      <c r="J11" s="8"/>
      <c r="K11" s="8"/>
      <c r="L11" s="8"/>
      <c r="M11" s="12"/>
      <c r="N11" s="12"/>
      <c r="O11" s="12"/>
      <c r="P11" s="18"/>
      <c r="Q11" s="18"/>
      <c r="R11" s="18"/>
      <c r="S11" s="18"/>
      <c r="T11" s="18"/>
      <c r="U11" s="18"/>
    </row>
    <row r="12" spans="1:21" ht="25.5" hidden="1" customHeight="1" x14ac:dyDescent="0.35">
      <c r="A12" s="2"/>
      <c r="B12" s="1"/>
      <c r="C12" s="2"/>
      <c r="D12" s="8"/>
      <c r="E12" s="8"/>
      <c r="F12" s="8"/>
      <c r="G12" s="8"/>
      <c r="H12" s="8"/>
      <c r="I12" s="8"/>
      <c r="J12" s="8"/>
      <c r="K12" s="8"/>
      <c r="L12" s="8"/>
      <c r="M12" s="12"/>
      <c r="N12" s="12"/>
      <c r="O12" s="12"/>
      <c r="P12" s="18"/>
      <c r="Q12" s="18"/>
      <c r="R12" s="18"/>
      <c r="S12" s="18"/>
      <c r="T12" s="18"/>
      <c r="U12" s="18"/>
    </row>
    <row r="13" spans="1:21" ht="5.25" hidden="1" customHeight="1" x14ac:dyDescent="0.35">
      <c r="A13" s="2"/>
      <c r="B13" s="1"/>
      <c r="C13" s="2"/>
      <c r="D13" s="15"/>
      <c r="E13" s="15"/>
      <c r="F13" s="15"/>
      <c r="G13" s="5"/>
      <c r="H13" s="12"/>
      <c r="I13" s="6"/>
      <c r="J13" s="4"/>
      <c r="K13" s="19"/>
      <c r="L13" s="8"/>
      <c r="M13" s="12"/>
      <c r="N13" s="12"/>
      <c r="O13" s="12"/>
    </row>
    <row r="14" spans="1:21" ht="15.5" hidden="1" x14ac:dyDescent="0.35">
      <c r="A14" s="2"/>
      <c r="B14" s="1"/>
      <c r="C14" s="2"/>
      <c r="D14" s="273" t="str">
        <f>IF(J16="","LTV Máximo ou Condição de Negócio fora da Politica de Crédito da Instuição Financeira","")</f>
        <v/>
      </c>
      <c r="E14" s="273"/>
      <c r="F14" s="273"/>
      <c r="G14" s="273"/>
      <c r="H14" s="273"/>
      <c r="I14" s="273"/>
      <c r="J14" s="273"/>
      <c r="K14" s="273"/>
      <c r="L14" s="8"/>
      <c r="M14" s="12"/>
      <c r="N14" s="12"/>
      <c r="O14" s="12"/>
    </row>
    <row r="15" spans="1:21" ht="15.5" x14ac:dyDescent="0.35">
      <c r="A15" s="2"/>
      <c r="B15" s="1"/>
      <c r="C15" s="2"/>
      <c r="D15" s="14" t="s">
        <v>384</v>
      </c>
      <c r="E15" s="14"/>
      <c r="F15" s="15"/>
      <c r="G15" s="5"/>
      <c r="H15" s="12"/>
      <c r="I15" s="6"/>
      <c r="J15" s="4"/>
      <c r="K15" s="16" t="s">
        <v>13</v>
      </c>
      <c r="L15" s="8"/>
      <c r="M15" s="12"/>
      <c r="N15" s="12"/>
      <c r="O15" s="12"/>
    </row>
    <row r="16" spans="1:21" ht="15.5" x14ac:dyDescent="0.35">
      <c r="A16" s="2"/>
      <c r="B16" s="1"/>
      <c r="C16" s="2"/>
      <c r="D16" s="20" t="s">
        <v>14</v>
      </c>
      <c r="E16" s="21"/>
      <c r="F16" s="21"/>
      <c r="G16" s="22"/>
      <c r="H16" s="23"/>
      <c r="I16" s="24"/>
      <c r="J16" s="25">
        <f>IF(
I9="","",VALOR_CREDITO_BRUTO)</f>
        <v>1000000</v>
      </c>
      <c r="K16" s="26" t="s">
        <v>15</v>
      </c>
      <c r="L16" s="12"/>
      <c r="M16" s="12"/>
      <c r="N16" s="12"/>
      <c r="O16" s="12"/>
      <c r="P16" s="121" t="s">
        <v>5</v>
      </c>
      <c r="Q16" s="121" t="s">
        <v>380</v>
      </c>
      <c r="R16" s="174">
        <v>0.6</v>
      </c>
      <c r="S16" s="174">
        <v>0.7</v>
      </c>
    </row>
    <row r="17" spans="1:19" ht="15.5" x14ac:dyDescent="0.35">
      <c r="A17" s="2"/>
      <c r="B17" s="1"/>
      <c r="C17" s="2"/>
      <c r="D17" s="257" t="s">
        <v>16</v>
      </c>
      <c r="E17" s="258"/>
      <c r="F17" s="258"/>
      <c r="G17" s="258"/>
      <c r="H17" s="258"/>
      <c r="I17" s="258"/>
      <c r="J17" s="27">
        <f>IF(J16="","",G6)</f>
        <v>3000000</v>
      </c>
      <c r="K17" s="28"/>
      <c r="L17" s="12"/>
      <c r="M17" s="12"/>
      <c r="N17" s="12"/>
      <c r="O17" s="12"/>
      <c r="P17" s="182" t="s">
        <v>372</v>
      </c>
      <c r="Q17" s="173">
        <v>1.09E-2</v>
      </c>
      <c r="R17" s="173">
        <v>1.09E-2</v>
      </c>
      <c r="S17" s="173">
        <v>1.09E-2</v>
      </c>
    </row>
    <row r="18" spans="1:19" ht="15.5" x14ac:dyDescent="0.35">
      <c r="A18" s="2"/>
      <c r="B18" s="1"/>
      <c r="C18" s="2"/>
      <c r="D18" s="257" t="s">
        <v>17</v>
      </c>
      <c r="E18" s="258"/>
      <c r="F18" s="258"/>
      <c r="G18" s="258"/>
      <c r="H18" s="258"/>
      <c r="I18" s="258"/>
      <c r="J18" s="27">
        <f>IF(J16="","",IF(J6="",0,3980+3450))</f>
        <v>7430</v>
      </c>
      <c r="K18" s="29">
        <f>IFERROR(IF(J6="",0,J18/J16),"")</f>
        <v>7.43E-3</v>
      </c>
      <c r="L18" s="12"/>
      <c r="M18" s="12"/>
      <c r="N18" s="12"/>
      <c r="O18" s="12"/>
      <c r="P18" s="182" t="s">
        <v>373</v>
      </c>
      <c r="Q18" s="173">
        <v>1.09E-2</v>
      </c>
      <c r="R18" s="173">
        <v>1.09E-2</v>
      </c>
      <c r="S18" s="173">
        <v>1.09E-2</v>
      </c>
    </row>
    <row r="19" spans="1:19" ht="15.5" x14ac:dyDescent="0.35">
      <c r="A19" s="2"/>
      <c r="B19" s="1"/>
      <c r="C19" s="2"/>
      <c r="D19" s="257" t="s">
        <v>382</v>
      </c>
      <c r="E19" s="258"/>
      <c r="F19" s="258"/>
      <c r="G19" s="258"/>
      <c r="H19" s="258"/>
      <c r="I19" s="258"/>
      <c r="J19" s="27">
        <v>0</v>
      </c>
      <c r="K19" s="29">
        <f>IF(J16="","",IFERROR(J19/J16,0))</f>
        <v>0</v>
      </c>
      <c r="L19" s="245"/>
      <c r="M19" s="12"/>
      <c r="N19" s="12"/>
      <c r="O19" s="12"/>
      <c r="P19" s="182" t="s">
        <v>372</v>
      </c>
      <c r="Q19" s="173">
        <v>9.9000000000000008E-3</v>
      </c>
      <c r="R19" s="173">
        <v>9.9000000000000008E-3</v>
      </c>
      <c r="S19" s="173">
        <v>9.9000000000000008E-3</v>
      </c>
    </row>
    <row r="20" spans="1:19" ht="15.5" x14ac:dyDescent="0.35">
      <c r="A20" s="2"/>
      <c r="B20" s="1"/>
      <c r="C20" s="2"/>
      <c r="D20" s="271" t="s">
        <v>19</v>
      </c>
      <c r="E20" s="272"/>
      <c r="F20" s="272"/>
      <c r="G20" s="272"/>
      <c r="H20" s="272"/>
      <c r="I20" s="272"/>
      <c r="J20" s="238">
        <f>IFERROR(J16-J18-J19,"")</f>
        <v>992570</v>
      </c>
      <c r="K20" s="29">
        <f>IF(J16="","",IFERROR(J20/J16,0))</f>
        <v>0.99256999999999995</v>
      </c>
      <c r="L20" s="12"/>
      <c r="M20" s="12"/>
      <c r="N20" s="12"/>
      <c r="O20" s="12"/>
      <c r="P20" s="182" t="s">
        <v>373</v>
      </c>
      <c r="Q20" s="173">
        <v>9.9000000000000008E-3</v>
      </c>
      <c r="R20" s="173">
        <v>9.9000000000000008E-3</v>
      </c>
      <c r="S20" s="173">
        <v>9.9000000000000008E-3</v>
      </c>
    </row>
    <row r="21" spans="1:19" ht="15.5" x14ac:dyDescent="0.35">
      <c r="A21" s="2"/>
      <c r="B21" s="1"/>
      <c r="C21" s="2"/>
      <c r="D21" s="200" t="s">
        <v>20</v>
      </c>
      <c r="E21" s="201"/>
      <c r="F21" s="201"/>
      <c r="G21" s="201"/>
      <c r="H21" s="201"/>
      <c r="I21" s="201"/>
      <c r="J21" s="32">
        <f>IF(J16="","",J6)</f>
        <v>240</v>
      </c>
      <c r="K21" s="33"/>
      <c r="L21" s="12"/>
      <c r="M21" s="12"/>
      <c r="N21" s="12"/>
      <c r="O21" s="12"/>
      <c r="P21" s="175" t="s">
        <v>104</v>
      </c>
    </row>
    <row r="22" spans="1:19" ht="15.5" x14ac:dyDescent="0.35">
      <c r="A22" s="2"/>
      <c r="B22" s="1"/>
      <c r="C22" s="2"/>
      <c r="D22" s="204" t="s">
        <v>24</v>
      </c>
      <c r="E22" s="205"/>
      <c r="F22" s="205"/>
      <c r="G22" s="205"/>
      <c r="H22" s="205"/>
      <c r="I22" s="205"/>
      <c r="J22" s="239">
        <v>1.29E-2</v>
      </c>
      <c r="K22" s="38"/>
      <c r="L22" s="12"/>
      <c r="M22" s="12"/>
      <c r="N22" s="12"/>
      <c r="O22" s="12"/>
      <c r="P22" s="175" t="s">
        <v>379</v>
      </c>
    </row>
    <row r="23" spans="1:19" ht="15.5" x14ac:dyDescent="0.35">
      <c r="A23" s="2"/>
      <c r="B23" s="1"/>
      <c r="C23" s="2"/>
      <c r="D23" s="200" t="s">
        <v>23</v>
      </c>
      <c r="E23" s="201"/>
      <c r="F23" s="201"/>
      <c r="G23" s="201"/>
      <c r="H23" s="201"/>
      <c r="I23" s="201"/>
      <c r="J23" s="34">
        <f>IFERROR(J22*12,"")</f>
        <v>0.15479999999999999</v>
      </c>
      <c r="K23" s="33"/>
      <c r="L23" s="12"/>
      <c r="M23" s="12"/>
      <c r="N23" s="12"/>
      <c r="O23" s="12"/>
      <c r="P23" s="175" t="s">
        <v>381</v>
      </c>
    </row>
    <row r="24" spans="1:19" ht="15.5" hidden="1" x14ac:dyDescent="0.35">
      <c r="A24" s="2"/>
      <c r="B24" s="1"/>
      <c r="C24" s="2"/>
      <c r="D24" s="200" t="s">
        <v>22</v>
      </c>
      <c r="E24" s="201"/>
      <c r="F24" s="201"/>
      <c r="G24" s="201"/>
      <c r="H24" s="201"/>
      <c r="I24" s="201"/>
      <c r="J24" s="34"/>
      <c r="K24" s="246">
        <v>1.29E-2</v>
      </c>
      <c r="L24" s="12"/>
      <c r="M24" s="12"/>
      <c r="N24" s="12"/>
      <c r="O24" s="12"/>
      <c r="P24" s="175"/>
    </row>
    <row r="25" spans="1:19" ht="15.5" x14ac:dyDescent="0.35">
      <c r="A25" s="2"/>
      <c r="B25" s="1"/>
      <c r="C25" s="2"/>
      <c r="D25" s="257" t="s">
        <v>21</v>
      </c>
      <c r="E25" s="258"/>
      <c r="F25" s="258"/>
      <c r="G25" s="258"/>
      <c r="H25" s="258"/>
      <c r="I25" s="258"/>
      <c r="J25" s="34">
        <f>(1+(TAXA))^12-1</f>
        <v>0.16626932649468618</v>
      </c>
      <c r="K25" s="38"/>
      <c r="L25" s="12"/>
      <c r="M25" s="12"/>
      <c r="N25" s="12"/>
      <c r="O25" s="12"/>
      <c r="P25" s="175" t="s">
        <v>383</v>
      </c>
    </row>
    <row r="26" spans="1:19" ht="15.5" x14ac:dyDescent="0.35">
      <c r="A26" s="2"/>
      <c r="B26" s="1"/>
      <c r="C26" s="2"/>
      <c r="D26" s="257" t="s">
        <v>25</v>
      </c>
      <c r="E26" s="258"/>
      <c r="F26" s="258"/>
      <c r="G26" s="258"/>
      <c r="H26" s="258"/>
      <c r="I26" s="258"/>
      <c r="J26" s="39" t="str">
        <f>SISTEMA_AMORTIZAÇÃO</f>
        <v>PRICE</v>
      </c>
      <c r="K26" s="38"/>
      <c r="L26" s="12"/>
      <c r="M26" s="12"/>
      <c r="N26" s="12"/>
      <c r="O26" s="12"/>
    </row>
    <row r="27" spans="1:19" ht="15.5" x14ac:dyDescent="0.35">
      <c r="A27" s="2"/>
      <c r="B27" s="1"/>
      <c r="C27" s="2"/>
      <c r="D27" s="200" t="s">
        <v>26</v>
      </c>
      <c r="E27" s="237"/>
      <c r="F27" s="237"/>
      <c r="G27" s="237"/>
      <c r="H27" s="237"/>
      <c r="I27" s="237"/>
      <c r="J27" s="40">
        <f ca="1">VLOOKUP(B60,B58:C299,2,0)</f>
        <v>46086</v>
      </c>
      <c r="K27" s="33"/>
      <c r="L27" s="12"/>
      <c r="M27" s="12"/>
      <c r="N27" s="12"/>
      <c r="O27" s="12"/>
    </row>
    <row r="28" spans="1:19" ht="15.5" x14ac:dyDescent="0.35">
      <c r="A28" s="2"/>
      <c r="B28" s="1"/>
      <c r="C28" s="2"/>
      <c r="D28" s="41" t="s">
        <v>27</v>
      </c>
      <c r="E28" s="42"/>
      <c r="F28" s="42"/>
      <c r="G28" s="43"/>
      <c r="H28" s="44"/>
      <c r="I28" s="45"/>
      <c r="J28" s="40">
        <f ca="1">IFERROR(VLOOKUP(J21,B41:C428,2,0),"")</f>
        <v>53363</v>
      </c>
      <c r="K28" s="38"/>
      <c r="L28" s="12"/>
      <c r="M28" s="12"/>
      <c r="N28" s="12"/>
      <c r="O28" s="12"/>
    </row>
    <row r="29" spans="1:19" ht="15.5" x14ac:dyDescent="0.35">
      <c r="A29" s="2"/>
      <c r="B29" s="1"/>
      <c r="C29" s="2"/>
      <c r="D29" s="257" t="str">
        <f>IF(D9&gt;0,"Valor do prêmio de Seguro - 1ª Prestação (MIP + DFI)","Valor da Prestação (Amortização + Juros)")</f>
        <v>Valor do prêmio de Seguro - 1ª Prestação (MIP + DFI)</v>
      </c>
      <c r="E29" s="258"/>
      <c r="F29" s="258"/>
      <c r="G29" s="258"/>
      <c r="H29" s="258"/>
      <c r="I29" s="258"/>
      <c r="J29" s="27">
        <f>IF(D9&gt;0,SUM(I60:J60),IF(D9&gt;0,VLOOKUP(D9+1,$B$60:$H$72,7,0),IF(J16="","",IF(SISTEMA_AMORTIZAÇÃO=PRICE_PRE,(PMT(TAXA,PRAZO,VALOR_CREDITO_BRUTO)*-1),
IF(SISTEMA_AMORTIZAÇÃO=PRICE_POS,(PMT(TAXA,PRAZO,VALOR_CREDITO_BRUTO)*-1),
IF(SISTEMA_AMORTIZAÇÃO=SAC_PRE,(VALOR_CREDITO_BRUTO/PRAZO)+(VALOR_CREDITO_BRUTO*TAXA),
IF(SISTEMA_AMORTIZAÇÃO=SAC_POS,(VALOR_CREDITO_BRUTO/PRAZO)+(VALOR_CREDITO_BRUTO*TAXA))))))))</f>
        <v>564</v>
      </c>
      <c r="K29" s="248"/>
      <c r="L29" s="12"/>
      <c r="M29" s="12"/>
      <c r="N29" s="12"/>
      <c r="O29" s="12"/>
    </row>
    <row r="30" spans="1:19" ht="15.5" x14ac:dyDescent="0.3">
      <c r="A30" s="2"/>
      <c r="B30" s="1"/>
      <c r="C30" s="2"/>
      <c r="D30" s="204" t="str">
        <f>IF(D9&gt;0,"Valor Total da Prestação mensal - posterior ao período de carência (Amortização + Juros + MIP + DFI)","Valor Total da Prestação mensal (Amortização + Juros + MIP + DFI)")</f>
        <v>Valor Total da Prestação mensal - posterior ao período de carência (Amortização + Juros + MIP + DFI)</v>
      </c>
      <c r="E30" s="205"/>
      <c r="F30" s="205"/>
      <c r="G30" s="205"/>
      <c r="H30" s="205"/>
      <c r="I30" s="205"/>
      <c r="J30" s="238">
        <f>IF(D9&gt;0,VLOOKUP(D9+1,B60:K72,10,0),IF(J16="","",IFERROR(J29+J32+J33,0)))</f>
        <v>14369.471469796974</v>
      </c>
      <c r="K30" s="251" t="str">
        <f ca="1">IF(K31="","","Observação")</f>
        <v>Observação</v>
      </c>
      <c r="L30" s="12"/>
      <c r="M30" s="12"/>
      <c r="N30" s="12"/>
      <c r="O30" s="12"/>
      <c r="P30" s="175"/>
    </row>
    <row r="31" spans="1:19" ht="15.5" x14ac:dyDescent="0.35">
      <c r="A31" s="2"/>
      <c r="B31" s="1"/>
      <c r="C31" s="2"/>
      <c r="D31" s="41" t="str">
        <f>IF(D9&gt;0,"Data de Vencimento da 1ª Prestação mensal posterior periódo de Carência","Data de Vencimento da 1ª Prestação mensal sem Carência")</f>
        <v>Data de Vencimento da 1ª Prestação mensal posterior periódo de Carência</v>
      </c>
      <c r="E31" s="201"/>
      <c r="F31" s="201"/>
      <c r="G31" s="201"/>
      <c r="H31" s="201"/>
      <c r="I31" s="201"/>
      <c r="J31" s="40">
        <f ca="1">VLOOKUP(D9+1,B58:C299,2,0)</f>
        <v>46178</v>
      </c>
      <c r="K31" s="250" t="str">
        <f ca="1">IF(
I9="","Pendente data de Nascimento",
IF(
AND(
J9="Zurich",
((TODAY()-I9)/365.25)&gt;=65,
VALOR_CREDITO_BRUTO&gt;=4000000
),
"Necessário DPS",
IF(
AND(
J9="Zurich",
((TODAY()-I9)/365.25)&gt;65,
((TODAY()-I9)/365.25)&lt;=75,
VALOR_CREDITO_BRUTO&gt;=2500000
),
"Necessário DPS",
IF(
AND(
J9="Zurich",
((TODAY()-I9)/365.25)&gt;75,
VALOR_CREDITO_BRUTO&gt;=1000000
),
"Necessário DPS",
IF(
AND(
J9="Zurich",
VALOR_CREDITO_BRUTO&gt;4000000
),
"Necessário DPS",
IF(
AND(
J9="Excelsior",
OR(
VALOR_ESTIMADO_IMÓVEL&gt;2300000,
VALOR_CREDITO_BRUTO&gt;2300000
)
),
"Máximo permitido é de R$ 2.3MM",
IF(
AND(
((TODAY()-I9)/365.25)&gt;=55,
J9="Excelsior",
OR(
VALOR_CREDITO_BRUTO&gt;=1000000,
VALOR_ESTIMADO_IMÓVEL&gt;=1000000
)
),
"Necessário DPS",
IF(
AND(
((TODAY()-I9)/365.25)&gt;=55,
J9="Excelsior",
OR(
VALOR_ESTIMADO_IMÓVEL&gt;2300000,
VALOR_CREDITO_BRUTO&gt;2300000
)
),
"Necessário DPS e Máximo permitido é de R$ 2.3MM",
IF(
AND(
((TODAY()-I9)/365.25)&lt;55,
J9="Excelsior",
VALOR_CREDITO_BRUTO&lt;1000000,
VALOR_ESTIMADO_IMÓVEL&lt;=1000000
),
"",
""
)
)
)
)
)
)
)
))</f>
        <v>Máximo permitido é de R$ 2.3MM</v>
      </c>
      <c r="L31" s="247"/>
      <c r="M31" s="12"/>
      <c r="N31" s="12"/>
      <c r="O31" s="12"/>
    </row>
    <row r="32" spans="1:19" ht="15.5" x14ac:dyDescent="0.35">
      <c r="A32" s="2"/>
      <c r="B32" s="1"/>
      <c r="C32" s="2"/>
      <c r="D32" s="257" t="str">
        <f>IF(D9&gt;0,"Valor do Prêmio de Seguro MIP (Morte e Invalidez Permanente) 1ª Prestação","Valor do Prêmio de Seguro MIP (Morte e Invalidez Permanente)")</f>
        <v>Valor do Prêmio de Seguro MIP (Morte e Invalidez Permanente) 1ª Prestação</v>
      </c>
      <c r="E32" s="258"/>
      <c r="F32" s="258"/>
      <c r="G32" s="258"/>
      <c r="H32" s="258"/>
      <c r="I32" s="258"/>
      <c r="J32" s="27">
        <f>$I$60</f>
        <v>342</v>
      </c>
      <c r="K32" s="246" t="str">
        <f>IF(AND(VALOR_CREDITO_BRUTO&gt;10000000,J9="ZURICH"),"0,017100%",IF(J9="EXCELSIOR","0,0171%","0,017100%"))</f>
        <v>0,0171%</v>
      </c>
      <c r="L32" s="12"/>
      <c r="M32" s="12"/>
      <c r="N32" s="12"/>
      <c r="O32" s="12"/>
    </row>
    <row r="33" spans="1:223" ht="15.5" x14ac:dyDescent="0.35">
      <c r="A33" s="2"/>
      <c r="B33" s="1"/>
      <c r="C33" s="2"/>
      <c r="D33" s="257" t="s">
        <v>386</v>
      </c>
      <c r="E33" s="258"/>
      <c r="F33" s="258"/>
      <c r="G33" s="258"/>
      <c r="H33" s="258"/>
      <c r="I33" s="258"/>
      <c r="J33" s="27">
        <f>$J$60</f>
        <v>222</v>
      </c>
      <c r="K33" s="246" t="str">
        <f>IF(AND(VALOR_ESTIMADO_IMÓVEL&gt;10000000,J9="ZURICH"),"0,003900%",IF(J9="EXCELSIOR","0,0037%","0,003000%"))</f>
        <v>0,0037%</v>
      </c>
      <c r="L33" s="12"/>
      <c r="M33" s="12"/>
      <c r="N33" s="12"/>
      <c r="O33" s="12"/>
    </row>
    <row r="34" spans="1:223" ht="0" hidden="1" customHeight="1" x14ac:dyDescent="0.35">
      <c r="D34" s="240"/>
      <c r="K34" s="241"/>
    </row>
    <row r="35" spans="1:223" ht="15.5" x14ac:dyDescent="0.35">
      <c r="A35" s="2"/>
      <c r="B35" s="1"/>
      <c r="C35" s="2"/>
      <c r="D35" s="202" t="s">
        <v>33</v>
      </c>
      <c r="E35" s="203"/>
      <c r="F35" s="203"/>
      <c r="G35" s="203"/>
      <c r="H35" s="203"/>
      <c r="I35" s="203"/>
      <c r="J35" s="242">
        <f ca="1">AG424</f>
        <v>0.17187437011718742</v>
      </c>
      <c r="K35" s="47"/>
      <c r="L35" s="12"/>
      <c r="M35" s="12"/>
      <c r="N35" s="12"/>
      <c r="O35" s="12"/>
      <c r="P35" s="175"/>
    </row>
    <row r="36" spans="1:223" ht="15.75" customHeight="1" x14ac:dyDescent="0.35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2"/>
      <c r="N36" s="12"/>
      <c r="O36" s="12"/>
    </row>
    <row r="37" spans="1:223" ht="15.75" hidden="1" customHeight="1" x14ac:dyDescent="0.35">
      <c r="A37" s="2"/>
      <c r="B37" s="48"/>
      <c r="C37" s="49"/>
      <c r="D37" s="52"/>
      <c r="I37" s="54"/>
      <c r="J37" s="55"/>
      <c r="K37" s="56"/>
      <c r="M37" s="12"/>
      <c r="N37" s="12"/>
      <c r="O37" s="12"/>
    </row>
    <row r="38" spans="1:223" ht="15.75" hidden="1" customHeight="1" x14ac:dyDescent="0.35">
      <c r="A38" s="2"/>
      <c r="B38" s="48"/>
      <c r="C38" s="49"/>
      <c r="D38" s="52"/>
      <c r="I38" s="54"/>
      <c r="J38" s="57"/>
      <c r="K38" s="56"/>
      <c r="M38" s="12"/>
      <c r="N38" s="12"/>
      <c r="O38" s="12"/>
    </row>
    <row r="39" spans="1:223" ht="15.75" customHeight="1" thickBot="1" x14ac:dyDescent="0.4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2"/>
      <c r="N39" s="12"/>
      <c r="O39" s="12"/>
    </row>
    <row r="40" spans="1:223" ht="16" hidden="1" thickBot="1" x14ac:dyDescent="0.4">
      <c r="A40" s="2"/>
      <c r="B40" s="48"/>
      <c r="C40" s="49"/>
      <c r="D40" s="52"/>
      <c r="I40" s="54"/>
      <c r="J40" s="57"/>
      <c r="K40" s="56"/>
      <c r="M40" s="12"/>
      <c r="N40" s="12"/>
      <c r="O40" s="12"/>
    </row>
    <row r="41" spans="1:223" s="66" customFormat="1" ht="48" hidden="1" customHeight="1" thickBot="1" x14ac:dyDescent="0.4">
      <c r="A41" s="2"/>
      <c r="B41" s="48"/>
      <c r="C41" s="49"/>
      <c r="D41" s="52"/>
      <c r="E41" s="10"/>
      <c r="F41" s="10"/>
      <c r="G41" s="10"/>
      <c r="H41" s="10"/>
      <c r="I41" s="54"/>
      <c r="J41" s="57"/>
      <c r="K41" s="56"/>
      <c r="L41" s="10"/>
      <c r="M41" s="12"/>
      <c r="N41" s="12"/>
      <c r="O41" s="12"/>
      <c r="P41" s="261" t="s">
        <v>47</v>
      </c>
      <c r="Q41" s="262"/>
      <c r="R41" s="262"/>
      <c r="S41" s="263"/>
      <c r="V41" s="261" t="s">
        <v>48</v>
      </c>
      <c r="W41" s="262"/>
      <c r="X41" s="262"/>
      <c r="Y41" s="263"/>
      <c r="AC41" s="10"/>
      <c r="AO41" s="10"/>
      <c r="AP41" s="10"/>
      <c r="AQ41" s="267"/>
      <c r="AR41" s="267"/>
      <c r="AS41" s="267"/>
      <c r="AT41" s="267"/>
      <c r="AU41" s="267"/>
      <c r="AV41" s="267"/>
      <c r="AW41" s="267"/>
      <c r="AX41" s="267"/>
      <c r="AY41" s="267"/>
      <c r="AZ41" s="267"/>
    </row>
    <row r="42" spans="1:223" s="66" customFormat="1" ht="16.5" hidden="1" customHeight="1" thickBot="1" x14ac:dyDescent="0.4">
      <c r="A42" s="2"/>
      <c r="B42" s="48"/>
      <c r="C42" s="49"/>
      <c r="D42" s="52"/>
      <c r="E42" s="10"/>
      <c r="F42" s="10"/>
      <c r="G42" s="10"/>
      <c r="H42" s="10"/>
      <c r="I42" s="54"/>
      <c r="J42" s="57"/>
      <c r="K42" s="56"/>
      <c r="L42" s="10"/>
      <c r="M42" s="12"/>
      <c r="N42" s="12"/>
      <c r="O42" s="12"/>
      <c r="AO42" s="10"/>
      <c r="AP42" s="10"/>
      <c r="AQ42" s="183"/>
      <c r="AR42" s="183"/>
      <c r="AS42" s="183"/>
      <c r="AT42" s="184"/>
      <c r="AU42" s="184"/>
      <c r="AV42" s="184"/>
      <c r="AW42" s="184"/>
      <c r="AX42" s="184"/>
      <c r="AY42" s="184"/>
      <c r="AZ42" s="185"/>
    </row>
    <row r="43" spans="1:223" ht="18.75" hidden="1" customHeight="1" thickBot="1" x14ac:dyDescent="0.4">
      <c r="A43" s="2"/>
      <c r="B43" s="48"/>
      <c r="C43" s="49"/>
      <c r="D43" s="52"/>
      <c r="I43" s="54"/>
      <c r="J43" s="57"/>
      <c r="K43" s="56"/>
      <c r="M43" s="12"/>
      <c r="N43" s="12"/>
      <c r="O43" s="12"/>
      <c r="Q43" s="79" t="s">
        <v>49</v>
      </c>
      <c r="R43" s="80"/>
      <c r="S43" s="81"/>
      <c r="U43" s="82" t="s">
        <v>50</v>
      </c>
      <c r="V43" s="82" t="s">
        <v>51</v>
      </c>
      <c r="W43" s="82" t="s">
        <v>52</v>
      </c>
      <c r="X43" s="83" t="s">
        <v>53</v>
      </c>
      <c r="Y43" s="82" t="s">
        <v>44</v>
      </c>
      <c r="Z43" s="82" t="s">
        <v>54</v>
      </c>
      <c r="AC43" s="84"/>
      <c r="AD43" s="84"/>
      <c r="AE43" s="84"/>
      <c r="AG43" s="84"/>
      <c r="AH43" s="84"/>
      <c r="AI43" s="84"/>
      <c r="AJ43" s="84"/>
      <c r="AK43" s="84"/>
      <c r="AL43" s="84"/>
      <c r="AM43" s="84"/>
      <c r="AP43" s="157"/>
      <c r="AQ43" s="186"/>
      <c r="AR43" s="186"/>
      <c r="AS43" s="187"/>
      <c r="AT43" s="188"/>
      <c r="AU43" s="189"/>
      <c r="AV43" s="189"/>
      <c r="AW43" s="188"/>
      <c r="AX43" s="189"/>
      <c r="AY43" s="188"/>
      <c r="AZ43" s="190"/>
      <c r="BA43" s="132"/>
      <c r="BB43" s="132"/>
      <c r="BC43" s="132"/>
      <c r="BD43" s="132"/>
      <c r="BE43" s="132"/>
      <c r="BF43" s="132"/>
      <c r="BG43" s="132"/>
      <c r="BH43" s="132"/>
      <c r="BI43" s="132"/>
      <c r="BJ43" s="132"/>
      <c r="BK43" s="132"/>
      <c r="BL43" s="132"/>
      <c r="BM43" s="132"/>
      <c r="BN43" s="132"/>
      <c r="BO43" s="132"/>
      <c r="BP43" s="132"/>
      <c r="BQ43" s="132"/>
      <c r="BR43" s="132"/>
      <c r="BS43" s="132"/>
      <c r="BT43" s="132"/>
      <c r="BU43" s="132"/>
      <c r="BV43" s="132"/>
      <c r="BW43" s="132"/>
      <c r="BX43" s="132"/>
      <c r="BY43" s="132"/>
      <c r="BZ43" s="132"/>
      <c r="CA43" s="132"/>
      <c r="CB43" s="132"/>
      <c r="CC43" s="132"/>
      <c r="CD43" s="132"/>
      <c r="CE43" s="132"/>
      <c r="CF43" s="132"/>
      <c r="CG43" s="132"/>
      <c r="CH43" s="132"/>
      <c r="CI43" s="132"/>
      <c r="CJ43" s="132"/>
      <c r="CK43" s="132"/>
      <c r="CL43" s="132"/>
      <c r="CM43" s="132"/>
      <c r="CN43" s="132"/>
      <c r="CO43" s="132"/>
      <c r="CP43" s="132"/>
      <c r="CQ43" s="132"/>
      <c r="CR43" s="132"/>
      <c r="CS43" s="132"/>
      <c r="CT43" s="132"/>
      <c r="CU43" s="132"/>
      <c r="CV43" s="132"/>
      <c r="CW43" s="132"/>
      <c r="CX43" s="132"/>
      <c r="CY43" s="132"/>
      <c r="CZ43" s="132"/>
      <c r="DA43" s="132"/>
      <c r="DB43" s="132"/>
      <c r="DC43" s="132"/>
      <c r="DD43" s="132"/>
      <c r="DE43" s="132"/>
      <c r="DF43" s="132"/>
      <c r="DG43" s="132"/>
      <c r="DH43" s="132"/>
      <c r="DI43" s="132"/>
      <c r="DJ43" s="132"/>
      <c r="DK43" s="132"/>
      <c r="DL43" s="132"/>
      <c r="DM43" s="132"/>
      <c r="DN43" s="132"/>
      <c r="DO43" s="132"/>
      <c r="DP43" s="132"/>
      <c r="DQ43" s="132"/>
      <c r="DR43" s="132"/>
      <c r="DS43" s="132"/>
      <c r="DT43" s="132"/>
      <c r="DU43" s="132"/>
      <c r="DV43" s="132"/>
      <c r="DW43" s="132"/>
      <c r="DX43" s="132"/>
      <c r="DY43" s="132"/>
      <c r="DZ43" s="132"/>
      <c r="EA43" s="132"/>
      <c r="EB43" s="132"/>
      <c r="EC43" s="132"/>
      <c r="ED43" s="132"/>
      <c r="EE43" s="132"/>
      <c r="EF43" s="132"/>
      <c r="EG43" s="132"/>
      <c r="EH43" s="132"/>
      <c r="EI43" s="132"/>
      <c r="EJ43" s="132"/>
      <c r="EK43" s="132"/>
      <c r="EL43" s="132"/>
      <c r="EM43" s="132"/>
      <c r="EN43" s="132"/>
      <c r="EO43" s="132"/>
      <c r="EP43" s="132"/>
      <c r="EQ43" s="132"/>
      <c r="ER43" s="132"/>
      <c r="ES43" s="132"/>
      <c r="ET43" s="132"/>
      <c r="EU43" s="132"/>
      <c r="EV43" s="132"/>
      <c r="EW43" s="132"/>
      <c r="EX43" s="132"/>
      <c r="EY43" s="132"/>
      <c r="EZ43" s="132"/>
      <c r="FA43" s="132"/>
      <c r="FB43" s="132"/>
      <c r="FC43" s="132"/>
      <c r="FD43" s="132"/>
      <c r="FE43" s="132"/>
      <c r="FF43" s="132"/>
      <c r="FG43" s="132"/>
      <c r="FH43" s="132"/>
      <c r="FI43" s="132"/>
      <c r="FJ43" s="132"/>
      <c r="FK43" s="132"/>
      <c r="FL43" s="132"/>
      <c r="FM43" s="132"/>
      <c r="FN43" s="132"/>
      <c r="FO43" s="132"/>
      <c r="FP43" s="132"/>
      <c r="FQ43" s="132"/>
      <c r="FR43" s="132"/>
      <c r="FS43" s="132"/>
      <c r="FT43" s="132"/>
      <c r="FU43" s="132"/>
      <c r="FV43" s="132"/>
      <c r="FW43" s="132"/>
      <c r="FX43" s="132"/>
      <c r="FY43" s="132"/>
      <c r="FZ43" s="132"/>
      <c r="GA43" s="132"/>
      <c r="GB43" s="132"/>
      <c r="GC43" s="132"/>
      <c r="GD43" s="132"/>
      <c r="GE43" s="132"/>
      <c r="GF43" s="132"/>
      <c r="GG43" s="132"/>
      <c r="GH43" s="132"/>
      <c r="GI43" s="132"/>
      <c r="GJ43" s="132"/>
      <c r="GK43" s="132"/>
      <c r="GL43" s="132"/>
      <c r="GM43" s="132"/>
      <c r="GN43" s="132"/>
      <c r="GO43" s="132"/>
      <c r="GP43" s="132"/>
      <c r="GQ43" s="132"/>
      <c r="GR43" s="132"/>
      <c r="GS43" s="132"/>
      <c r="GT43" s="132"/>
      <c r="GU43" s="132"/>
      <c r="GV43" s="132"/>
      <c r="GW43" s="132"/>
      <c r="GX43" s="132"/>
      <c r="GY43" s="132"/>
      <c r="GZ43" s="132"/>
      <c r="HA43" s="132"/>
      <c r="HB43" s="132"/>
      <c r="HC43" s="132"/>
      <c r="HD43" s="132"/>
      <c r="HE43" s="132"/>
      <c r="HF43" s="132"/>
      <c r="HG43" s="132"/>
      <c r="HH43" s="132"/>
      <c r="HI43" s="132"/>
      <c r="HJ43" s="132"/>
      <c r="HK43" s="132"/>
      <c r="HL43" s="132"/>
      <c r="HM43" s="132"/>
      <c r="HN43" s="132"/>
      <c r="HO43" s="132"/>
    </row>
    <row r="44" spans="1:223" ht="15.5" hidden="1" x14ac:dyDescent="0.35">
      <c r="A44" s="2"/>
      <c r="B44" s="48"/>
      <c r="C44" s="49"/>
      <c r="D44" s="52"/>
      <c r="I44" s="54"/>
      <c r="J44" s="57"/>
      <c r="K44" s="56"/>
      <c r="M44" s="12"/>
      <c r="N44" s="12"/>
      <c r="O44" s="12"/>
      <c r="P44" s="88" t="s">
        <v>61</v>
      </c>
      <c r="Q44" s="89">
        <v>0.03</v>
      </c>
      <c r="R44" s="90">
        <f ca="1">SUM(Q72:Q419)</f>
        <v>30984.078605319097</v>
      </c>
      <c r="S44" s="91">
        <f ca="1">SUM(R44:R46)</f>
        <v>34912.598605319094</v>
      </c>
      <c r="U44" s="92" t="s">
        <v>62</v>
      </c>
      <c r="V44" s="93">
        <f>[1]Capa!P6</f>
        <v>29586</v>
      </c>
      <c r="W44" s="94">
        <f ca="1">IF($V$44="","",INT((TODAY())-$V$44)/365.25)</f>
        <v>45.097878165639976</v>
      </c>
      <c r="X44" s="92">
        <f ca="1">IF(AND(W44&gt;=U64,W44&lt;U65),W64,IF(AND(W44&gt;=U65,W44&lt;U66),W65,IF(AND(W44&gt;=U66,W44&lt;U67),W66,IF(AND(W44&gt;=U67,W44&lt;U68),W67,IF(AND(W44&gt;=U68,W44&lt;U69),W68,IF(AND(W44&gt;=U69,W44&lt;U70),W69,IF(AND(W44&gt;=U70,W44&lt;U71),W70,IF(AND(W44&gt;=U71,W44&lt;U72),W71,IF(AND(W44&gt;=U72,W44&lt;V72),W72,"")))))))))</f>
        <v>2.3000000000000001E-4</v>
      </c>
      <c r="Y44" s="95">
        <v>4.0000000000000003E-5</v>
      </c>
      <c r="Z44" s="95"/>
      <c r="AC44" s="96"/>
      <c r="AD44" s="97"/>
      <c r="AE44" s="97"/>
      <c r="AG44" s="96"/>
      <c r="AH44" s="97"/>
      <c r="AI44" s="97"/>
      <c r="AJ44" s="97"/>
      <c r="AK44" s="97"/>
      <c r="AL44" s="97"/>
      <c r="AM44" s="97"/>
      <c r="AP44" s="157"/>
      <c r="AQ44" s="191"/>
      <c r="AR44" s="191"/>
      <c r="AS44" s="192"/>
      <c r="AT44" s="193"/>
      <c r="AU44" s="194"/>
      <c r="AV44" s="194"/>
      <c r="AW44" s="193"/>
      <c r="AX44" s="194"/>
      <c r="AY44" s="193"/>
      <c r="AZ44" s="195"/>
      <c r="BA44" s="132"/>
      <c r="BB44" s="132"/>
      <c r="BC44" s="132"/>
      <c r="BD44" s="132"/>
      <c r="BE44" s="132"/>
      <c r="BF44" s="132"/>
      <c r="BG44" s="132"/>
      <c r="BH44" s="132"/>
      <c r="BI44" s="132"/>
      <c r="BJ44" s="132"/>
      <c r="BK44" s="132"/>
      <c r="BL44" s="132"/>
      <c r="BM44" s="132"/>
      <c r="BN44" s="132"/>
      <c r="BO44" s="132"/>
      <c r="BP44" s="132"/>
      <c r="BQ44" s="132"/>
      <c r="BR44" s="132"/>
      <c r="BS44" s="132"/>
      <c r="BT44" s="132"/>
      <c r="BU44" s="132"/>
      <c r="BV44" s="132"/>
      <c r="BW44" s="132"/>
      <c r="BX44" s="132"/>
      <c r="BY44" s="132"/>
      <c r="BZ44" s="132"/>
      <c r="CA44" s="132"/>
      <c r="CB44" s="132"/>
      <c r="CC44" s="132"/>
      <c r="CD44" s="132"/>
      <c r="CE44" s="132"/>
      <c r="CF44" s="132"/>
      <c r="CG44" s="132"/>
      <c r="CH44" s="132"/>
      <c r="CI44" s="132"/>
      <c r="CJ44" s="132"/>
      <c r="CK44" s="132"/>
      <c r="CL44" s="132"/>
      <c r="CM44" s="132"/>
      <c r="CN44" s="132"/>
      <c r="CO44" s="132"/>
      <c r="CP44" s="132"/>
      <c r="CQ44" s="132"/>
      <c r="CR44" s="132"/>
      <c r="CS44" s="132"/>
      <c r="CT44" s="132"/>
      <c r="CU44" s="132"/>
      <c r="CV44" s="132"/>
      <c r="CW44" s="132"/>
      <c r="CX44" s="132"/>
      <c r="CY44" s="132"/>
      <c r="CZ44" s="132"/>
      <c r="DA44" s="132"/>
      <c r="DB44" s="132"/>
      <c r="DC44" s="132"/>
      <c r="DD44" s="132"/>
      <c r="DE44" s="132"/>
      <c r="DF44" s="132"/>
      <c r="DG44" s="132"/>
      <c r="DH44" s="132"/>
      <c r="DI44" s="132"/>
      <c r="DJ44" s="132"/>
      <c r="DK44" s="132"/>
      <c r="DL44" s="132"/>
      <c r="DM44" s="132"/>
      <c r="DN44" s="132"/>
      <c r="DO44" s="132"/>
      <c r="DP44" s="132"/>
      <c r="DQ44" s="132"/>
      <c r="DR44" s="132"/>
      <c r="DS44" s="132"/>
      <c r="DT44" s="132"/>
      <c r="DU44" s="132"/>
      <c r="DV44" s="132"/>
      <c r="DW44" s="132"/>
      <c r="DX44" s="132"/>
      <c r="DY44" s="132"/>
      <c r="DZ44" s="132"/>
      <c r="EA44" s="132"/>
      <c r="EB44" s="132"/>
      <c r="EC44" s="132"/>
      <c r="ED44" s="132"/>
      <c r="EE44" s="132"/>
      <c r="EF44" s="132"/>
      <c r="EG44" s="132"/>
      <c r="EH44" s="132"/>
      <c r="EI44" s="132"/>
      <c r="EJ44" s="132"/>
      <c r="EK44" s="132"/>
      <c r="EL44" s="132"/>
      <c r="EM44" s="132"/>
      <c r="EN44" s="132"/>
      <c r="EO44" s="132"/>
      <c r="EP44" s="132"/>
      <c r="EQ44" s="132"/>
      <c r="ER44" s="132"/>
      <c r="ES44" s="132"/>
      <c r="ET44" s="132"/>
      <c r="EU44" s="132"/>
      <c r="EV44" s="132"/>
      <c r="EW44" s="132"/>
      <c r="EX44" s="132"/>
      <c r="EY44" s="132"/>
      <c r="EZ44" s="132"/>
      <c r="FA44" s="132"/>
      <c r="FB44" s="132"/>
      <c r="FC44" s="132"/>
      <c r="FD44" s="132"/>
      <c r="FE44" s="132"/>
      <c r="FF44" s="132"/>
      <c r="FG44" s="132"/>
      <c r="FH44" s="132"/>
      <c r="FI44" s="132"/>
      <c r="FJ44" s="132"/>
      <c r="FK44" s="132"/>
      <c r="FL44" s="132"/>
      <c r="FM44" s="132"/>
      <c r="FN44" s="132"/>
      <c r="FO44" s="132"/>
      <c r="FP44" s="132"/>
      <c r="FQ44" s="132"/>
      <c r="FR44" s="132"/>
      <c r="FS44" s="132"/>
      <c r="FT44" s="132"/>
      <c r="FU44" s="132"/>
      <c r="FV44" s="132"/>
      <c r="FW44" s="132"/>
      <c r="FX44" s="132"/>
      <c r="FY44" s="132"/>
      <c r="FZ44" s="132"/>
      <c r="GA44" s="132"/>
      <c r="GB44" s="132"/>
      <c r="GC44" s="132"/>
      <c r="GD44" s="132"/>
      <c r="GE44" s="132"/>
      <c r="GF44" s="132"/>
      <c r="GG44" s="132"/>
      <c r="GH44" s="132"/>
      <c r="GI44" s="132"/>
      <c r="GJ44" s="132"/>
      <c r="GK44" s="132"/>
      <c r="GL44" s="132"/>
      <c r="GM44" s="132"/>
      <c r="GN44" s="132"/>
      <c r="GO44" s="132"/>
      <c r="GP44" s="132"/>
      <c r="GQ44" s="132"/>
      <c r="GR44" s="132"/>
      <c r="GS44" s="132"/>
      <c r="GT44" s="132"/>
      <c r="GU44" s="132"/>
      <c r="GV44" s="132"/>
      <c r="GW44" s="132"/>
      <c r="GX44" s="132"/>
      <c r="GY44" s="132"/>
      <c r="GZ44" s="132"/>
      <c r="HA44" s="132"/>
      <c r="HB44" s="132"/>
      <c r="HC44" s="132"/>
      <c r="HD44" s="132"/>
      <c r="HE44" s="132"/>
      <c r="HF44" s="132"/>
      <c r="HG44" s="132"/>
      <c r="HH44" s="132"/>
      <c r="HI44" s="132"/>
      <c r="HJ44" s="132"/>
      <c r="HK44" s="132"/>
      <c r="HL44" s="132"/>
      <c r="HM44" s="132"/>
      <c r="HN44" s="132"/>
      <c r="HO44" s="132"/>
    </row>
    <row r="45" spans="1:223" ht="15.5" hidden="1" x14ac:dyDescent="0.35">
      <c r="A45" s="2"/>
      <c r="B45" s="48"/>
      <c r="C45" s="49"/>
      <c r="D45" s="52"/>
      <c r="I45" s="54"/>
      <c r="J45" s="57"/>
      <c r="K45" s="56"/>
      <c r="M45" s="12"/>
      <c r="N45" s="12"/>
      <c r="O45" s="12"/>
      <c r="P45" s="88" t="s">
        <v>63</v>
      </c>
      <c r="Q45" s="102">
        <v>3.8E-3</v>
      </c>
      <c r="R45" s="103">
        <f>ROUNDUP(Q45*$D$59,2)</f>
        <v>3800</v>
      </c>
      <c r="S45" s="104"/>
      <c r="U45" s="92" t="s">
        <v>64</v>
      </c>
      <c r="V45" s="93"/>
      <c r="W45" s="94"/>
      <c r="X45" s="92"/>
      <c r="Y45" s="95"/>
      <c r="Z45" s="95"/>
      <c r="AC45" s="96"/>
      <c r="AD45" s="97"/>
      <c r="AE45" s="97"/>
      <c r="AG45" s="96"/>
      <c r="AH45" s="97"/>
      <c r="AI45" s="97"/>
      <c r="AJ45" s="97"/>
      <c r="AK45" s="97"/>
      <c r="AL45" s="97"/>
      <c r="AM45" s="97"/>
      <c r="AP45" s="157"/>
      <c r="AQ45" s="186"/>
      <c r="AR45" s="186"/>
      <c r="AS45" s="187"/>
      <c r="AT45" s="188"/>
      <c r="AU45" s="189"/>
      <c r="AV45" s="189"/>
      <c r="AW45" s="188"/>
      <c r="AX45" s="189"/>
      <c r="AY45" s="188"/>
      <c r="AZ45" s="190"/>
      <c r="BA45" s="132"/>
      <c r="BB45" s="132"/>
      <c r="BC45" s="132"/>
      <c r="BD45" s="132"/>
      <c r="BE45" s="132"/>
      <c r="BF45" s="132"/>
      <c r="BG45" s="132"/>
      <c r="BH45" s="132"/>
      <c r="BI45" s="132"/>
      <c r="BJ45" s="132"/>
      <c r="BK45" s="132"/>
      <c r="BL45" s="132"/>
      <c r="BM45" s="132"/>
      <c r="BN45" s="132"/>
      <c r="BO45" s="132"/>
      <c r="BP45" s="132"/>
      <c r="BQ45" s="132"/>
      <c r="BR45" s="132"/>
      <c r="BS45" s="132"/>
      <c r="BT45" s="132"/>
      <c r="BU45" s="132"/>
      <c r="BV45" s="132"/>
      <c r="BW45" s="132"/>
      <c r="BX45" s="132"/>
      <c r="BY45" s="132"/>
      <c r="BZ45" s="132"/>
      <c r="CA45" s="132"/>
      <c r="CB45" s="132"/>
      <c r="CC45" s="132"/>
      <c r="CD45" s="132"/>
      <c r="CE45" s="132"/>
      <c r="CF45" s="132"/>
      <c r="CG45" s="132"/>
      <c r="CH45" s="132"/>
      <c r="CI45" s="132"/>
      <c r="CJ45" s="132"/>
      <c r="CK45" s="132"/>
      <c r="CL45" s="132"/>
      <c r="CM45" s="132"/>
      <c r="CN45" s="132"/>
      <c r="CO45" s="132"/>
      <c r="CP45" s="132"/>
      <c r="CQ45" s="132"/>
      <c r="CR45" s="132"/>
      <c r="CS45" s="132"/>
      <c r="CT45" s="132"/>
      <c r="CU45" s="132"/>
      <c r="CV45" s="132"/>
      <c r="CW45" s="132"/>
      <c r="CX45" s="132"/>
      <c r="CY45" s="132"/>
      <c r="CZ45" s="132"/>
      <c r="DA45" s="132"/>
      <c r="DB45" s="132"/>
      <c r="DC45" s="132"/>
      <c r="DD45" s="132"/>
      <c r="DE45" s="132"/>
      <c r="DF45" s="132"/>
      <c r="DG45" s="132"/>
      <c r="DH45" s="132"/>
      <c r="DI45" s="132"/>
      <c r="DJ45" s="132"/>
      <c r="DK45" s="132"/>
      <c r="DL45" s="132"/>
      <c r="DM45" s="132"/>
      <c r="DN45" s="132"/>
      <c r="DO45" s="132"/>
      <c r="DP45" s="132"/>
      <c r="DQ45" s="132"/>
      <c r="DR45" s="132"/>
      <c r="DS45" s="132"/>
      <c r="DT45" s="132"/>
      <c r="DU45" s="132"/>
      <c r="DV45" s="132"/>
      <c r="DW45" s="132"/>
      <c r="DX45" s="132"/>
      <c r="DY45" s="132"/>
      <c r="DZ45" s="132"/>
      <c r="EA45" s="132"/>
      <c r="EB45" s="132"/>
      <c r="EC45" s="132"/>
      <c r="ED45" s="132"/>
      <c r="EE45" s="132"/>
      <c r="EF45" s="132"/>
      <c r="EG45" s="132"/>
      <c r="EH45" s="132"/>
      <c r="EI45" s="132"/>
      <c r="EJ45" s="132"/>
      <c r="EK45" s="132"/>
      <c r="EL45" s="132"/>
      <c r="EM45" s="132"/>
      <c r="EN45" s="132"/>
      <c r="EO45" s="132"/>
      <c r="EP45" s="132"/>
      <c r="EQ45" s="132"/>
      <c r="ER45" s="132"/>
      <c r="ES45" s="132"/>
      <c r="ET45" s="132"/>
      <c r="EU45" s="132"/>
      <c r="EV45" s="132"/>
      <c r="EW45" s="132"/>
      <c r="EX45" s="132"/>
      <c r="EY45" s="132"/>
      <c r="EZ45" s="132"/>
      <c r="FA45" s="132"/>
      <c r="FB45" s="132"/>
      <c r="FC45" s="132"/>
      <c r="FD45" s="132"/>
      <c r="FE45" s="132"/>
      <c r="FF45" s="132"/>
      <c r="FG45" s="132"/>
      <c r="FH45" s="132"/>
      <c r="FI45" s="132"/>
      <c r="FJ45" s="132"/>
      <c r="FK45" s="132"/>
      <c r="FL45" s="132"/>
      <c r="FM45" s="132"/>
      <c r="FN45" s="132"/>
      <c r="FO45" s="132"/>
      <c r="FP45" s="132"/>
      <c r="FQ45" s="132"/>
      <c r="FR45" s="132"/>
      <c r="FS45" s="132"/>
      <c r="FT45" s="132"/>
      <c r="FU45" s="132"/>
      <c r="FV45" s="132"/>
      <c r="FW45" s="132"/>
      <c r="FX45" s="132"/>
      <c r="FY45" s="132"/>
      <c r="FZ45" s="132"/>
      <c r="GA45" s="132"/>
      <c r="GB45" s="132"/>
      <c r="GC45" s="132"/>
      <c r="GD45" s="132"/>
      <c r="GE45" s="132"/>
      <c r="GF45" s="132"/>
      <c r="GG45" s="132"/>
      <c r="GH45" s="132"/>
      <c r="GI45" s="132"/>
      <c r="GJ45" s="132"/>
      <c r="GK45" s="132"/>
      <c r="GL45" s="132"/>
      <c r="GM45" s="132"/>
      <c r="GN45" s="132"/>
      <c r="GO45" s="132"/>
      <c r="GP45" s="132"/>
      <c r="GQ45" s="132"/>
      <c r="GR45" s="132"/>
      <c r="GS45" s="132"/>
      <c r="GT45" s="132"/>
      <c r="GU45" s="132"/>
      <c r="GV45" s="132"/>
      <c r="GW45" s="132"/>
      <c r="GX45" s="132"/>
      <c r="GY45" s="132"/>
      <c r="GZ45" s="132"/>
      <c r="HA45" s="132"/>
      <c r="HB45" s="132"/>
      <c r="HC45" s="132"/>
      <c r="HD45" s="132"/>
      <c r="HE45" s="132"/>
      <c r="HF45" s="132"/>
      <c r="HG45" s="132"/>
      <c r="HH45" s="132"/>
      <c r="HI45" s="132"/>
      <c r="HJ45" s="132"/>
      <c r="HK45" s="132"/>
      <c r="HL45" s="132"/>
      <c r="HM45" s="132"/>
      <c r="HN45" s="132"/>
      <c r="HO45" s="132"/>
    </row>
    <row r="46" spans="1:223" ht="15.5" hidden="1" x14ac:dyDescent="0.35">
      <c r="A46" s="2"/>
      <c r="B46" s="48"/>
      <c r="C46" s="49"/>
      <c r="D46" s="52"/>
      <c r="I46" s="54"/>
      <c r="J46" s="57"/>
      <c r="K46" s="56"/>
      <c r="M46" s="12"/>
      <c r="N46" s="12"/>
      <c r="O46" s="12"/>
      <c r="P46" s="88" t="s">
        <v>65</v>
      </c>
      <c r="Q46" s="105">
        <v>8.2000000000000001E-5</v>
      </c>
      <c r="R46" s="106">
        <f ca="1">SUM(Q60:Q71)</f>
        <v>128.52000000000001</v>
      </c>
      <c r="S46" s="107"/>
      <c r="U46" s="92" t="s">
        <v>66</v>
      </c>
      <c r="V46" s="93"/>
      <c r="W46" s="94"/>
      <c r="X46" s="92"/>
      <c r="Y46" s="95"/>
      <c r="Z46" s="95"/>
      <c r="AC46" s="96"/>
      <c r="AD46" s="97"/>
      <c r="AE46" s="97"/>
      <c r="AG46" s="96"/>
      <c r="AH46" s="97"/>
      <c r="AI46" s="97"/>
      <c r="AJ46" s="97"/>
      <c r="AK46" s="97"/>
      <c r="AL46" s="97"/>
      <c r="AM46" s="97"/>
      <c r="AP46" s="157"/>
      <c r="AQ46" s="191"/>
      <c r="AR46" s="191"/>
      <c r="AS46" s="192"/>
      <c r="AT46" s="193"/>
      <c r="AU46" s="194"/>
      <c r="AV46" s="194"/>
      <c r="AW46" s="193"/>
      <c r="AX46" s="194"/>
      <c r="AY46" s="193"/>
      <c r="AZ46" s="195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  <c r="BU46" s="132"/>
      <c r="BV46" s="132"/>
      <c r="BW46" s="132"/>
      <c r="BX46" s="132"/>
      <c r="BY46" s="132"/>
      <c r="BZ46" s="132"/>
      <c r="CA46" s="132"/>
      <c r="CB46" s="132"/>
      <c r="CC46" s="132"/>
      <c r="CD46" s="132"/>
      <c r="CE46" s="132"/>
      <c r="CF46" s="132"/>
      <c r="CG46" s="132"/>
      <c r="CH46" s="132"/>
      <c r="CI46" s="132"/>
      <c r="CJ46" s="132"/>
      <c r="CK46" s="132"/>
      <c r="CL46" s="132"/>
      <c r="CM46" s="132"/>
      <c r="CN46" s="132"/>
      <c r="CO46" s="132"/>
      <c r="CP46" s="132"/>
      <c r="CQ46" s="132"/>
      <c r="CR46" s="132"/>
      <c r="CS46" s="132"/>
      <c r="CT46" s="132"/>
      <c r="CU46" s="132"/>
      <c r="CV46" s="132"/>
      <c r="CW46" s="132"/>
      <c r="CX46" s="132"/>
      <c r="CY46" s="132"/>
      <c r="CZ46" s="132"/>
      <c r="DA46" s="132"/>
      <c r="DB46" s="132"/>
      <c r="DC46" s="132"/>
      <c r="DD46" s="132"/>
      <c r="DE46" s="132"/>
      <c r="DF46" s="132"/>
      <c r="DG46" s="132"/>
      <c r="DH46" s="132"/>
      <c r="DI46" s="132"/>
      <c r="DJ46" s="132"/>
      <c r="DK46" s="132"/>
      <c r="DL46" s="132"/>
      <c r="DM46" s="132"/>
      <c r="DN46" s="132"/>
      <c r="DO46" s="132"/>
      <c r="DP46" s="132"/>
      <c r="DQ46" s="132"/>
      <c r="DR46" s="132"/>
      <c r="DS46" s="132"/>
      <c r="DT46" s="132"/>
      <c r="DU46" s="132"/>
      <c r="DV46" s="132"/>
      <c r="DW46" s="132"/>
      <c r="DX46" s="132"/>
      <c r="DY46" s="132"/>
      <c r="DZ46" s="132"/>
      <c r="EA46" s="132"/>
      <c r="EB46" s="132"/>
      <c r="EC46" s="132"/>
      <c r="ED46" s="132"/>
      <c r="EE46" s="132"/>
      <c r="EF46" s="132"/>
      <c r="EG46" s="132"/>
      <c r="EH46" s="132"/>
      <c r="EI46" s="132"/>
      <c r="EJ46" s="132"/>
      <c r="EK46" s="132"/>
      <c r="EL46" s="132"/>
      <c r="EM46" s="132"/>
      <c r="EN46" s="132"/>
      <c r="EO46" s="132"/>
      <c r="EP46" s="132"/>
      <c r="EQ46" s="132"/>
      <c r="ER46" s="132"/>
      <c r="ES46" s="132"/>
      <c r="ET46" s="132"/>
      <c r="EU46" s="132"/>
      <c r="EV46" s="132"/>
      <c r="EW46" s="132"/>
      <c r="EX46" s="132"/>
      <c r="EY46" s="132"/>
      <c r="EZ46" s="132"/>
      <c r="FA46" s="132"/>
      <c r="FB46" s="132"/>
      <c r="FC46" s="132"/>
      <c r="FD46" s="132"/>
      <c r="FE46" s="132"/>
      <c r="FF46" s="132"/>
      <c r="FG46" s="132"/>
      <c r="FH46" s="132"/>
      <c r="FI46" s="132"/>
      <c r="FJ46" s="132"/>
      <c r="FK46" s="132"/>
      <c r="FL46" s="132"/>
      <c r="FM46" s="132"/>
      <c r="FN46" s="132"/>
      <c r="FO46" s="132"/>
      <c r="FP46" s="132"/>
      <c r="FQ46" s="132"/>
      <c r="FR46" s="132"/>
      <c r="FS46" s="132"/>
      <c r="FT46" s="132"/>
      <c r="FU46" s="132"/>
      <c r="FV46" s="132"/>
      <c r="FW46" s="132"/>
      <c r="FX46" s="132"/>
      <c r="FY46" s="132"/>
      <c r="FZ46" s="132"/>
      <c r="GA46" s="132"/>
      <c r="GB46" s="132"/>
      <c r="GC46" s="132"/>
      <c r="GD46" s="132"/>
      <c r="GE46" s="132"/>
      <c r="GF46" s="132"/>
      <c r="GG46" s="132"/>
      <c r="GH46" s="132"/>
      <c r="GI46" s="132"/>
      <c r="GJ46" s="132"/>
      <c r="GK46" s="132"/>
      <c r="GL46" s="132"/>
      <c r="GM46" s="132"/>
      <c r="GN46" s="132"/>
      <c r="GO46" s="132"/>
      <c r="GP46" s="132"/>
      <c r="GQ46" s="132"/>
      <c r="GR46" s="132"/>
      <c r="GS46" s="132"/>
      <c r="GT46" s="132"/>
      <c r="GU46" s="132"/>
      <c r="GV46" s="132"/>
      <c r="GW46" s="132"/>
      <c r="GX46" s="132"/>
      <c r="GY46" s="132"/>
      <c r="GZ46" s="132"/>
      <c r="HA46" s="132"/>
      <c r="HB46" s="132"/>
      <c r="HC46" s="132"/>
      <c r="HD46" s="132"/>
      <c r="HE46" s="132"/>
      <c r="HF46" s="132"/>
      <c r="HG46" s="132"/>
      <c r="HH46" s="132"/>
      <c r="HI46" s="132"/>
      <c r="HJ46" s="132"/>
      <c r="HK46" s="132"/>
      <c r="HL46" s="132"/>
      <c r="HM46" s="132"/>
      <c r="HN46" s="132"/>
      <c r="HO46" s="132"/>
    </row>
    <row r="47" spans="1:223" ht="15.75" hidden="1" customHeight="1" x14ac:dyDescent="0.35">
      <c r="A47" s="2"/>
      <c r="B47" s="48"/>
      <c r="C47" s="10"/>
      <c r="D47" s="181" t="s">
        <v>376</v>
      </c>
      <c r="E47" s="181"/>
      <c r="F47" s="181"/>
      <c r="G47" s="181"/>
      <c r="H47" s="181"/>
      <c r="I47" s="181"/>
      <c r="J47" s="181"/>
      <c r="K47" s="181"/>
      <c r="L47" s="181"/>
      <c r="M47" s="12"/>
      <c r="N47" s="12"/>
      <c r="O47" s="12"/>
      <c r="P47" s="177"/>
      <c r="Q47" s="178"/>
      <c r="R47" s="179"/>
      <c r="S47" s="180"/>
      <c r="U47" s="92"/>
      <c r="V47" s="93"/>
      <c r="W47" s="94"/>
      <c r="X47" s="92"/>
      <c r="Y47" s="95"/>
      <c r="Z47" s="95"/>
      <c r="AC47" s="96"/>
      <c r="AD47" s="97"/>
      <c r="AE47" s="97"/>
      <c r="AG47" s="96"/>
      <c r="AH47" s="97"/>
      <c r="AI47" s="97"/>
      <c r="AJ47" s="97"/>
      <c r="AK47" s="97"/>
      <c r="AL47" s="97"/>
      <c r="AM47" s="97"/>
      <c r="AP47" s="157"/>
      <c r="AQ47" s="191"/>
      <c r="AR47" s="191"/>
      <c r="AS47" s="192"/>
      <c r="AT47" s="193"/>
      <c r="AU47" s="194"/>
      <c r="AV47" s="194"/>
      <c r="AW47" s="193"/>
      <c r="AX47" s="194"/>
      <c r="AY47" s="193"/>
      <c r="AZ47" s="195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2"/>
      <c r="BZ47" s="132"/>
      <c r="CA47" s="132"/>
      <c r="CB47" s="132"/>
      <c r="CC47" s="132"/>
      <c r="CD47" s="132"/>
      <c r="CE47" s="132"/>
      <c r="CF47" s="132"/>
      <c r="CG47" s="132"/>
      <c r="CH47" s="132"/>
      <c r="CI47" s="132"/>
      <c r="CJ47" s="132"/>
      <c r="CK47" s="132"/>
      <c r="CL47" s="132"/>
      <c r="CM47" s="132"/>
      <c r="CN47" s="132"/>
      <c r="CO47" s="132"/>
      <c r="CP47" s="132"/>
      <c r="CQ47" s="132"/>
      <c r="CR47" s="132"/>
      <c r="CS47" s="132"/>
      <c r="CT47" s="132"/>
      <c r="CU47" s="132"/>
      <c r="CV47" s="132"/>
      <c r="CW47" s="132"/>
      <c r="CX47" s="132"/>
      <c r="CY47" s="132"/>
      <c r="CZ47" s="132"/>
      <c r="DA47" s="132"/>
      <c r="DB47" s="132"/>
      <c r="DC47" s="132"/>
      <c r="DD47" s="132"/>
      <c r="DE47" s="132"/>
      <c r="DF47" s="132"/>
      <c r="DG47" s="132"/>
      <c r="DH47" s="132"/>
      <c r="DI47" s="132"/>
      <c r="DJ47" s="132"/>
      <c r="DK47" s="132"/>
      <c r="DL47" s="132"/>
      <c r="DM47" s="132"/>
      <c r="DN47" s="132"/>
      <c r="DO47" s="132"/>
      <c r="DP47" s="132"/>
      <c r="DQ47" s="132"/>
      <c r="DR47" s="132"/>
      <c r="DS47" s="132"/>
      <c r="DT47" s="132"/>
      <c r="DU47" s="132"/>
      <c r="DV47" s="132"/>
      <c r="DW47" s="132"/>
      <c r="DX47" s="132"/>
      <c r="DY47" s="132"/>
      <c r="DZ47" s="132"/>
      <c r="EA47" s="132"/>
      <c r="EB47" s="132"/>
      <c r="EC47" s="132"/>
      <c r="ED47" s="132"/>
      <c r="EE47" s="132"/>
      <c r="EF47" s="132"/>
      <c r="EG47" s="132"/>
      <c r="EH47" s="132"/>
      <c r="EI47" s="132"/>
      <c r="EJ47" s="132"/>
      <c r="EK47" s="132"/>
      <c r="EL47" s="132"/>
      <c r="EM47" s="132"/>
      <c r="EN47" s="132"/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/>
      <c r="FB47" s="132"/>
      <c r="FC47" s="132"/>
      <c r="FD47" s="132"/>
      <c r="FE47" s="132"/>
      <c r="FF47" s="132"/>
      <c r="FG47" s="132"/>
      <c r="FH47" s="132"/>
      <c r="FI47" s="132"/>
      <c r="FJ47" s="132"/>
      <c r="FK47" s="132"/>
      <c r="FL47" s="132"/>
      <c r="FM47" s="132"/>
      <c r="FN47" s="132"/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/>
      <c r="GB47" s="132"/>
      <c r="GC47" s="132"/>
      <c r="GD47" s="132"/>
      <c r="GE47" s="132"/>
      <c r="GF47" s="132"/>
      <c r="GG47" s="132"/>
      <c r="GH47" s="132"/>
      <c r="GI47" s="132"/>
      <c r="GJ47" s="132"/>
      <c r="GK47" s="132"/>
      <c r="GL47" s="132"/>
      <c r="GM47" s="132"/>
      <c r="GN47" s="132"/>
      <c r="GO47" s="132"/>
      <c r="GP47" s="132"/>
      <c r="GQ47" s="132"/>
      <c r="GR47" s="132"/>
      <c r="GS47" s="132"/>
      <c r="GT47" s="132"/>
      <c r="GU47" s="132"/>
      <c r="GV47" s="132"/>
      <c r="GW47" s="132"/>
      <c r="GX47" s="132"/>
      <c r="GY47" s="132"/>
      <c r="GZ47" s="132"/>
      <c r="HA47" s="132"/>
      <c r="HB47" s="132"/>
      <c r="HC47" s="132"/>
      <c r="HD47" s="132"/>
      <c r="HE47" s="132"/>
      <c r="HF47" s="132"/>
      <c r="HG47" s="132"/>
      <c r="HH47" s="132"/>
      <c r="HI47" s="132"/>
      <c r="HJ47" s="132"/>
      <c r="HK47" s="132"/>
      <c r="HL47" s="132"/>
      <c r="HM47" s="132"/>
      <c r="HN47" s="132"/>
      <c r="HO47" s="132"/>
    </row>
    <row r="48" spans="1:223" ht="15.75" hidden="1" customHeight="1" x14ac:dyDescent="0.35">
      <c r="A48" s="2"/>
      <c r="B48" s="48"/>
      <c r="C48" s="10"/>
      <c r="D48" s="181" t="s">
        <v>377</v>
      </c>
      <c r="E48" s="181"/>
      <c r="F48" s="181"/>
      <c r="G48" s="181"/>
      <c r="H48" s="181"/>
      <c r="I48" s="181"/>
      <c r="J48" s="181"/>
      <c r="K48" s="181"/>
      <c r="L48" s="181"/>
      <c r="M48" s="12"/>
      <c r="N48" s="12"/>
      <c r="O48" s="12"/>
      <c r="P48" s="177"/>
      <c r="Q48" s="178"/>
      <c r="R48" s="179"/>
      <c r="S48" s="180"/>
      <c r="U48" s="92"/>
      <c r="V48" s="93"/>
      <c r="W48" s="94"/>
      <c r="X48" s="92"/>
      <c r="Y48" s="95"/>
      <c r="Z48" s="95"/>
      <c r="AC48" s="96"/>
      <c r="AD48" s="97"/>
      <c r="AE48" s="97"/>
      <c r="AG48" s="96"/>
      <c r="AH48" s="97"/>
      <c r="AI48" s="97"/>
      <c r="AJ48" s="97"/>
      <c r="AK48" s="97"/>
      <c r="AL48" s="97"/>
      <c r="AM48" s="97"/>
      <c r="AP48" s="157"/>
      <c r="AQ48" s="191"/>
      <c r="AR48" s="191"/>
      <c r="AS48" s="192"/>
      <c r="AT48" s="193"/>
      <c r="AU48" s="194"/>
      <c r="AV48" s="194"/>
      <c r="AW48" s="193"/>
      <c r="AX48" s="194"/>
      <c r="AY48" s="193"/>
      <c r="AZ48" s="195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  <c r="BU48" s="132"/>
      <c r="BV48" s="132"/>
      <c r="BW48" s="132"/>
      <c r="BX48" s="132"/>
      <c r="BY48" s="132"/>
      <c r="BZ48" s="132"/>
      <c r="CA48" s="132"/>
      <c r="CB48" s="132"/>
      <c r="CC48" s="132"/>
      <c r="CD48" s="132"/>
      <c r="CE48" s="132"/>
      <c r="CF48" s="132"/>
      <c r="CG48" s="132"/>
      <c r="CH48" s="132"/>
      <c r="CI48" s="132"/>
      <c r="CJ48" s="132"/>
      <c r="CK48" s="132"/>
      <c r="CL48" s="132"/>
      <c r="CM48" s="132"/>
      <c r="CN48" s="132"/>
      <c r="CO48" s="132"/>
      <c r="CP48" s="132"/>
      <c r="CQ48" s="132"/>
      <c r="CR48" s="132"/>
      <c r="CS48" s="132"/>
      <c r="CT48" s="132"/>
      <c r="CU48" s="132"/>
      <c r="CV48" s="132"/>
      <c r="CW48" s="132"/>
      <c r="CX48" s="132"/>
      <c r="CY48" s="132"/>
      <c r="CZ48" s="132"/>
      <c r="DA48" s="132"/>
      <c r="DB48" s="132"/>
      <c r="DC48" s="132"/>
      <c r="DD48" s="132"/>
      <c r="DE48" s="132"/>
      <c r="DF48" s="132"/>
      <c r="DG48" s="132"/>
      <c r="DH48" s="132"/>
      <c r="DI48" s="132"/>
      <c r="DJ48" s="132"/>
      <c r="DK48" s="132"/>
      <c r="DL48" s="132"/>
      <c r="DM48" s="132"/>
      <c r="DN48" s="132"/>
      <c r="DO48" s="132"/>
      <c r="DP48" s="132"/>
      <c r="DQ48" s="132"/>
      <c r="DR48" s="132"/>
      <c r="DS48" s="132"/>
      <c r="DT48" s="132"/>
      <c r="DU48" s="132"/>
      <c r="DV48" s="132"/>
      <c r="DW48" s="132"/>
      <c r="DX48" s="132"/>
      <c r="DY48" s="132"/>
      <c r="DZ48" s="132"/>
      <c r="EA48" s="132"/>
      <c r="EB48" s="132"/>
      <c r="EC48" s="132"/>
      <c r="ED48" s="132"/>
      <c r="EE48" s="132"/>
      <c r="EF48" s="132"/>
      <c r="EG48" s="132"/>
      <c r="EH48" s="132"/>
      <c r="EI48" s="132"/>
      <c r="EJ48" s="132"/>
      <c r="EK48" s="132"/>
      <c r="EL48" s="132"/>
      <c r="EM48" s="132"/>
      <c r="EN48" s="132"/>
      <c r="EO48" s="132"/>
      <c r="EP48" s="132"/>
      <c r="EQ48" s="132"/>
      <c r="ER48" s="132"/>
      <c r="ES48" s="132"/>
      <c r="ET48" s="132"/>
      <c r="EU48" s="132"/>
      <c r="EV48" s="132"/>
      <c r="EW48" s="132"/>
      <c r="EX48" s="132"/>
      <c r="EY48" s="132"/>
      <c r="EZ48" s="132"/>
      <c r="FA48" s="132"/>
      <c r="FB48" s="132"/>
      <c r="FC48" s="132"/>
      <c r="FD48" s="132"/>
      <c r="FE48" s="132"/>
      <c r="FF48" s="132"/>
      <c r="FG48" s="132"/>
      <c r="FH48" s="132"/>
      <c r="FI48" s="132"/>
      <c r="FJ48" s="132"/>
      <c r="FK48" s="132"/>
      <c r="FL48" s="132"/>
      <c r="FM48" s="132"/>
      <c r="FN48" s="132"/>
      <c r="FO48" s="132"/>
      <c r="FP48" s="132"/>
      <c r="FQ48" s="132"/>
      <c r="FR48" s="132"/>
      <c r="FS48" s="132"/>
      <c r="FT48" s="132"/>
      <c r="FU48" s="132"/>
      <c r="FV48" s="132"/>
      <c r="FW48" s="132"/>
      <c r="FX48" s="132"/>
      <c r="FY48" s="132"/>
      <c r="FZ48" s="132"/>
      <c r="GA48" s="132"/>
      <c r="GB48" s="132"/>
      <c r="GC48" s="132"/>
      <c r="GD48" s="132"/>
      <c r="GE48" s="132"/>
      <c r="GF48" s="132"/>
      <c r="GG48" s="132"/>
      <c r="GH48" s="132"/>
      <c r="GI48" s="132"/>
      <c r="GJ48" s="132"/>
      <c r="GK48" s="132"/>
      <c r="GL48" s="132"/>
      <c r="GM48" s="132"/>
      <c r="GN48" s="132"/>
      <c r="GO48" s="132"/>
      <c r="GP48" s="132"/>
      <c r="GQ48" s="132"/>
      <c r="GR48" s="132"/>
      <c r="GS48" s="132"/>
      <c r="GT48" s="132"/>
      <c r="GU48" s="132"/>
      <c r="GV48" s="132"/>
      <c r="GW48" s="132"/>
      <c r="GX48" s="132"/>
      <c r="GY48" s="132"/>
      <c r="GZ48" s="132"/>
      <c r="HA48" s="132"/>
      <c r="HB48" s="132"/>
      <c r="HC48" s="132"/>
      <c r="HD48" s="132"/>
      <c r="HE48" s="132"/>
      <c r="HF48" s="132"/>
      <c r="HG48" s="132"/>
      <c r="HH48" s="132"/>
      <c r="HI48" s="132"/>
      <c r="HJ48" s="132"/>
      <c r="HK48" s="132"/>
      <c r="HL48" s="132"/>
      <c r="HM48" s="132"/>
      <c r="HN48" s="132"/>
      <c r="HO48" s="132"/>
    </row>
    <row r="49" spans="1:223" ht="15.75" hidden="1" customHeight="1" thickBot="1" x14ac:dyDescent="0.4">
      <c r="A49" s="2"/>
      <c r="B49" s="48"/>
      <c r="C49" s="10"/>
      <c r="D49" s="181" t="s">
        <v>378</v>
      </c>
      <c r="E49" s="181"/>
      <c r="F49" s="181"/>
      <c r="G49" s="181"/>
      <c r="H49" s="181"/>
      <c r="I49" s="181"/>
      <c r="J49" s="181"/>
      <c r="K49" s="181"/>
      <c r="L49" s="181"/>
      <c r="M49" s="12"/>
      <c r="N49" s="12"/>
      <c r="O49" s="12"/>
      <c r="P49" s="177"/>
      <c r="Q49" s="178"/>
      <c r="R49" s="179"/>
      <c r="S49" s="180"/>
      <c r="U49" s="92"/>
      <c r="V49" s="93"/>
      <c r="W49" s="94"/>
      <c r="X49" s="92"/>
      <c r="Y49" s="95"/>
      <c r="Z49" s="95"/>
      <c r="AC49" s="96"/>
      <c r="AD49" s="97"/>
      <c r="AE49" s="97"/>
      <c r="AG49" s="96"/>
      <c r="AH49" s="97"/>
      <c r="AI49" s="97"/>
      <c r="AJ49" s="97"/>
      <c r="AK49" s="97"/>
      <c r="AL49" s="97"/>
      <c r="AM49" s="97"/>
      <c r="AP49" s="157"/>
      <c r="AQ49" s="191"/>
      <c r="AR49" s="191"/>
      <c r="AS49" s="192"/>
      <c r="AT49" s="193"/>
      <c r="AU49" s="194"/>
      <c r="AV49" s="194"/>
      <c r="AW49" s="193"/>
      <c r="AX49" s="194"/>
      <c r="AY49" s="193"/>
      <c r="AZ49" s="195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132"/>
      <c r="BO49" s="132"/>
      <c r="BP49" s="132"/>
      <c r="BQ49" s="132"/>
      <c r="BR49" s="132"/>
      <c r="BS49" s="132"/>
      <c r="BT49" s="132"/>
      <c r="BU49" s="132"/>
      <c r="BV49" s="132"/>
      <c r="BW49" s="132"/>
      <c r="BX49" s="132"/>
      <c r="BY49" s="132"/>
      <c r="BZ49" s="132"/>
      <c r="CA49" s="132"/>
      <c r="CB49" s="132"/>
      <c r="CC49" s="132"/>
      <c r="CD49" s="132"/>
      <c r="CE49" s="132"/>
      <c r="CF49" s="132"/>
      <c r="CG49" s="132"/>
      <c r="CH49" s="132"/>
      <c r="CI49" s="132"/>
      <c r="CJ49" s="132"/>
      <c r="CK49" s="132"/>
      <c r="CL49" s="132"/>
      <c r="CM49" s="132"/>
      <c r="CN49" s="132"/>
      <c r="CO49" s="132"/>
      <c r="CP49" s="132"/>
      <c r="CQ49" s="132"/>
      <c r="CR49" s="132"/>
      <c r="CS49" s="132"/>
      <c r="CT49" s="132"/>
      <c r="CU49" s="132"/>
      <c r="CV49" s="132"/>
      <c r="CW49" s="132"/>
      <c r="CX49" s="132"/>
      <c r="CY49" s="132"/>
      <c r="CZ49" s="132"/>
      <c r="DA49" s="132"/>
      <c r="DB49" s="132"/>
      <c r="DC49" s="132"/>
      <c r="DD49" s="132"/>
      <c r="DE49" s="132"/>
      <c r="DF49" s="132"/>
      <c r="DG49" s="132"/>
      <c r="DH49" s="132"/>
      <c r="DI49" s="132"/>
      <c r="DJ49" s="132"/>
      <c r="DK49" s="132"/>
      <c r="DL49" s="132"/>
      <c r="DM49" s="132"/>
      <c r="DN49" s="132"/>
      <c r="DO49" s="132"/>
      <c r="DP49" s="132"/>
      <c r="DQ49" s="132"/>
      <c r="DR49" s="132"/>
      <c r="DS49" s="132"/>
      <c r="DT49" s="132"/>
      <c r="DU49" s="132"/>
      <c r="DV49" s="132"/>
      <c r="DW49" s="132"/>
      <c r="DX49" s="132"/>
      <c r="DY49" s="132"/>
      <c r="DZ49" s="132"/>
      <c r="EA49" s="132"/>
      <c r="EB49" s="132"/>
      <c r="EC49" s="132"/>
      <c r="ED49" s="132"/>
      <c r="EE49" s="132"/>
      <c r="EF49" s="132"/>
      <c r="EG49" s="132"/>
      <c r="EH49" s="132"/>
      <c r="EI49" s="132"/>
      <c r="EJ49" s="132"/>
      <c r="EK49" s="132"/>
      <c r="EL49" s="132"/>
      <c r="EM49" s="132"/>
      <c r="EN49" s="132"/>
      <c r="EO49" s="132"/>
      <c r="EP49" s="132"/>
      <c r="EQ49" s="132"/>
      <c r="ER49" s="132"/>
      <c r="ES49" s="132"/>
      <c r="ET49" s="132"/>
      <c r="EU49" s="132"/>
      <c r="EV49" s="132"/>
      <c r="EW49" s="132"/>
      <c r="EX49" s="132"/>
      <c r="EY49" s="132"/>
      <c r="EZ49" s="132"/>
      <c r="FA49" s="132"/>
      <c r="FB49" s="132"/>
      <c r="FC49" s="132"/>
      <c r="FD49" s="132"/>
      <c r="FE49" s="132"/>
      <c r="FF49" s="132"/>
      <c r="FG49" s="132"/>
      <c r="FH49" s="132"/>
      <c r="FI49" s="132"/>
      <c r="FJ49" s="132"/>
      <c r="FK49" s="132"/>
      <c r="FL49" s="132"/>
      <c r="FM49" s="132"/>
      <c r="FN49" s="132"/>
      <c r="FO49" s="132"/>
      <c r="FP49" s="132"/>
      <c r="FQ49" s="132"/>
      <c r="FR49" s="132"/>
      <c r="FS49" s="132"/>
      <c r="FT49" s="132"/>
      <c r="FU49" s="132"/>
      <c r="FV49" s="132"/>
      <c r="FW49" s="132"/>
      <c r="FX49" s="132"/>
      <c r="FY49" s="132"/>
      <c r="FZ49" s="132"/>
      <c r="GA49" s="132"/>
      <c r="GB49" s="132"/>
      <c r="GC49" s="132"/>
      <c r="GD49" s="132"/>
      <c r="GE49" s="132"/>
      <c r="GF49" s="132"/>
      <c r="GG49" s="132"/>
      <c r="GH49" s="132"/>
      <c r="GI49" s="132"/>
      <c r="GJ49" s="132"/>
      <c r="GK49" s="132"/>
      <c r="GL49" s="132"/>
      <c r="GM49" s="132"/>
      <c r="GN49" s="132"/>
      <c r="GO49" s="132"/>
      <c r="GP49" s="132"/>
      <c r="GQ49" s="132"/>
      <c r="GR49" s="132"/>
      <c r="GS49" s="132"/>
      <c r="GT49" s="132"/>
      <c r="GU49" s="132"/>
      <c r="GV49" s="132"/>
      <c r="GW49" s="132"/>
      <c r="GX49" s="132"/>
      <c r="GY49" s="132"/>
      <c r="GZ49" s="132"/>
      <c r="HA49" s="132"/>
      <c r="HB49" s="132"/>
      <c r="HC49" s="132"/>
      <c r="HD49" s="132"/>
      <c r="HE49" s="132"/>
      <c r="HF49" s="132"/>
      <c r="HG49" s="132"/>
      <c r="HH49" s="132"/>
      <c r="HI49" s="132"/>
      <c r="HJ49" s="132"/>
      <c r="HK49" s="132"/>
      <c r="HL49" s="132"/>
      <c r="HM49" s="132"/>
      <c r="HN49" s="132"/>
      <c r="HO49" s="132"/>
    </row>
    <row r="50" spans="1:223" ht="15.5" hidden="1" x14ac:dyDescent="0.35">
      <c r="A50" s="2"/>
      <c r="B50" s="48"/>
      <c r="C50" s="49"/>
      <c r="D50" s="52"/>
      <c r="I50" s="54"/>
      <c r="J50" s="57"/>
      <c r="K50" s="56"/>
      <c r="M50" s="12"/>
      <c r="N50" s="12"/>
      <c r="O50" s="12"/>
      <c r="P50" s="177"/>
      <c r="Q50" s="178"/>
      <c r="R50" s="179"/>
      <c r="S50" s="180"/>
      <c r="U50" s="92"/>
      <c r="V50" s="93"/>
      <c r="W50" s="94"/>
      <c r="X50" s="92"/>
      <c r="Y50" s="95"/>
      <c r="Z50" s="95"/>
      <c r="AC50" s="96"/>
      <c r="AD50" s="97"/>
      <c r="AE50" s="97"/>
      <c r="AG50" s="96"/>
      <c r="AH50" s="97"/>
      <c r="AI50" s="97"/>
      <c r="AJ50" s="97"/>
      <c r="AK50" s="97"/>
      <c r="AL50" s="97"/>
      <c r="AM50" s="97"/>
      <c r="AP50" s="157"/>
      <c r="AQ50" s="191"/>
      <c r="AR50" s="191"/>
      <c r="AS50" s="192"/>
      <c r="AT50" s="193"/>
      <c r="AU50" s="194"/>
      <c r="AV50" s="194"/>
      <c r="AW50" s="193"/>
      <c r="AX50" s="194"/>
      <c r="AY50" s="193"/>
      <c r="AZ50" s="195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  <c r="CC50" s="132"/>
      <c r="CD50" s="132"/>
      <c r="CE50" s="132"/>
      <c r="CF50" s="132"/>
      <c r="CG50" s="132"/>
      <c r="CH50" s="132"/>
      <c r="CI50" s="132"/>
      <c r="CJ50" s="132"/>
      <c r="CK50" s="132"/>
      <c r="CL50" s="132"/>
      <c r="CM50" s="132"/>
      <c r="CN50" s="132"/>
      <c r="CO50" s="132"/>
      <c r="CP50" s="132"/>
      <c r="CQ50" s="132"/>
      <c r="CR50" s="132"/>
      <c r="CS50" s="132"/>
      <c r="CT50" s="132"/>
      <c r="CU50" s="132"/>
      <c r="CV50" s="132"/>
      <c r="CW50" s="132"/>
      <c r="CX50" s="132"/>
      <c r="CY50" s="132"/>
      <c r="CZ50" s="132"/>
      <c r="DA50" s="132"/>
      <c r="DB50" s="132"/>
      <c r="DC50" s="132"/>
      <c r="DD50" s="132"/>
      <c r="DE50" s="132"/>
      <c r="DF50" s="132"/>
      <c r="DG50" s="132"/>
      <c r="DH50" s="132"/>
      <c r="DI50" s="132"/>
      <c r="DJ50" s="132"/>
      <c r="DK50" s="132"/>
      <c r="DL50" s="132"/>
      <c r="DM50" s="132"/>
      <c r="DN50" s="132"/>
      <c r="DO50" s="132"/>
      <c r="DP50" s="132"/>
      <c r="DQ50" s="132"/>
      <c r="DR50" s="132"/>
      <c r="DS50" s="132"/>
      <c r="DT50" s="132"/>
      <c r="DU50" s="132"/>
      <c r="DV50" s="132"/>
      <c r="DW50" s="132"/>
      <c r="DX50" s="132"/>
      <c r="DY50" s="132"/>
      <c r="DZ50" s="132"/>
      <c r="EA50" s="132"/>
      <c r="EB50" s="132"/>
      <c r="EC50" s="132"/>
      <c r="ED50" s="132"/>
      <c r="EE50" s="132"/>
      <c r="EF50" s="132"/>
      <c r="EG50" s="132"/>
      <c r="EH50" s="132"/>
      <c r="EI50" s="132"/>
      <c r="EJ50" s="132"/>
      <c r="EK50" s="132"/>
      <c r="EL50" s="132"/>
      <c r="EM50" s="132"/>
      <c r="EN50" s="132"/>
      <c r="EO50" s="132"/>
      <c r="EP50" s="132"/>
      <c r="EQ50" s="132"/>
      <c r="ER50" s="132"/>
      <c r="ES50" s="132"/>
      <c r="ET50" s="132"/>
      <c r="EU50" s="132"/>
      <c r="EV50" s="132"/>
      <c r="EW50" s="132"/>
      <c r="EX50" s="132"/>
      <c r="EY50" s="132"/>
      <c r="EZ50" s="132"/>
      <c r="FA50" s="132"/>
      <c r="FB50" s="132"/>
      <c r="FC50" s="132"/>
      <c r="FD50" s="132"/>
      <c r="FE50" s="132"/>
      <c r="FF50" s="132"/>
      <c r="FG50" s="132"/>
      <c r="FH50" s="132"/>
      <c r="FI50" s="132"/>
      <c r="FJ50" s="132"/>
      <c r="FK50" s="132"/>
      <c r="FL50" s="132"/>
      <c r="FM50" s="132"/>
      <c r="FN50" s="132"/>
      <c r="FO50" s="132"/>
      <c r="FP50" s="132"/>
      <c r="FQ50" s="132"/>
      <c r="FR50" s="132"/>
      <c r="FS50" s="132"/>
      <c r="FT50" s="132"/>
      <c r="FU50" s="132"/>
      <c r="FV50" s="132"/>
      <c r="FW50" s="132"/>
      <c r="FX50" s="132"/>
      <c r="FY50" s="132"/>
      <c r="FZ50" s="132"/>
      <c r="GA50" s="132"/>
      <c r="GB50" s="132"/>
      <c r="GC50" s="132"/>
      <c r="GD50" s="132"/>
      <c r="GE50" s="132"/>
      <c r="GF50" s="132"/>
      <c r="GG50" s="132"/>
      <c r="GH50" s="132"/>
      <c r="GI50" s="132"/>
      <c r="GJ50" s="132"/>
      <c r="GK50" s="132"/>
      <c r="GL50" s="132"/>
      <c r="GM50" s="132"/>
      <c r="GN50" s="132"/>
      <c r="GO50" s="132"/>
      <c r="GP50" s="132"/>
      <c r="GQ50" s="132"/>
      <c r="GR50" s="132"/>
      <c r="GS50" s="132"/>
      <c r="GT50" s="132"/>
      <c r="GU50" s="132"/>
      <c r="GV50" s="132"/>
      <c r="GW50" s="132"/>
      <c r="GX50" s="132"/>
      <c r="GY50" s="132"/>
      <c r="GZ50" s="132"/>
      <c r="HA50" s="132"/>
      <c r="HB50" s="132"/>
      <c r="HC50" s="132"/>
      <c r="HD50" s="132"/>
      <c r="HE50" s="132"/>
      <c r="HF50" s="132"/>
      <c r="HG50" s="132"/>
      <c r="HH50" s="132"/>
      <c r="HI50" s="132"/>
      <c r="HJ50" s="132"/>
      <c r="HK50" s="132"/>
      <c r="HL50" s="132"/>
      <c r="HM50" s="132"/>
      <c r="HN50" s="132"/>
      <c r="HO50" s="132"/>
    </row>
    <row r="51" spans="1:223" ht="15.5" hidden="1" x14ac:dyDescent="0.35">
      <c r="A51" s="2"/>
      <c r="B51" s="48"/>
      <c r="C51" s="49"/>
      <c r="D51" s="52"/>
      <c r="I51" s="54"/>
      <c r="J51" s="57"/>
      <c r="K51" s="56"/>
      <c r="M51" s="12"/>
      <c r="N51" s="12"/>
      <c r="O51" s="12"/>
      <c r="P51" s="177"/>
      <c r="Q51" s="178"/>
      <c r="R51" s="179"/>
      <c r="S51" s="180"/>
      <c r="U51" s="92"/>
      <c r="V51" s="93"/>
      <c r="W51" s="94"/>
      <c r="X51" s="92"/>
      <c r="Y51" s="95"/>
      <c r="Z51" s="95"/>
      <c r="AC51" s="96"/>
      <c r="AD51" s="97"/>
      <c r="AE51" s="97"/>
      <c r="AG51" s="96"/>
      <c r="AH51" s="97"/>
      <c r="AI51" s="97"/>
      <c r="AJ51" s="97"/>
      <c r="AK51" s="97"/>
      <c r="AL51" s="97"/>
      <c r="AM51" s="97"/>
      <c r="AP51" s="157"/>
      <c r="AQ51" s="191"/>
      <c r="AR51" s="191"/>
      <c r="AS51" s="192"/>
      <c r="AT51" s="193"/>
      <c r="AU51" s="194"/>
      <c r="AV51" s="194"/>
      <c r="AW51" s="193"/>
      <c r="AX51" s="194"/>
      <c r="AY51" s="193"/>
      <c r="AZ51" s="195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132"/>
      <c r="BO51" s="132"/>
      <c r="BP51" s="132"/>
      <c r="BQ51" s="132"/>
      <c r="BR51" s="132"/>
      <c r="BS51" s="132"/>
      <c r="BT51" s="132"/>
      <c r="BU51" s="132"/>
      <c r="BV51" s="132"/>
      <c r="BW51" s="132"/>
      <c r="BX51" s="132"/>
      <c r="BY51" s="132"/>
      <c r="BZ51" s="132"/>
      <c r="CA51" s="132"/>
      <c r="CB51" s="132"/>
      <c r="CC51" s="132"/>
      <c r="CD51" s="132"/>
      <c r="CE51" s="132"/>
      <c r="CF51" s="132"/>
      <c r="CG51" s="132"/>
      <c r="CH51" s="132"/>
      <c r="CI51" s="132"/>
      <c r="CJ51" s="132"/>
      <c r="CK51" s="132"/>
      <c r="CL51" s="132"/>
      <c r="CM51" s="132"/>
      <c r="CN51" s="132"/>
      <c r="CO51" s="132"/>
      <c r="CP51" s="132"/>
      <c r="CQ51" s="132"/>
      <c r="CR51" s="132"/>
      <c r="CS51" s="132"/>
      <c r="CT51" s="132"/>
      <c r="CU51" s="132"/>
      <c r="CV51" s="132"/>
      <c r="CW51" s="132"/>
      <c r="CX51" s="132"/>
      <c r="CY51" s="132"/>
      <c r="CZ51" s="132"/>
      <c r="DA51" s="132"/>
      <c r="DB51" s="132"/>
      <c r="DC51" s="132"/>
      <c r="DD51" s="132"/>
      <c r="DE51" s="132"/>
      <c r="DF51" s="132"/>
      <c r="DG51" s="132"/>
      <c r="DH51" s="132"/>
      <c r="DI51" s="132"/>
      <c r="DJ51" s="132"/>
      <c r="DK51" s="132"/>
      <c r="DL51" s="132"/>
      <c r="DM51" s="132"/>
      <c r="DN51" s="132"/>
      <c r="DO51" s="132"/>
      <c r="DP51" s="132"/>
      <c r="DQ51" s="132"/>
      <c r="DR51" s="132"/>
      <c r="DS51" s="132"/>
      <c r="DT51" s="132"/>
      <c r="DU51" s="132"/>
      <c r="DV51" s="132"/>
      <c r="DW51" s="132"/>
      <c r="DX51" s="132"/>
      <c r="DY51" s="132"/>
      <c r="DZ51" s="132"/>
      <c r="EA51" s="132"/>
      <c r="EB51" s="132"/>
      <c r="EC51" s="132"/>
      <c r="ED51" s="132"/>
      <c r="EE51" s="132"/>
      <c r="EF51" s="132"/>
      <c r="EG51" s="132"/>
      <c r="EH51" s="132"/>
      <c r="EI51" s="132"/>
      <c r="EJ51" s="132"/>
      <c r="EK51" s="132"/>
      <c r="EL51" s="132"/>
      <c r="EM51" s="132"/>
      <c r="EN51" s="132"/>
      <c r="EO51" s="132"/>
      <c r="EP51" s="132"/>
      <c r="EQ51" s="132"/>
      <c r="ER51" s="132"/>
      <c r="ES51" s="132"/>
      <c r="ET51" s="132"/>
      <c r="EU51" s="132"/>
      <c r="EV51" s="132"/>
      <c r="EW51" s="132"/>
      <c r="EX51" s="132"/>
      <c r="EY51" s="132"/>
      <c r="EZ51" s="132"/>
      <c r="FA51" s="132"/>
      <c r="FB51" s="132"/>
      <c r="FC51" s="132"/>
      <c r="FD51" s="132"/>
      <c r="FE51" s="132"/>
      <c r="FF51" s="132"/>
      <c r="FG51" s="132"/>
      <c r="FH51" s="132"/>
      <c r="FI51" s="132"/>
      <c r="FJ51" s="132"/>
      <c r="FK51" s="132"/>
      <c r="FL51" s="132"/>
      <c r="FM51" s="132"/>
      <c r="FN51" s="132"/>
      <c r="FO51" s="132"/>
      <c r="FP51" s="132"/>
      <c r="FQ51" s="132"/>
      <c r="FR51" s="132"/>
      <c r="FS51" s="132"/>
      <c r="FT51" s="132"/>
      <c r="FU51" s="132"/>
      <c r="FV51" s="132"/>
      <c r="FW51" s="132"/>
      <c r="FX51" s="132"/>
      <c r="FY51" s="132"/>
      <c r="FZ51" s="132"/>
      <c r="GA51" s="132"/>
      <c r="GB51" s="132"/>
      <c r="GC51" s="132"/>
      <c r="GD51" s="132"/>
      <c r="GE51" s="132"/>
      <c r="GF51" s="132"/>
      <c r="GG51" s="132"/>
      <c r="GH51" s="132"/>
      <c r="GI51" s="132"/>
      <c r="GJ51" s="132"/>
      <c r="GK51" s="132"/>
      <c r="GL51" s="132"/>
      <c r="GM51" s="132"/>
      <c r="GN51" s="132"/>
      <c r="GO51" s="132"/>
      <c r="GP51" s="132"/>
      <c r="GQ51" s="132"/>
      <c r="GR51" s="132"/>
      <c r="GS51" s="132"/>
      <c r="GT51" s="132"/>
      <c r="GU51" s="132"/>
      <c r="GV51" s="132"/>
      <c r="GW51" s="132"/>
      <c r="GX51" s="132"/>
      <c r="GY51" s="132"/>
      <c r="GZ51" s="132"/>
      <c r="HA51" s="132"/>
      <c r="HB51" s="132"/>
      <c r="HC51" s="132"/>
      <c r="HD51" s="132"/>
      <c r="HE51" s="132"/>
      <c r="HF51" s="132"/>
      <c r="HG51" s="132"/>
      <c r="HH51" s="132"/>
      <c r="HI51" s="132"/>
      <c r="HJ51" s="132"/>
      <c r="HK51" s="132"/>
      <c r="HL51" s="132"/>
      <c r="HM51" s="132"/>
      <c r="HN51" s="132"/>
      <c r="HO51" s="132"/>
    </row>
    <row r="52" spans="1:223" ht="15.5" hidden="1" x14ac:dyDescent="0.35">
      <c r="A52" s="2"/>
      <c r="B52" s="48"/>
      <c r="C52" s="49"/>
      <c r="D52" s="52"/>
      <c r="I52" s="54"/>
      <c r="J52" s="57"/>
      <c r="K52" s="56"/>
      <c r="M52" s="12"/>
      <c r="N52" s="12"/>
      <c r="O52" s="12"/>
      <c r="P52" s="177"/>
      <c r="Q52" s="178"/>
      <c r="R52" s="179"/>
      <c r="S52" s="180"/>
      <c r="U52" s="92"/>
      <c r="V52" s="93"/>
      <c r="W52" s="94"/>
      <c r="X52" s="92"/>
      <c r="Y52" s="95"/>
      <c r="Z52" s="95"/>
      <c r="AC52" s="96"/>
      <c r="AD52" s="97"/>
      <c r="AE52" s="97"/>
      <c r="AG52" s="96"/>
      <c r="AH52" s="97"/>
      <c r="AI52" s="97"/>
      <c r="AJ52" s="97"/>
      <c r="AK52" s="97"/>
      <c r="AL52" s="97"/>
      <c r="AM52" s="97"/>
      <c r="AP52" s="157"/>
      <c r="AQ52" s="191"/>
      <c r="AR52" s="191"/>
      <c r="AS52" s="192"/>
      <c r="AT52" s="193"/>
      <c r="AU52" s="194"/>
      <c r="AV52" s="194"/>
      <c r="AW52" s="193"/>
      <c r="AX52" s="194"/>
      <c r="AY52" s="193"/>
      <c r="AZ52" s="195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2"/>
      <c r="BZ52" s="132"/>
      <c r="CA52" s="132"/>
      <c r="CB52" s="132"/>
      <c r="CC52" s="132"/>
      <c r="CD52" s="132"/>
      <c r="CE52" s="132"/>
      <c r="CF52" s="132"/>
      <c r="CG52" s="132"/>
      <c r="CH52" s="132"/>
      <c r="CI52" s="132"/>
      <c r="CJ52" s="132"/>
      <c r="CK52" s="132"/>
      <c r="CL52" s="132"/>
      <c r="CM52" s="132"/>
      <c r="CN52" s="132"/>
      <c r="CO52" s="132"/>
      <c r="CP52" s="132"/>
      <c r="CQ52" s="132"/>
      <c r="CR52" s="132"/>
      <c r="CS52" s="132"/>
      <c r="CT52" s="132"/>
      <c r="CU52" s="132"/>
      <c r="CV52" s="132"/>
      <c r="CW52" s="132"/>
      <c r="CX52" s="132"/>
      <c r="CY52" s="132"/>
      <c r="CZ52" s="132"/>
      <c r="DA52" s="132"/>
      <c r="DB52" s="132"/>
      <c r="DC52" s="132"/>
      <c r="DD52" s="132"/>
      <c r="DE52" s="132"/>
      <c r="DF52" s="132"/>
      <c r="DG52" s="132"/>
      <c r="DH52" s="132"/>
      <c r="DI52" s="132"/>
      <c r="DJ52" s="132"/>
      <c r="DK52" s="132"/>
      <c r="DL52" s="132"/>
      <c r="DM52" s="132"/>
      <c r="DN52" s="132"/>
      <c r="DO52" s="132"/>
      <c r="DP52" s="132"/>
      <c r="DQ52" s="132"/>
      <c r="DR52" s="132"/>
      <c r="DS52" s="132"/>
      <c r="DT52" s="132"/>
      <c r="DU52" s="132"/>
      <c r="DV52" s="132"/>
      <c r="DW52" s="132"/>
      <c r="DX52" s="132"/>
      <c r="DY52" s="132"/>
      <c r="DZ52" s="132"/>
      <c r="EA52" s="132"/>
      <c r="EB52" s="132"/>
      <c r="EC52" s="132"/>
      <c r="ED52" s="132"/>
      <c r="EE52" s="132"/>
      <c r="EF52" s="132"/>
      <c r="EG52" s="132"/>
      <c r="EH52" s="132"/>
      <c r="EI52" s="132"/>
      <c r="EJ52" s="132"/>
      <c r="EK52" s="132"/>
      <c r="EL52" s="132"/>
      <c r="EM52" s="132"/>
      <c r="EN52" s="132"/>
      <c r="EO52" s="132"/>
      <c r="EP52" s="132"/>
      <c r="EQ52" s="132"/>
      <c r="ER52" s="132"/>
      <c r="ES52" s="132"/>
      <c r="ET52" s="132"/>
      <c r="EU52" s="132"/>
      <c r="EV52" s="132"/>
      <c r="EW52" s="132"/>
      <c r="EX52" s="132"/>
      <c r="EY52" s="132"/>
      <c r="EZ52" s="132"/>
      <c r="FA52" s="132"/>
      <c r="FB52" s="132"/>
      <c r="FC52" s="132"/>
      <c r="FD52" s="132"/>
      <c r="FE52" s="132"/>
      <c r="FF52" s="132"/>
      <c r="FG52" s="132"/>
      <c r="FH52" s="132"/>
      <c r="FI52" s="132"/>
      <c r="FJ52" s="132"/>
      <c r="FK52" s="132"/>
      <c r="FL52" s="132"/>
      <c r="FM52" s="132"/>
      <c r="FN52" s="132"/>
      <c r="FO52" s="132"/>
      <c r="FP52" s="132"/>
      <c r="FQ52" s="132"/>
      <c r="FR52" s="132"/>
      <c r="FS52" s="132"/>
      <c r="FT52" s="132"/>
      <c r="FU52" s="132"/>
      <c r="FV52" s="132"/>
      <c r="FW52" s="132"/>
      <c r="FX52" s="132"/>
      <c r="FY52" s="132"/>
      <c r="FZ52" s="132"/>
      <c r="GA52" s="132"/>
      <c r="GB52" s="132"/>
      <c r="GC52" s="132"/>
      <c r="GD52" s="132"/>
      <c r="GE52" s="132"/>
      <c r="GF52" s="132"/>
      <c r="GG52" s="132"/>
      <c r="GH52" s="132"/>
      <c r="GI52" s="132"/>
      <c r="GJ52" s="132"/>
      <c r="GK52" s="132"/>
      <c r="GL52" s="132"/>
      <c r="GM52" s="132"/>
      <c r="GN52" s="132"/>
      <c r="GO52" s="132"/>
      <c r="GP52" s="132"/>
      <c r="GQ52" s="132"/>
      <c r="GR52" s="132"/>
      <c r="GS52" s="132"/>
      <c r="GT52" s="132"/>
      <c r="GU52" s="132"/>
      <c r="GV52" s="132"/>
      <c r="GW52" s="132"/>
      <c r="GX52" s="132"/>
      <c r="GY52" s="132"/>
      <c r="GZ52" s="132"/>
      <c r="HA52" s="132"/>
      <c r="HB52" s="132"/>
      <c r="HC52" s="132"/>
      <c r="HD52" s="132"/>
      <c r="HE52" s="132"/>
      <c r="HF52" s="132"/>
      <c r="HG52" s="132"/>
      <c r="HH52" s="132"/>
      <c r="HI52" s="132"/>
      <c r="HJ52" s="132"/>
      <c r="HK52" s="132"/>
      <c r="HL52" s="132"/>
      <c r="HM52" s="132"/>
      <c r="HN52" s="132"/>
      <c r="HO52" s="132"/>
    </row>
    <row r="53" spans="1:223" ht="15.5" hidden="1" x14ac:dyDescent="0.35">
      <c r="A53" s="2"/>
      <c r="B53" s="48"/>
      <c r="C53" s="49"/>
      <c r="D53" s="52"/>
      <c r="I53" s="54"/>
      <c r="J53" s="57"/>
      <c r="K53" s="56"/>
      <c r="M53" s="12"/>
      <c r="N53" s="12"/>
      <c r="O53" s="12"/>
      <c r="P53" s="177"/>
      <c r="Q53" s="178"/>
      <c r="R53" s="179"/>
      <c r="S53" s="180"/>
      <c r="U53" s="92"/>
      <c r="V53" s="93"/>
      <c r="W53" s="94"/>
      <c r="X53" s="92"/>
      <c r="Y53" s="95"/>
      <c r="Z53" s="95"/>
      <c r="AC53" s="96"/>
      <c r="AD53" s="97"/>
      <c r="AE53" s="97"/>
      <c r="AG53" s="96"/>
      <c r="AH53" s="97"/>
      <c r="AI53" s="97"/>
      <c r="AJ53" s="97"/>
      <c r="AK53" s="97"/>
      <c r="AL53" s="97"/>
      <c r="AM53" s="97"/>
      <c r="AP53" s="157"/>
      <c r="AQ53" s="191"/>
      <c r="AR53" s="191"/>
      <c r="AS53" s="192"/>
      <c r="AT53" s="193"/>
      <c r="AU53" s="194"/>
      <c r="AV53" s="194"/>
      <c r="AW53" s="193"/>
      <c r="AX53" s="194"/>
      <c r="AY53" s="193"/>
      <c r="AZ53" s="195"/>
      <c r="BA53" s="132"/>
      <c r="BB53" s="132"/>
      <c r="BC53" s="132"/>
      <c r="BD53" s="132"/>
      <c r="BE53" s="132"/>
      <c r="BF53" s="132"/>
      <c r="BG53" s="132"/>
      <c r="BH53" s="132"/>
      <c r="BI53" s="132"/>
      <c r="BJ53" s="132"/>
      <c r="BK53" s="132"/>
      <c r="BL53" s="132"/>
      <c r="BM53" s="132"/>
      <c r="BN53" s="132"/>
      <c r="BO53" s="132"/>
      <c r="BP53" s="132"/>
      <c r="BQ53" s="132"/>
      <c r="BR53" s="132"/>
      <c r="BS53" s="132"/>
      <c r="BT53" s="132"/>
      <c r="BU53" s="132"/>
      <c r="BV53" s="132"/>
      <c r="BW53" s="132"/>
      <c r="BX53" s="132"/>
      <c r="BY53" s="132"/>
      <c r="BZ53" s="132"/>
      <c r="CA53" s="132"/>
      <c r="CB53" s="132"/>
      <c r="CC53" s="132"/>
      <c r="CD53" s="132"/>
      <c r="CE53" s="132"/>
      <c r="CF53" s="132"/>
      <c r="CG53" s="132"/>
      <c r="CH53" s="132"/>
      <c r="CI53" s="132"/>
      <c r="CJ53" s="132"/>
      <c r="CK53" s="132"/>
      <c r="CL53" s="132"/>
      <c r="CM53" s="132"/>
      <c r="CN53" s="132"/>
      <c r="CO53" s="132"/>
      <c r="CP53" s="132"/>
      <c r="CQ53" s="132"/>
      <c r="CR53" s="132"/>
      <c r="CS53" s="132"/>
      <c r="CT53" s="132"/>
      <c r="CU53" s="132"/>
      <c r="CV53" s="132"/>
      <c r="CW53" s="132"/>
      <c r="CX53" s="132"/>
      <c r="CY53" s="132"/>
      <c r="CZ53" s="132"/>
      <c r="DA53" s="132"/>
      <c r="DB53" s="132"/>
      <c r="DC53" s="132"/>
      <c r="DD53" s="132"/>
      <c r="DE53" s="132"/>
      <c r="DF53" s="132"/>
      <c r="DG53" s="132"/>
      <c r="DH53" s="132"/>
      <c r="DI53" s="132"/>
      <c r="DJ53" s="132"/>
      <c r="DK53" s="132"/>
      <c r="DL53" s="132"/>
      <c r="DM53" s="132"/>
      <c r="DN53" s="132"/>
      <c r="DO53" s="132"/>
      <c r="DP53" s="132"/>
      <c r="DQ53" s="132"/>
      <c r="DR53" s="132"/>
      <c r="DS53" s="132"/>
      <c r="DT53" s="132"/>
      <c r="DU53" s="132"/>
      <c r="DV53" s="132"/>
      <c r="DW53" s="132"/>
      <c r="DX53" s="132"/>
      <c r="DY53" s="132"/>
      <c r="DZ53" s="132"/>
      <c r="EA53" s="132"/>
      <c r="EB53" s="132"/>
      <c r="EC53" s="132"/>
      <c r="ED53" s="132"/>
      <c r="EE53" s="132"/>
      <c r="EF53" s="132"/>
      <c r="EG53" s="132"/>
      <c r="EH53" s="132"/>
      <c r="EI53" s="132"/>
      <c r="EJ53" s="132"/>
      <c r="EK53" s="132"/>
      <c r="EL53" s="132"/>
      <c r="EM53" s="132"/>
      <c r="EN53" s="132"/>
      <c r="EO53" s="132"/>
      <c r="EP53" s="132"/>
      <c r="EQ53" s="132"/>
      <c r="ER53" s="132"/>
      <c r="ES53" s="132"/>
      <c r="ET53" s="132"/>
      <c r="EU53" s="132"/>
      <c r="EV53" s="132"/>
      <c r="EW53" s="132"/>
      <c r="EX53" s="132"/>
      <c r="EY53" s="132"/>
      <c r="EZ53" s="132"/>
      <c r="FA53" s="132"/>
      <c r="FB53" s="132"/>
      <c r="FC53" s="132"/>
      <c r="FD53" s="132"/>
      <c r="FE53" s="132"/>
      <c r="FF53" s="132"/>
      <c r="FG53" s="132"/>
      <c r="FH53" s="132"/>
      <c r="FI53" s="132"/>
      <c r="FJ53" s="132"/>
      <c r="FK53" s="132"/>
      <c r="FL53" s="132"/>
      <c r="FM53" s="132"/>
      <c r="FN53" s="132"/>
      <c r="FO53" s="132"/>
      <c r="FP53" s="132"/>
      <c r="FQ53" s="132"/>
      <c r="FR53" s="132"/>
      <c r="FS53" s="132"/>
      <c r="FT53" s="132"/>
      <c r="FU53" s="132"/>
      <c r="FV53" s="132"/>
      <c r="FW53" s="132"/>
      <c r="FX53" s="132"/>
      <c r="FY53" s="132"/>
      <c r="FZ53" s="132"/>
      <c r="GA53" s="132"/>
      <c r="GB53" s="132"/>
      <c r="GC53" s="132"/>
      <c r="GD53" s="132"/>
      <c r="GE53" s="132"/>
      <c r="GF53" s="132"/>
      <c r="GG53" s="132"/>
      <c r="GH53" s="132"/>
      <c r="GI53" s="132"/>
      <c r="GJ53" s="132"/>
      <c r="GK53" s="132"/>
      <c r="GL53" s="132"/>
      <c r="GM53" s="132"/>
      <c r="GN53" s="132"/>
      <c r="GO53" s="132"/>
      <c r="GP53" s="132"/>
      <c r="GQ53" s="132"/>
      <c r="GR53" s="132"/>
      <c r="GS53" s="132"/>
      <c r="GT53" s="132"/>
      <c r="GU53" s="132"/>
      <c r="GV53" s="132"/>
      <c r="GW53" s="132"/>
      <c r="GX53" s="132"/>
      <c r="GY53" s="132"/>
      <c r="GZ53" s="132"/>
      <c r="HA53" s="132"/>
      <c r="HB53" s="132"/>
      <c r="HC53" s="132"/>
      <c r="HD53" s="132"/>
      <c r="HE53" s="132"/>
      <c r="HF53" s="132"/>
      <c r="HG53" s="132"/>
      <c r="HH53" s="132"/>
      <c r="HI53" s="132"/>
      <c r="HJ53" s="132"/>
      <c r="HK53" s="132"/>
      <c r="HL53" s="132"/>
      <c r="HM53" s="132"/>
      <c r="HN53" s="132"/>
      <c r="HO53" s="132"/>
    </row>
    <row r="54" spans="1:223" ht="15.5" hidden="1" x14ac:dyDescent="0.35">
      <c r="A54" s="2"/>
      <c r="B54" s="48"/>
      <c r="C54" s="49"/>
      <c r="D54" s="52"/>
      <c r="I54" s="54"/>
      <c r="J54" s="57"/>
      <c r="K54" s="56"/>
      <c r="M54" s="12"/>
      <c r="N54" s="12"/>
      <c r="O54" s="12"/>
      <c r="P54" s="177"/>
      <c r="Q54" s="178"/>
      <c r="R54" s="179"/>
      <c r="S54" s="180"/>
      <c r="U54" s="92"/>
      <c r="V54" s="93"/>
      <c r="W54" s="94"/>
      <c r="X54" s="92"/>
      <c r="Y54" s="95"/>
      <c r="Z54" s="95"/>
      <c r="AC54" s="96"/>
      <c r="AD54" s="97"/>
      <c r="AE54" s="97"/>
      <c r="AG54" s="96"/>
      <c r="AH54" s="97"/>
      <c r="AI54" s="97"/>
      <c r="AJ54" s="97"/>
      <c r="AK54" s="97"/>
      <c r="AL54" s="97"/>
      <c r="AM54" s="97"/>
      <c r="AP54" s="157"/>
      <c r="AQ54" s="191"/>
      <c r="AR54" s="191"/>
      <c r="AS54" s="192"/>
      <c r="AT54" s="193"/>
      <c r="AU54" s="194"/>
      <c r="AV54" s="194"/>
      <c r="AW54" s="193"/>
      <c r="AX54" s="194"/>
      <c r="AY54" s="193"/>
      <c r="AZ54" s="195"/>
      <c r="BA54" s="132"/>
      <c r="BB54" s="132"/>
      <c r="BC54" s="132"/>
      <c r="BD54" s="132"/>
      <c r="BE54" s="132"/>
      <c r="BF54" s="132"/>
      <c r="BG54" s="132"/>
      <c r="BH54" s="132"/>
      <c r="BI54" s="132"/>
      <c r="BJ54" s="132"/>
      <c r="BK54" s="132"/>
      <c r="BL54" s="132"/>
      <c r="BM54" s="132"/>
      <c r="BN54" s="132"/>
      <c r="BO54" s="132"/>
      <c r="BP54" s="132"/>
      <c r="BQ54" s="132"/>
      <c r="BR54" s="132"/>
      <c r="BS54" s="132"/>
      <c r="BT54" s="132"/>
      <c r="BU54" s="132"/>
      <c r="BV54" s="132"/>
      <c r="BW54" s="132"/>
      <c r="BX54" s="132"/>
      <c r="BY54" s="132"/>
      <c r="BZ54" s="132"/>
      <c r="CA54" s="132"/>
      <c r="CB54" s="132"/>
      <c r="CC54" s="132"/>
      <c r="CD54" s="132"/>
      <c r="CE54" s="132"/>
      <c r="CF54" s="132"/>
      <c r="CG54" s="132"/>
      <c r="CH54" s="132"/>
      <c r="CI54" s="132"/>
      <c r="CJ54" s="132"/>
      <c r="CK54" s="132"/>
      <c r="CL54" s="132"/>
      <c r="CM54" s="132"/>
      <c r="CN54" s="132"/>
      <c r="CO54" s="132"/>
      <c r="CP54" s="132"/>
      <c r="CQ54" s="132"/>
      <c r="CR54" s="132"/>
      <c r="CS54" s="132"/>
      <c r="CT54" s="132"/>
      <c r="CU54" s="132"/>
      <c r="CV54" s="132"/>
      <c r="CW54" s="132"/>
      <c r="CX54" s="132"/>
      <c r="CY54" s="132"/>
      <c r="CZ54" s="132"/>
      <c r="DA54" s="132"/>
      <c r="DB54" s="132"/>
      <c r="DC54" s="132"/>
      <c r="DD54" s="132"/>
      <c r="DE54" s="132"/>
      <c r="DF54" s="132"/>
      <c r="DG54" s="132"/>
      <c r="DH54" s="132"/>
      <c r="DI54" s="132"/>
      <c r="DJ54" s="132"/>
      <c r="DK54" s="132"/>
      <c r="DL54" s="132"/>
      <c r="DM54" s="132"/>
      <c r="DN54" s="132"/>
      <c r="DO54" s="132"/>
      <c r="DP54" s="132"/>
      <c r="DQ54" s="132"/>
      <c r="DR54" s="132"/>
      <c r="DS54" s="132"/>
      <c r="DT54" s="132"/>
      <c r="DU54" s="132"/>
      <c r="DV54" s="132"/>
      <c r="DW54" s="132"/>
      <c r="DX54" s="132"/>
      <c r="DY54" s="132"/>
      <c r="DZ54" s="132"/>
      <c r="EA54" s="132"/>
      <c r="EB54" s="132"/>
      <c r="EC54" s="132"/>
      <c r="ED54" s="132"/>
      <c r="EE54" s="132"/>
      <c r="EF54" s="132"/>
      <c r="EG54" s="132"/>
      <c r="EH54" s="132"/>
      <c r="EI54" s="132"/>
      <c r="EJ54" s="132"/>
      <c r="EK54" s="132"/>
      <c r="EL54" s="132"/>
      <c r="EM54" s="132"/>
      <c r="EN54" s="132"/>
      <c r="EO54" s="132"/>
      <c r="EP54" s="132"/>
      <c r="EQ54" s="132"/>
      <c r="ER54" s="132"/>
      <c r="ES54" s="132"/>
      <c r="ET54" s="132"/>
      <c r="EU54" s="132"/>
      <c r="EV54" s="132"/>
      <c r="EW54" s="132"/>
      <c r="EX54" s="132"/>
      <c r="EY54" s="132"/>
      <c r="EZ54" s="132"/>
      <c r="FA54" s="132"/>
      <c r="FB54" s="132"/>
      <c r="FC54" s="132"/>
      <c r="FD54" s="132"/>
      <c r="FE54" s="132"/>
      <c r="FF54" s="132"/>
      <c r="FG54" s="132"/>
      <c r="FH54" s="132"/>
      <c r="FI54" s="132"/>
      <c r="FJ54" s="132"/>
      <c r="FK54" s="132"/>
      <c r="FL54" s="132"/>
      <c r="FM54" s="132"/>
      <c r="FN54" s="132"/>
      <c r="FO54" s="132"/>
      <c r="FP54" s="132"/>
      <c r="FQ54" s="132"/>
      <c r="FR54" s="132"/>
      <c r="FS54" s="132"/>
      <c r="FT54" s="132"/>
      <c r="FU54" s="132"/>
      <c r="FV54" s="132"/>
      <c r="FW54" s="132"/>
      <c r="FX54" s="132"/>
      <c r="FY54" s="132"/>
      <c r="FZ54" s="132"/>
      <c r="GA54" s="132"/>
      <c r="GB54" s="132"/>
      <c r="GC54" s="132"/>
      <c r="GD54" s="132"/>
      <c r="GE54" s="132"/>
      <c r="GF54" s="132"/>
      <c r="GG54" s="132"/>
      <c r="GH54" s="132"/>
      <c r="GI54" s="132"/>
      <c r="GJ54" s="132"/>
      <c r="GK54" s="132"/>
      <c r="GL54" s="132"/>
      <c r="GM54" s="132"/>
      <c r="GN54" s="132"/>
      <c r="GO54" s="132"/>
      <c r="GP54" s="132"/>
      <c r="GQ54" s="132"/>
      <c r="GR54" s="132"/>
      <c r="GS54" s="132"/>
      <c r="GT54" s="132"/>
      <c r="GU54" s="132"/>
      <c r="GV54" s="132"/>
      <c r="GW54" s="132"/>
      <c r="GX54" s="132"/>
      <c r="GY54" s="132"/>
      <c r="GZ54" s="132"/>
      <c r="HA54" s="132"/>
      <c r="HB54" s="132"/>
      <c r="HC54" s="132"/>
      <c r="HD54" s="132"/>
      <c r="HE54" s="132"/>
      <c r="HF54" s="132"/>
      <c r="HG54" s="132"/>
      <c r="HH54" s="132"/>
      <c r="HI54" s="132"/>
      <c r="HJ54" s="132"/>
      <c r="HK54" s="132"/>
      <c r="HL54" s="132"/>
      <c r="HM54" s="132"/>
      <c r="HN54" s="132"/>
      <c r="HO54" s="132"/>
    </row>
    <row r="55" spans="1:223" ht="15.5" hidden="1" x14ac:dyDescent="0.35">
      <c r="A55" s="2"/>
      <c r="B55" s="48"/>
      <c r="C55" s="49"/>
      <c r="D55" s="52"/>
      <c r="I55" s="54"/>
      <c r="J55" s="57"/>
      <c r="K55" s="56"/>
      <c r="M55" s="12"/>
      <c r="N55" s="12"/>
      <c r="O55" s="12"/>
      <c r="P55" s="177"/>
      <c r="Q55" s="178"/>
      <c r="R55" s="179"/>
      <c r="S55" s="180"/>
      <c r="U55" s="92"/>
      <c r="V55" s="93"/>
      <c r="W55" s="94"/>
      <c r="X55" s="92"/>
      <c r="Y55" s="95"/>
      <c r="Z55" s="95"/>
      <c r="AC55" s="96"/>
      <c r="AD55" s="97"/>
      <c r="AE55" s="97"/>
      <c r="AG55" s="96"/>
      <c r="AH55" s="97"/>
      <c r="AI55" s="97"/>
      <c r="AJ55" s="97"/>
      <c r="AK55" s="97"/>
      <c r="AL55" s="97"/>
      <c r="AM55" s="97"/>
      <c r="AP55" s="157"/>
      <c r="AQ55" s="191"/>
      <c r="AR55" s="191"/>
      <c r="AS55" s="192"/>
      <c r="AT55" s="193"/>
      <c r="AU55" s="194"/>
      <c r="AV55" s="194"/>
      <c r="AW55" s="193"/>
      <c r="AX55" s="194"/>
      <c r="AY55" s="193"/>
      <c r="AZ55" s="195"/>
      <c r="BA55" s="132"/>
      <c r="BB55" s="132"/>
      <c r="BC55" s="132"/>
      <c r="BD55" s="132"/>
      <c r="BE55" s="132"/>
      <c r="BF55" s="132"/>
      <c r="BG55" s="132"/>
      <c r="BH55" s="132"/>
      <c r="BI55" s="132"/>
      <c r="BJ55" s="132"/>
      <c r="BK55" s="132"/>
      <c r="BL55" s="132"/>
      <c r="BM55" s="132"/>
      <c r="BN55" s="132"/>
      <c r="BO55" s="132"/>
      <c r="BP55" s="132"/>
      <c r="BQ55" s="132"/>
      <c r="BR55" s="132"/>
      <c r="BS55" s="132"/>
      <c r="BT55" s="132"/>
      <c r="BU55" s="132"/>
      <c r="BV55" s="132"/>
      <c r="BW55" s="132"/>
      <c r="BX55" s="132"/>
      <c r="BY55" s="132"/>
      <c r="BZ55" s="132"/>
      <c r="CA55" s="132"/>
      <c r="CB55" s="132"/>
      <c r="CC55" s="132"/>
      <c r="CD55" s="132"/>
      <c r="CE55" s="132"/>
      <c r="CF55" s="132"/>
      <c r="CG55" s="132"/>
      <c r="CH55" s="132"/>
      <c r="CI55" s="132"/>
      <c r="CJ55" s="132"/>
      <c r="CK55" s="132"/>
      <c r="CL55" s="132"/>
      <c r="CM55" s="132"/>
      <c r="CN55" s="132"/>
      <c r="CO55" s="132"/>
      <c r="CP55" s="132"/>
      <c r="CQ55" s="132"/>
      <c r="CR55" s="132"/>
      <c r="CS55" s="132"/>
      <c r="CT55" s="132"/>
      <c r="CU55" s="132"/>
      <c r="CV55" s="132"/>
      <c r="CW55" s="132"/>
      <c r="CX55" s="132"/>
      <c r="CY55" s="132"/>
      <c r="CZ55" s="132"/>
      <c r="DA55" s="132"/>
      <c r="DB55" s="132"/>
      <c r="DC55" s="132"/>
      <c r="DD55" s="132"/>
      <c r="DE55" s="132"/>
      <c r="DF55" s="132"/>
      <c r="DG55" s="132"/>
      <c r="DH55" s="132"/>
      <c r="DI55" s="132"/>
      <c r="DJ55" s="132"/>
      <c r="DK55" s="132"/>
      <c r="DL55" s="132"/>
      <c r="DM55" s="132"/>
      <c r="DN55" s="132"/>
      <c r="DO55" s="132"/>
      <c r="DP55" s="132"/>
      <c r="DQ55" s="132"/>
      <c r="DR55" s="132"/>
      <c r="DS55" s="132"/>
      <c r="DT55" s="132"/>
      <c r="DU55" s="132"/>
      <c r="DV55" s="132"/>
      <c r="DW55" s="132"/>
      <c r="DX55" s="132"/>
      <c r="DY55" s="132"/>
      <c r="DZ55" s="132"/>
      <c r="EA55" s="132"/>
      <c r="EB55" s="132"/>
      <c r="EC55" s="132"/>
      <c r="ED55" s="132"/>
      <c r="EE55" s="132"/>
      <c r="EF55" s="132"/>
      <c r="EG55" s="132"/>
      <c r="EH55" s="132"/>
      <c r="EI55" s="132"/>
      <c r="EJ55" s="132"/>
      <c r="EK55" s="132"/>
      <c r="EL55" s="132"/>
      <c r="EM55" s="132"/>
      <c r="EN55" s="132"/>
      <c r="EO55" s="132"/>
      <c r="EP55" s="132"/>
      <c r="EQ55" s="132"/>
      <c r="ER55" s="132"/>
      <c r="ES55" s="132"/>
      <c r="ET55" s="132"/>
      <c r="EU55" s="132"/>
      <c r="EV55" s="132"/>
      <c r="EW55" s="132"/>
      <c r="EX55" s="132"/>
      <c r="EY55" s="132"/>
      <c r="EZ55" s="132"/>
      <c r="FA55" s="132"/>
      <c r="FB55" s="132"/>
      <c r="FC55" s="132"/>
      <c r="FD55" s="132"/>
      <c r="FE55" s="132"/>
      <c r="FF55" s="132"/>
      <c r="FG55" s="132"/>
      <c r="FH55" s="132"/>
      <c r="FI55" s="132"/>
      <c r="FJ55" s="132"/>
      <c r="FK55" s="132"/>
      <c r="FL55" s="132"/>
      <c r="FM55" s="132"/>
      <c r="FN55" s="132"/>
      <c r="FO55" s="132"/>
      <c r="FP55" s="132"/>
      <c r="FQ55" s="132"/>
      <c r="FR55" s="132"/>
      <c r="FS55" s="132"/>
      <c r="FT55" s="132"/>
      <c r="FU55" s="132"/>
      <c r="FV55" s="132"/>
      <c r="FW55" s="132"/>
      <c r="FX55" s="132"/>
      <c r="FY55" s="132"/>
      <c r="FZ55" s="132"/>
      <c r="GA55" s="132"/>
      <c r="GB55" s="132"/>
      <c r="GC55" s="132"/>
      <c r="GD55" s="132"/>
      <c r="GE55" s="132"/>
      <c r="GF55" s="132"/>
      <c r="GG55" s="132"/>
      <c r="GH55" s="132"/>
      <c r="GI55" s="132"/>
      <c r="GJ55" s="132"/>
      <c r="GK55" s="132"/>
      <c r="GL55" s="132"/>
      <c r="GM55" s="132"/>
      <c r="GN55" s="132"/>
      <c r="GO55" s="132"/>
      <c r="GP55" s="132"/>
      <c r="GQ55" s="132"/>
      <c r="GR55" s="132"/>
      <c r="GS55" s="132"/>
      <c r="GT55" s="132"/>
      <c r="GU55" s="132"/>
      <c r="GV55" s="132"/>
      <c r="GW55" s="132"/>
      <c r="GX55" s="132"/>
      <c r="GY55" s="132"/>
      <c r="GZ55" s="132"/>
      <c r="HA55" s="132"/>
      <c r="HB55" s="132"/>
      <c r="HC55" s="132"/>
      <c r="HD55" s="132"/>
      <c r="HE55" s="132"/>
      <c r="HF55" s="132"/>
      <c r="HG55" s="132"/>
      <c r="HH55" s="132"/>
      <c r="HI55" s="132"/>
      <c r="HJ55" s="132"/>
      <c r="HK55" s="132"/>
      <c r="HL55" s="132"/>
      <c r="HM55" s="132"/>
      <c r="HN55" s="132"/>
      <c r="HO55" s="132"/>
    </row>
    <row r="56" spans="1:223" ht="15.5" hidden="1" x14ac:dyDescent="0.35">
      <c r="A56" s="2"/>
      <c r="B56" s="48"/>
      <c r="C56" s="49"/>
      <c r="D56" s="52"/>
      <c r="I56" s="54"/>
      <c r="J56" s="57"/>
      <c r="K56" s="56"/>
      <c r="M56" s="12"/>
      <c r="N56" s="12"/>
      <c r="O56" s="12"/>
      <c r="P56" s="177"/>
      <c r="Q56" s="178"/>
      <c r="R56" s="179"/>
      <c r="S56" s="180"/>
      <c r="U56" s="92"/>
      <c r="V56" s="93"/>
      <c r="W56" s="94"/>
      <c r="X56" s="92"/>
      <c r="Y56" s="95"/>
      <c r="Z56" s="95"/>
      <c r="AC56" s="96"/>
      <c r="AD56" s="97"/>
      <c r="AE56" s="97"/>
      <c r="AG56" s="96"/>
      <c r="AH56" s="97"/>
      <c r="AI56" s="97"/>
      <c r="AJ56" s="97"/>
      <c r="AK56" s="97"/>
      <c r="AL56" s="97"/>
      <c r="AM56" s="97"/>
      <c r="AP56" s="157"/>
      <c r="AQ56" s="191"/>
      <c r="AR56" s="191"/>
      <c r="AS56" s="192"/>
      <c r="AT56" s="193"/>
      <c r="AU56" s="194"/>
      <c r="AV56" s="194"/>
      <c r="AW56" s="193"/>
      <c r="AX56" s="194"/>
      <c r="AY56" s="193"/>
      <c r="AZ56" s="195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2"/>
      <c r="BM56" s="132"/>
      <c r="BN56" s="132"/>
      <c r="BO56" s="132"/>
      <c r="BP56" s="132"/>
      <c r="BQ56" s="132"/>
      <c r="BR56" s="132"/>
      <c r="BS56" s="132"/>
      <c r="BT56" s="132"/>
      <c r="BU56" s="132"/>
      <c r="BV56" s="132"/>
      <c r="BW56" s="132"/>
      <c r="BX56" s="132"/>
      <c r="BY56" s="132"/>
      <c r="BZ56" s="132"/>
      <c r="CA56" s="132"/>
      <c r="CB56" s="132"/>
      <c r="CC56" s="132"/>
      <c r="CD56" s="132"/>
      <c r="CE56" s="132"/>
      <c r="CF56" s="132"/>
      <c r="CG56" s="132"/>
      <c r="CH56" s="132"/>
      <c r="CI56" s="132"/>
      <c r="CJ56" s="132"/>
      <c r="CK56" s="132"/>
      <c r="CL56" s="132"/>
      <c r="CM56" s="132"/>
      <c r="CN56" s="132"/>
      <c r="CO56" s="132"/>
      <c r="CP56" s="132"/>
      <c r="CQ56" s="132"/>
      <c r="CR56" s="132"/>
      <c r="CS56" s="132"/>
      <c r="CT56" s="132"/>
      <c r="CU56" s="132"/>
      <c r="CV56" s="132"/>
      <c r="CW56" s="132"/>
      <c r="CX56" s="132"/>
      <c r="CY56" s="132"/>
      <c r="CZ56" s="132"/>
      <c r="DA56" s="132"/>
      <c r="DB56" s="132"/>
      <c r="DC56" s="132"/>
      <c r="DD56" s="132"/>
      <c r="DE56" s="132"/>
      <c r="DF56" s="132"/>
      <c r="DG56" s="132"/>
      <c r="DH56" s="132"/>
      <c r="DI56" s="132"/>
      <c r="DJ56" s="132"/>
      <c r="DK56" s="132"/>
      <c r="DL56" s="132"/>
      <c r="DM56" s="132"/>
      <c r="DN56" s="132"/>
      <c r="DO56" s="132"/>
      <c r="DP56" s="132"/>
      <c r="DQ56" s="132"/>
      <c r="DR56" s="132"/>
      <c r="DS56" s="132"/>
      <c r="DT56" s="132"/>
      <c r="DU56" s="132"/>
      <c r="DV56" s="132"/>
      <c r="DW56" s="132"/>
      <c r="DX56" s="132"/>
      <c r="DY56" s="132"/>
      <c r="DZ56" s="132"/>
      <c r="EA56" s="132"/>
      <c r="EB56" s="132"/>
      <c r="EC56" s="132"/>
      <c r="ED56" s="132"/>
      <c r="EE56" s="132"/>
      <c r="EF56" s="132"/>
      <c r="EG56" s="132"/>
      <c r="EH56" s="132"/>
      <c r="EI56" s="132"/>
      <c r="EJ56" s="132"/>
      <c r="EK56" s="132"/>
      <c r="EL56" s="132"/>
      <c r="EM56" s="132"/>
      <c r="EN56" s="132"/>
      <c r="EO56" s="132"/>
      <c r="EP56" s="132"/>
      <c r="EQ56" s="132"/>
      <c r="ER56" s="132"/>
      <c r="ES56" s="132"/>
      <c r="ET56" s="132"/>
      <c r="EU56" s="132"/>
      <c r="EV56" s="132"/>
      <c r="EW56" s="132"/>
      <c r="EX56" s="132"/>
      <c r="EY56" s="132"/>
      <c r="EZ56" s="132"/>
      <c r="FA56" s="132"/>
      <c r="FB56" s="132"/>
      <c r="FC56" s="132"/>
      <c r="FD56" s="132"/>
      <c r="FE56" s="132"/>
      <c r="FF56" s="132"/>
      <c r="FG56" s="132"/>
      <c r="FH56" s="132"/>
      <c r="FI56" s="132"/>
      <c r="FJ56" s="132"/>
      <c r="FK56" s="132"/>
      <c r="FL56" s="132"/>
      <c r="FM56" s="132"/>
      <c r="FN56" s="132"/>
      <c r="FO56" s="132"/>
      <c r="FP56" s="132"/>
      <c r="FQ56" s="132"/>
      <c r="FR56" s="132"/>
      <c r="FS56" s="132"/>
      <c r="FT56" s="132"/>
      <c r="FU56" s="132"/>
      <c r="FV56" s="132"/>
      <c r="FW56" s="132"/>
      <c r="FX56" s="132"/>
      <c r="FY56" s="132"/>
      <c r="FZ56" s="132"/>
      <c r="GA56" s="132"/>
      <c r="GB56" s="132"/>
      <c r="GC56" s="132"/>
      <c r="GD56" s="132"/>
      <c r="GE56" s="132"/>
      <c r="GF56" s="132"/>
      <c r="GG56" s="132"/>
      <c r="GH56" s="132"/>
      <c r="GI56" s="132"/>
      <c r="GJ56" s="132"/>
      <c r="GK56" s="132"/>
      <c r="GL56" s="132"/>
      <c r="GM56" s="132"/>
      <c r="GN56" s="132"/>
      <c r="GO56" s="132"/>
      <c r="GP56" s="132"/>
      <c r="GQ56" s="132"/>
      <c r="GR56" s="132"/>
      <c r="GS56" s="132"/>
      <c r="GT56" s="132"/>
      <c r="GU56" s="132"/>
      <c r="GV56" s="132"/>
      <c r="GW56" s="132"/>
      <c r="GX56" s="132"/>
      <c r="GY56" s="132"/>
      <c r="GZ56" s="132"/>
      <c r="HA56" s="132"/>
      <c r="HB56" s="132"/>
      <c r="HC56" s="132"/>
      <c r="HD56" s="132"/>
      <c r="HE56" s="132"/>
      <c r="HF56" s="132"/>
      <c r="HG56" s="132"/>
      <c r="HH56" s="132"/>
      <c r="HI56" s="132"/>
      <c r="HJ56" s="132"/>
      <c r="HK56" s="132"/>
      <c r="HL56" s="132"/>
      <c r="HM56" s="132"/>
      <c r="HN56" s="132"/>
      <c r="HO56" s="132"/>
    </row>
    <row r="57" spans="1:223" ht="16" hidden="1" thickBot="1" x14ac:dyDescent="0.4">
      <c r="A57" s="2"/>
      <c r="B57" s="48"/>
      <c r="C57" s="49"/>
      <c r="D57" s="52"/>
      <c r="I57" s="54"/>
      <c r="J57" s="57"/>
      <c r="K57" s="56"/>
      <c r="M57" s="12"/>
      <c r="N57" s="12"/>
      <c r="O57" s="12"/>
      <c r="P57" s="177"/>
      <c r="Q57" s="178"/>
      <c r="R57" s="179"/>
      <c r="S57" s="180"/>
      <c r="U57" s="92"/>
      <c r="V57" s="93"/>
      <c r="W57" s="94"/>
      <c r="X57" s="92"/>
      <c r="Y57" s="95"/>
      <c r="Z57" s="95"/>
      <c r="AC57" s="221"/>
      <c r="AD57" s="222"/>
      <c r="AE57" s="222"/>
      <c r="AG57" s="221"/>
      <c r="AH57" s="97"/>
      <c r="AI57" s="97"/>
      <c r="AJ57" s="97"/>
      <c r="AK57" s="97"/>
      <c r="AL57" s="97"/>
      <c r="AM57" s="97"/>
      <c r="AP57" s="157"/>
      <c r="AQ57" s="191"/>
      <c r="AR57" s="191"/>
      <c r="AS57" s="192"/>
      <c r="AT57" s="193"/>
      <c r="AU57" s="194"/>
      <c r="AV57" s="194"/>
      <c r="AW57" s="193"/>
      <c r="AX57" s="194"/>
      <c r="AY57" s="193"/>
      <c r="AZ57" s="195"/>
      <c r="BA57" s="132"/>
      <c r="BB57" s="132"/>
      <c r="BC57" s="132"/>
      <c r="BD57" s="132"/>
      <c r="BE57" s="132"/>
      <c r="BF57" s="132"/>
      <c r="BG57" s="132"/>
      <c r="BH57" s="132"/>
      <c r="BI57" s="132"/>
      <c r="BJ57" s="132"/>
      <c r="BK57" s="132"/>
      <c r="BL57" s="132"/>
      <c r="BM57" s="132"/>
      <c r="BN57" s="132"/>
      <c r="BO57" s="132"/>
      <c r="BP57" s="132"/>
      <c r="BQ57" s="132"/>
      <c r="BR57" s="132"/>
      <c r="BS57" s="132"/>
      <c r="BT57" s="132"/>
      <c r="BU57" s="132"/>
      <c r="BV57" s="132"/>
      <c r="BW57" s="132"/>
      <c r="BX57" s="132"/>
      <c r="BY57" s="132"/>
      <c r="BZ57" s="132"/>
      <c r="CA57" s="132"/>
      <c r="CB57" s="132"/>
      <c r="CC57" s="132"/>
      <c r="CD57" s="132"/>
      <c r="CE57" s="132"/>
      <c r="CF57" s="132"/>
      <c r="CG57" s="132"/>
      <c r="CH57" s="132"/>
      <c r="CI57" s="132"/>
      <c r="CJ57" s="132"/>
      <c r="CK57" s="132"/>
      <c r="CL57" s="132"/>
      <c r="CM57" s="132"/>
      <c r="CN57" s="132"/>
      <c r="CO57" s="132"/>
      <c r="CP57" s="132"/>
      <c r="CQ57" s="132"/>
      <c r="CR57" s="132"/>
      <c r="CS57" s="132"/>
      <c r="CT57" s="132"/>
      <c r="CU57" s="132"/>
      <c r="CV57" s="132"/>
      <c r="CW57" s="132"/>
      <c r="CX57" s="132"/>
      <c r="CY57" s="132"/>
      <c r="CZ57" s="132"/>
      <c r="DA57" s="132"/>
      <c r="DB57" s="132"/>
      <c r="DC57" s="132"/>
      <c r="DD57" s="132"/>
      <c r="DE57" s="132"/>
      <c r="DF57" s="132"/>
      <c r="DG57" s="132"/>
      <c r="DH57" s="132"/>
      <c r="DI57" s="132"/>
      <c r="DJ57" s="132"/>
      <c r="DK57" s="132"/>
      <c r="DL57" s="132"/>
      <c r="DM57" s="132"/>
      <c r="DN57" s="132"/>
      <c r="DO57" s="132"/>
      <c r="DP57" s="132"/>
      <c r="DQ57" s="132"/>
      <c r="DR57" s="132"/>
      <c r="DS57" s="132"/>
      <c r="DT57" s="132"/>
      <c r="DU57" s="132"/>
      <c r="DV57" s="132"/>
      <c r="DW57" s="132"/>
      <c r="DX57" s="132"/>
      <c r="DY57" s="132"/>
      <c r="DZ57" s="132"/>
      <c r="EA57" s="132"/>
      <c r="EB57" s="132"/>
      <c r="EC57" s="132"/>
      <c r="ED57" s="132"/>
      <c r="EE57" s="132"/>
      <c r="EF57" s="132"/>
      <c r="EG57" s="132"/>
      <c r="EH57" s="132"/>
      <c r="EI57" s="132"/>
      <c r="EJ57" s="132"/>
      <c r="EK57" s="132"/>
      <c r="EL57" s="132"/>
      <c r="EM57" s="132"/>
      <c r="EN57" s="132"/>
      <c r="EO57" s="132"/>
      <c r="EP57" s="132"/>
      <c r="EQ57" s="132"/>
      <c r="ER57" s="132"/>
      <c r="ES57" s="132"/>
      <c r="ET57" s="132"/>
      <c r="EU57" s="132"/>
      <c r="EV57" s="132"/>
      <c r="EW57" s="132"/>
      <c r="EX57" s="132"/>
      <c r="EY57" s="132"/>
      <c r="EZ57" s="132"/>
      <c r="FA57" s="132"/>
      <c r="FB57" s="132"/>
      <c r="FC57" s="132"/>
      <c r="FD57" s="132"/>
      <c r="FE57" s="132"/>
      <c r="FF57" s="132"/>
      <c r="FG57" s="132"/>
      <c r="FH57" s="132"/>
      <c r="FI57" s="132"/>
      <c r="FJ57" s="132"/>
      <c r="FK57" s="132"/>
      <c r="FL57" s="132"/>
      <c r="FM57" s="132"/>
      <c r="FN57" s="132"/>
      <c r="FO57" s="132"/>
      <c r="FP57" s="132"/>
      <c r="FQ57" s="132"/>
      <c r="FR57" s="132"/>
      <c r="FS57" s="132"/>
      <c r="FT57" s="132"/>
      <c r="FU57" s="132"/>
      <c r="FV57" s="132"/>
      <c r="FW57" s="132"/>
      <c r="FX57" s="132"/>
      <c r="FY57" s="132"/>
      <c r="FZ57" s="132"/>
      <c r="GA57" s="132"/>
      <c r="GB57" s="132"/>
      <c r="GC57" s="132"/>
      <c r="GD57" s="132"/>
      <c r="GE57" s="132"/>
      <c r="GF57" s="132"/>
      <c r="GG57" s="132"/>
      <c r="GH57" s="132"/>
      <c r="GI57" s="132"/>
      <c r="GJ57" s="132"/>
      <c r="GK57" s="132"/>
      <c r="GL57" s="132"/>
      <c r="GM57" s="132"/>
      <c r="GN57" s="132"/>
      <c r="GO57" s="132"/>
      <c r="GP57" s="132"/>
      <c r="GQ57" s="132"/>
      <c r="GR57" s="132"/>
      <c r="GS57" s="132"/>
      <c r="GT57" s="132"/>
      <c r="GU57" s="132"/>
      <c r="GV57" s="132"/>
      <c r="GW57" s="132"/>
      <c r="GX57" s="132"/>
      <c r="GY57" s="132"/>
      <c r="GZ57" s="132"/>
      <c r="HA57" s="132"/>
      <c r="HB57" s="132"/>
      <c r="HC57" s="132"/>
      <c r="HD57" s="132"/>
      <c r="HE57" s="132"/>
      <c r="HF57" s="132"/>
      <c r="HG57" s="132"/>
      <c r="HH57" s="132"/>
      <c r="HI57" s="132"/>
      <c r="HJ57" s="132"/>
      <c r="HK57" s="132"/>
      <c r="HL57" s="132"/>
      <c r="HM57" s="132"/>
      <c r="HN57" s="132"/>
      <c r="HO57" s="132"/>
    </row>
    <row r="58" spans="1:223" ht="45.5" thickBot="1" x14ac:dyDescent="0.4">
      <c r="A58" s="2"/>
      <c r="B58" s="61" t="s">
        <v>37</v>
      </c>
      <c r="C58" s="62" t="s">
        <v>38</v>
      </c>
      <c r="D58" s="63" t="s">
        <v>39</v>
      </c>
      <c r="E58" s="64" t="s">
        <v>40</v>
      </c>
      <c r="F58" s="64" t="s">
        <v>41</v>
      </c>
      <c r="G58" s="64" t="s">
        <v>35</v>
      </c>
      <c r="H58" s="65" t="s">
        <v>42</v>
      </c>
      <c r="I58" s="64" t="s">
        <v>398</v>
      </c>
      <c r="J58" s="64" t="s">
        <v>399</v>
      </c>
      <c r="K58" s="64" t="s">
        <v>369</v>
      </c>
      <c r="L58" s="64" t="s">
        <v>46</v>
      </c>
      <c r="M58" s="12"/>
      <c r="N58" s="243" t="str">
        <f>IF(D9&gt;0,"LTV
Saldo Carência","")</f>
        <v>LTV
Saldo Carência</v>
      </c>
      <c r="O58" s="12"/>
      <c r="P58" s="66"/>
      <c r="Q58" s="108" t="s">
        <v>67</v>
      </c>
      <c r="R58" s="109" t="s">
        <v>68</v>
      </c>
      <c r="S58" s="110" t="s">
        <v>69</v>
      </c>
      <c r="T58" s="66"/>
      <c r="U58" s="92" t="s">
        <v>70</v>
      </c>
      <c r="V58" s="93"/>
      <c r="W58" s="94"/>
      <c r="X58" s="92"/>
      <c r="Y58" s="95"/>
      <c r="Z58" s="95"/>
      <c r="AC58" s="274" t="s">
        <v>394</v>
      </c>
      <c r="AD58" s="275"/>
      <c r="AE58" s="276"/>
      <c r="AF58" s="223" t="s">
        <v>390</v>
      </c>
      <c r="AG58" s="223" t="s">
        <v>391</v>
      </c>
      <c r="AH58" s="220"/>
      <c r="AI58" s="216"/>
      <c r="AJ58" s="216"/>
      <c r="AK58" s="216"/>
      <c r="AL58" s="216"/>
      <c r="AM58" s="216"/>
      <c r="AP58" s="157"/>
      <c r="AQ58" s="186"/>
      <c r="AR58" s="186"/>
      <c r="AS58" s="187"/>
      <c r="AT58" s="188"/>
      <c r="AU58" s="189"/>
      <c r="AV58" s="189"/>
      <c r="AW58" s="188"/>
      <c r="AX58" s="189"/>
      <c r="AY58" s="188"/>
      <c r="AZ58" s="190"/>
    </row>
    <row r="59" spans="1:223" ht="15.5" hidden="1" x14ac:dyDescent="0.35">
      <c r="A59" s="2"/>
      <c r="B59" s="67">
        <v>0</v>
      </c>
      <c r="C59" s="68">
        <f ca="1">TODAY()</f>
        <v>46058</v>
      </c>
      <c r="D59" s="69">
        <f>J16</f>
        <v>1000000</v>
      </c>
      <c r="E59" s="70"/>
      <c r="F59" s="70"/>
      <c r="G59" s="70"/>
      <c r="H59" s="71">
        <f>-D59</f>
        <v>-1000000</v>
      </c>
      <c r="I59" s="100"/>
      <c r="J59" s="100"/>
      <c r="K59" s="73">
        <f>J20*-1</f>
        <v>-992570</v>
      </c>
      <c r="L59" s="74">
        <f>D59</f>
        <v>1000000</v>
      </c>
      <c r="M59" s="12"/>
      <c r="N59" s="12"/>
      <c r="O59" s="12"/>
      <c r="Q59" s="165"/>
      <c r="R59" s="166"/>
      <c r="S59" s="167"/>
      <c r="U59" s="92" t="s">
        <v>71</v>
      </c>
      <c r="V59" s="93"/>
      <c r="W59" s="94"/>
      <c r="X59" s="92"/>
      <c r="Y59" s="95"/>
      <c r="Z59" s="95"/>
      <c r="AC59" s="224">
        <v>0</v>
      </c>
      <c r="AD59" s="223">
        <f>J16*-1</f>
        <v>-1000000</v>
      </c>
      <c r="AE59" s="226">
        <f ca="1">C59</f>
        <v>46058</v>
      </c>
      <c r="AF59" s="223">
        <f>J20*-1</f>
        <v>-992570</v>
      </c>
      <c r="AG59" s="223">
        <f>AF59</f>
        <v>-992570</v>
      </c>
      <c r="AH59" s="220"/>
      <c r="AI59" s="216"/>
      <c r="AJ59" s="216"/>
      <c r="AK59" s="216"/>
      <c r="AL59" s="216"/>
      <c r="AM59" s="216"/>
      <c r="AP59" s="157"/>
      <c r="AQ59" s="191"/>
      <c r="AR59" s="191"/>
      <c r="AS59" s="192"/>
      <c r="AT59" s="193"/>
      <c r="AU59" s="194"/>
      <c r="AV59" s="194"/>
      <c r="AW59" s="193"/>
      <c r="AX59" s="194"/>
      <c r="AY59" s="193"/>
      <c r="AZ59" s="195"/>
    </row>
    <row r="60" spans="1:223" ht="15.5" x14ac:dyDescent="0.35">
      <c r="A60" s="197">
        <f>J21</f>
        <v>240</v>
      </c>
      <c r="B60" s="98">
        <f>IF(AND(B59=0,B59&lt;$J$21),B59+1,0)</f>
        <v>1</v>
      </c>
      <c r="C60" s="99">
        <f ca="1">IFERROR(IF(B60&lt;=$J$21,DATE(YEAR(C59),MONTH(C59)+1,DAY(C59)),""),"")</f>
        <v>46086</v>
      </c>
      <c r="D60" s="100">
        <f>IF(B60="","",L59)</f>
        <v>1000000</v>
      </c>
      <c r="E60" s="100">
        <f>IFERROR((D60*J22),"")</f>
        <v>12900</v>
      </c>
      <c r="F60" s="100">
        <f>IFERROR((D60+E60),"")</f>
        <v>1012900</v>
      </c>
      <c r="G60" s="100">
        <f t="shared" ref="G60:G71" si="0">IF($D$9&gt;=B60,0,IFERROR(IF(C60="","",IF(SISTEMA_AMORTIZAÇÃO=PRICE_PRE,H60-E60,
IF(SISTEMA_AMORTIZAÇÃO=SAC_PRE,D60/A60,
IF(SISTEMA_AMORTIZAÇÃO=SAC_POS,D60/A60)))),""))</f>
        <v>0</v>
      </c>
      <c r="H60" s="100">
        <f>IF(D9&gt;0,0,IF(J16="","",IF(SISTEMA_AMORTIZAÇÃO=PRICE_PRE,(PMT(TAXA,A60,-$D60,)),
IF(SISTEMA_AMORTIZAÇÃO=PRICE_POS,(PMT(TAXA,A60,$D60)*-1),
IF(SISTEMA_AMORTIZAÇÃO=SAC_PRE,(D60/A60)+(D60*TAXA),
IF(SISTEMA_AMORTIZAÇÃO=SAC_POS,(D60/A60)+(D60*TAXA)))))))</f>
        <v>0</v>
      </c>
      <c r="I60" s="100">
        <f>IFERROR(D60*$K$32,"")*2</f>
        <v>342</v>
      </c>
      <c r="J60" s="100">
        <f>IF(B60="","",IF(L59="","",IF(L59=0,"",$K$33*$J$17)))*2</f>
        <v>222</v>
      </c>
      <c r="K60" s="100">
        <f>IFERROR(SUM(J60+I60+H60),"")</f>
        <v>564</v>
      </c>
      <c r="L60" s="101">
        <f>IF(D9&gt;0,SUM(D60:E60),IFERROR(D60-G60,""))</f>
        <v>1012900</v>
      </c>
      <c r="M60" s="12"/>
      <c r="N60" s="199">
        <f t="shared" ref="N60:N71" si="1">IF($D$9&gt;=B60,L60/$J$17,"")</f>
        <v>0.33763333333333334</v>
      </c>
      <c r="O60" s="12"/>
      <c r="Q60" s="111">
        <f t="shared" ref="Q60:Q71" ca="1" si="2">ROUNDUP(G60*$Q$46*S60,2)</f>
        <v>0</v>
      </c>
      <c r="R60" s="112">
        <f t="shared" ref="R60:R123" ca="1" si="3">IF($B60&lt;=$J$21,C60-C59,)</f>
        <v>28</v>
      </c>
      <c r="S60" s="113">
        <f t="shared" ref="S60:S71" ca="1" si="4">IF($B60&lt;=$J$21,$C60-$C$59,)</f>
        <v>28</v>
      </c>
      <c r="U60" s="92" t="s">
        <v>72</v>
      </c>
      <c r="V60" s="93"/>
      <c r="W60" s="94"/>
      <c r="X60" s="92"/>
      <c r="Y60" s="95"/>
      <c r="Z60" s="114"/>
      <c r="AC60" s="224">
        <v>30</v>
      </c>
      <c r="AD60" s="225">
        <f>IF(H60="",0,H60)</f>
        <v>0</v>
      </c>
      <c r="AE60" s="226">
        <f ca="1">IF(C60="",0,C60)</f>
        <v>46086</v>
      </c>
      <c r="AF60" s="227">
        <f>IF(AD60="",0,AD60)</f>
        <v>0</v>
      </c>
      <c r="AG60" s="225">
        <f>IF(K60="",0,K60)</f>
        <v>564</v>
      </c>
      <c r="AH60" s="220"/>
      <c r="AI60" s="216"/>
      <c r="AJ60" s="216"/>
      <c r="AK60" s="216"/>
      <c r="AL60" s="216"/>
      <c r="AM60" s="216"/>
      <c r="AP60" s="157"/>
      <c r="AQ60" s="186"/>
      <c r="AR60" s="186"/>
      <c r="AS60" s="187"/>
      <c r="AT60" s="188"/>
      <c r="AU60" s="189"/>
      <c r="AV60" s="189"/>
      <c r="AW60" s="188"/>
      <c r="AX60" s="189"/>
      <c r="AY60" s="188"/>
      <c r="AZ60" s="190"/>
    </row>
    <row r="61" spans="1:223" ht="15.5" x14ac:dyDescent="0.35">
      <c r="A61" s="197">
        <f t="shared" ref="A61:A124" si="5">IFERROR(IF(A60-1&lt;1,"",A60-1),"")</f>
        <v>239</v>
      </c>
      <c r="B61" s="98">
        <f>IF(IF(AND(B60&gt;0,B60&lt;$J$21),B60+1,0)=0,"",IF(AND(B60&gt;0,B60&lt;$J$21),B60+1,0))</f>
        <v>2</v>
      </c>
      <c r="C61" s="99">
        <f ca="1">IFERROR(IF(B61&lt;=$J$21,DATE(YEAR(C60),MONTH(C60)+1,DAY(C60)),""),"")</f>
        <v>46117</v>
      </c>
      <c r="D61" s="100">
        <f t="shared" ref="D61:D72" si="6">IF(B61="","",L60)</f>
        <v>1012900</v>
      </c>
      <c r="E61" s="100">
        <f t="shared" ref="E61:E72" si="7">IFERROR(D61*TAXA,"")</f>
        <v>13066.41</v>
      </c>
      <c r="F61" s="100">
        <f t="shared" ref="F61:F72" si="8">IFERROR(D61+E61,"")</f>
        <v>1025966.41</v>
      </c>
      <c r="G61" s="100">
        <f t="shared" si="0"/>
        <v>0</v>
      </c>
      <c r="H61" s="100">
        <f t="shared" ref="H61:H124" si="9">IF($D$9&gt;=B61,0,IF(D61="","",
IF(SISTEMA_AMORTIZAÇÃO=PRICE_PRE,(PMT(TAXA,A61,$D61,)*-1),
IF(SISTEMA_AMORTIZAÇÃO=SAC_POS,(D61/A61)+(D61*TAXA)))))</f>
        <v>0</v>
      </c>
      <c r="I61" s="100">
        <f t="shared" ref="I61:I72" si="10">IFERROR(D61*$K$32,"")</f>
        <v>173.20590000000001</v>
      </c>
      <c r="J61" s="100">
        <f t="shared" ref="J61:J124" si="11">IF(B61="","",IF(L60="","",IF(L60=0,"",$K$33*$J$17)))</f>
        <v>111</v>
      </c>
      <c r="K61" s="100">
        <f t="shared" ref="K61:K72" si="12">IFERROR(SUM(J61+I61+H61),"")</f>
        <v>284.20590000000004</v>
      </c>
      <c r="L61" s="101">
        <f>IF($D$9&gt;=B61,SUM(D61:E61),IFERROR(D61-G61,""))</f>
        <v>1025966.41</v>
      </c>
      <c r="M61" s="12"/>
      <c r="N61" s="199">
        <f t="shared" si="1"/>
        <v>0.34198880333333337</v>
      </c>
      <c r="O61" s="12"/>
      <c r="Q61" s="111">
        <f t="shared" ca="1" si="2"/>
        <v>0</v>
      </c>
      <c r="R61" s="112">
        <f t="shared" ca="1" si="3"/>
        <v>31</v>
      </c>
      <c r="S61" s="113">
        <f t="shared" ca="1" si="4"/>
        <v>59</v>
      </c>
      <c r="U61" s="92" t="s">
        <v>73</v>
      </c>
      <c r="V61" s="93"/>
      <c r="W61" s="94"/>
      <c r="X61" s="92"/>
      <c r="Y61" s="95"/>
      <c r="Z61" s="114"/>
      <c r="AC61" s="224">
        <v>60</v>
      </c>
      <c r="AD61" s="225">
        <f t="shared" ref="AD61:AD124" si="13">IF(H61="",0,H61)</f>
        <v>0</v>
      </c>
      <c r="AE61" s="226">
        <f t="shared" ref="AE61:AE124" ca="1" si="14">IF(C61="",0,C61)</f>
        <v>46117</v>
      </c>
      <c r="AF61" s="227">
        <f t="shared" ref="AF61:AF124" si="15">IF(AD61="",0,AD61)</f>
        <v>0</v>
      </c>
      <c r="AG61" s="225">
        <f t="shared" ref="AG61:AG124" si="16">IF(K61="",0,K61)</f>
        <v>284.20590000000004</v>
      </c>
      <c r="AH61" s="220"/>
      <c r="AI61" s="216"/>
      <c r="AJ61" s="216"/>
      <c r="AK61" s="216"/>
      <c r="AL61" s="216"/>
      <c r="AM61" s="216"/>
      <c r="AP61" s="157"/>
      <c r="AQ61" s="191"/>
      <c r="AR61" s="191"/>
      <c r="AS61" s="192"/>
      <c r="AT61" s="193"/>
      <c r="AU61" s="194"/>
      <c r="AV61" s="194"/>
      <c r="AW61" s="193"/>
      <c r="AX61" s="194"/>
      <c r="AY61" s="193"/>
      <c r="AZ61" s="195"/>
    </row>
    <row r="62" spans="1:223" ht="15.5" x14ac:dyDescent="0.35">
      <c r="A62" s="197">
        <f t="shared" si="5"/>
        <v>238</v>
      </c>
      <c r="B62" s="98">
        <f t="shared" ref="B62:B125" si="17">IF(IF(AND(B61&gt;0,B61&lt;$J$21),B61+1,0)=0,"",IF(AND(B61&gt;0,B61&lt;$J$21),B61+1,0))</f>
        <v>3</v>
      </c>
      <c r="C62" s="99">
        <f t="shared" ref="C62:C72" ca="1" si="18">IFERROR(IF(B62&lt;=$J$21,DATE(YEAR(C61),MONTH(C61)+1,DAY(C61)),""),"")</f>
        <v>46147</v>
      </c>
      <c r="D62" s="100">
        <f t="shared" si="6"/>
        <v>1025966.41</v>
      </c>
      <c r="E62" s="100">
        <f t="shared" si="7"/>
        <v>13234.966689000001</v>
      </c>
      <c r="F62" s="100">
        <f t="shared" si="8"/>
        <v>1039201.3766890001</v>
      </c>
      <c r="G62" s="100">
        <f t="shared" si="0"/>
        <v>0</v>
      </c>
      <c r="H62" s="100">
        <f t="shared" si="9"/>
        <v>0</v>
      </c>
      <c r="I62" s="100">
        <f t="shared" si="10"/>
        <v>175.44025611000001</v>
      </c>
      <c r="J62" s="100">
        <f t="shared" si="11"/>
        <v>111</v>
      </c>
      <c r="K62" s="100">
        <f t="shared" si="12"/>
        <v>286.44025611000001</v>
      </c>
      <c r="L62" s="101">
        <f t="shared" ref="L62:L71" si="19">IF($D$9&gt;=B62,SUM(D62:E62),IFERROR(D62-G62,""))</f>
        <v>1039201.3766890001</v>
      </c>
      <c r="M62" s="12"/>
      <c r="N62" s="199">
        <f t="shared" si="1"/>
        <v>0.34640045889633336</v>
      </c>
      <c r="O62" s="12"/>
      <c r="Q62" s="111">
        <f t="shared" ca="1" si="2"/>
        <v>0</v>
      </c>
      <c r="R62" s="112">
        <f t="shared" ca="1" si="3"/>
        <v>30</v>
      </c>
      <c r="S62" s="113">
        <f t="shared" ca="1" si="4"/>
        <v>89</v>
      </c>
      <c r="U62" s="92" t="s">
        <v>74</v>
      </c>
      <c r="V62" s="93"/>
      <c r="W62" s="94"/>
      <c r="X62" s="92"/>
      <c r="Y62" s="95"/>
      <c r="Z62" s="114"/>
      <c r="AC62" s="224">
        <v>90</v>
      </c>
      <c r="AD62" s="225">
        <f t="shared" si="13"/>
        <v>0</v>
      </c>
      <c r="AE62" s="226">
        <f t="shared" ca="1" si="14"/>
        <v>46147</v>
      </c>
      <c r="AF62" s="227">
        <f t="shared" si="15"/>
        <v>0</v>
      </c>
      <c r="AG62" s="225">
        <f t="shared" si="16"/>
        <v>286.44025611000001</v>
      </c>
      <c r="AH62" s="220"/>
      <c r="AI62" s="216"/>
      <c r="AJ62" s="216"/>
      <c r="AK62" s="216"/>
      <c r="AL62" s="216"/>
      <c r="AM62" s="216"/>
      <c r="AP62" s="157"/>
      <c r="AQ62" s="186"/>
      <c r="AR62" s="186"/>
      <c r="AS62" s="187"/>
      <c r="AT62" s="188"/>
      <c r="AU62" s="189"/>
      <c r="AV62" s="189"/>
      <c r="AW62" s="188"/>
      <c r="AX62" s="189"/>
      <c r="AY62" s="188"/>
      <c r="AZ62" s="190"/>
    </row>
    <row r="63" spans="1:223" ht="15.5" x14ac:dyDescent="0.35">
      <c r="A63" s="197">
        <f t="shared" si="5"/>
        <v>237</v>
      </c>
      <c r="B63" s="98">
        <f t="shared" si="17"/>
        <v>4</v>
      </c>
      <c r="C63" s="99">
        <f t="shared" ca="1" si="18"/>
        <v>46178</v>
      </c>
      <c r="D63" s="100">
        <f t="shared" si="6"/>
        <v>1039201.3766890001</v>
      </c>
      <c r="E63" s="100">
        <f t="shared" si="7"/>
        <v>13405.697759288101</v>
      </c>
      <c r="F63" s="100">
        <f t="shared" si="8"/>
        <v>1052607.0744482882</v>
      </c>
      <c r="G63" s="100">
        <f t="shared" ca="1" si="0"/>
        <v>675.07027509505315</v>
      </c>
      <c r="H63" s="100">
        <f t="shared" si="9"/>
        <v>14080.768034383154</v>
      </c>
      <c r="I63" s="100">
        <f t="shared" si="10"/>
        <v>177.70343541381902</v>
      </c>
      <c r="J63" s="100">
        <f t="shared" si="11"/>
        <v>111</v>
      </c>
      <c r="K63" s="100">
        <f t="shared" si="12"/>
        <v>14369.471469796974</v>
      </c>
      <c r="L63" s="101">
        <f t="shared" ca="1" si="19"/>
        <v>1038526.306413905</v>
      </c>
      <c r="M63" s="12"/>
      <c r="N63" s="199" t="str">
        <f t="shared" si="1"/>
        <v/>
      </c>
      <c r="O63" s="12"/>
      <c r="Q63" s="111">
        <f t="shared" ca="1" si="2"/>
        <v>6.6499999999999995</v>
      </c>
      <c r="R63" s="112">
        <f t="shared" ca="1" si="3"/>
        <v>31</v>
      </c>
      <c r="S63" s="113">
        <f t="shared" ca="1" si="4"/>
        <v>120</v>
      </c>
      <c r="U63" s="115" t="s">
        <v>51</v>
      </c>
      <c r="V63" s="116"/>
      <c r="W63" s="83" t="s">
        <v>53</v>
      </c>
      <c r="X63" s="82" t="s">
        <v>44</v>
      </c>
      <c r="AC63" s="224">
        <v>120</v>
      </c>
      <c r="AD63" s="225">
        <f t="shared" si="13"/>
        <v>14080.768034383154</v>
      </c>
      <c r="AE63" s="226">
        <f t="shared" ca="1" si="14"/>
        <v>46178</v>
      </c>
      <c r="AF63" s="227">
        <f t="shared" si="15"/>
        <v>14080.768034383154</v>
      </c>
      <c r="AG63" s="225">
        <f t="shared" si="16"/>
        <v>14369.471469796974</v>
      </c>
      <c r="AH63" s="220"/>
      <c r="AI63" s="97"/>
      <c r="AJ63" s="97"/>
      <c r="AK63" s="97"/>
      <c r="AL63" s="97"/>
      <c r="AM63" s="97"/>
      <c r="AP63" s="157"/>
      <c r="AQ63" s="191"/>
      <c r="AR63" s="191"/>
      <c r="AS63" s="192"/>
      <c r="AT63" s="193"/>
      <c r="AU63" s="194"/>
      <c r="AV63" s="194"/>
      <c r="AW63" s="193"/>
      <c r="AX63" s="194"/>
      <c r="AY63" s="193"/>
      <c r="AZ63" s="195"/>
    </row>
    <row r="64" spans="1:223" ht="15.5" x14ac:dyDescent="0.35">
      <c r="A64" s="197">
        <f t="shared" si="5"/>
        <v>236</v>
      </c>
      <c r="B64" s="98">
        <f t="shared" si="17"/>
        <v>5</v>
      </c>
      <c r="C64" s="99">
        <f t="shared" ca="1" si="18"/>
        <v>46208</v>
      </c>
      <c r="D64" s="100">
        <f t="shared" ca="1" si="6"/>
        <v>1038526.306413905</v>
      </c>
      <c r="E64" s="100">
        <f t="shared" ca="1" si="7"/>
        <v>13396.989352739374</v>
      </c>
      <c r="F64" s="100">
        <f t="shared" ca="1" si="8"/>
        <v>1051923.2957666444</v>
      </c>
      <c r="G64" s="100">
        <f t="shared" ca="1" si="0"/>
        <v>683.77868164378015</v>
      </c>
      <c r="H64" s="100">
        <f t="shared" ca="1" si="9"/>
        <v>14080.768034383154</v>
      </c>
      <c r="I64" s="100">
        <f t="shared" ca="1" si="10"/>
        <v>177.58799839677778</v>
      </c>
      <c r="J64" s="100">
        <f t="shared" ca="1" si="11"/>
        <v>111</v>
      </c>
      <c r="K64" s="100">
        <f t="shared" ca="1" si="12"/>
        <v>14369.356032779931</v>
      </c>
      <c r="L64" s="101">
        <f t="shared" ca="1" si="19"/>
        <v>1037842.5277322612</v>
      </c>
      <c r="M64" s="12"/>
      <c r="N64" s="199" t="str">
        <f t="shared" si="1"/>
        <v/>
      </c>
      <c r="O64" s="12"/>
      <c r="Q64" s="111">
        <f t="shared" ca="1" si="2"/>
        <v>8.42</v>
      </c>
      <c r="R64" s="112">
        <f t="shared" ca="1" si="3"/>
        <v>30</v>
      </c>
      <c r="S64" s="113">
        <f t="shared" ca="1" si="4"/>
        <v>150</v>
      </c>
      <c r="U64" s="114">
        <v>18</v>
      </c>
      <c r="V64" s="114">
        <v>25</v>
      </c>
      <c r="W64" s="117">
        <v>2.3000000000000001E-4</v>
      </c>
      <c r="X64" s="114" t="s">
        <v>75</v>
      </c>
      <c r="AC64" s="224">
        <v>150</v>
      </c>
      <c r="AD64" s="225">
        <f t="shared" ca="1" si="13"/>
        <v>14080.768034383154</v>
      </c>
      <c r="AE64" s="226">
        <f t="shared" ca="1" si="14"/>
        <v>46208</v>
      </c>
      <c r="AF64" s="227">
        <f t="shared" ca="1" si="15"/>
        <v>14080.768034383154</v>
      </c>
      <c r="AG64" s="225">
        <f t="shared" ca="1" si="16"/>
        <v>14369.356032779931</v>
      </c>
      <c r="AH64" s="220"/>
      <c r="AI64" s="97"/>
      <c r="AJ64" s="97"/>
      <c r="AK64" s="97"/>
      <c r="AL64" s="97"/>
      <c r="AM64" s="97"/>
      <c r="AP64" s="157"/>
      <c r="AQ64" s="186"/>
      <c r="AR64" s="186"/>
      <c r="AS64" s="187"/>
      <c r="AT64" s="188"/>
      <c r="AU64" s="189"/>
      <c r="AV64" s="189"/>
      <c r="AW64" s="188"/>
      <c r="AX64" s="189"/>
      <c r="AY64" s="188"/>
      <c r="AZ64" s="190"/>
    </row>
    <row r="65" spans="1:52" ht="15.5" x14ac:dyDescent="0.35">
      <c r="A65" s="197">
        <f t="shared" si="5"/>
        <v>235</v>
      </c>
      <c r="B65" s="98">
        <f t="shared" si="17"/>
        <v>6</v>
      </c>
      <c r="C65" s="99">
        <f t="shared" ca="1" si="18"/>
        <v>46239</v>
      </c>
      <c r="D65" s="100">
        <f t="shared" ca="1" si="6"/>
        <v>1037842.5277322612</v>
      </c>
      <c r="E65" s="100">
        <f t="shared" ca="1" si="7"/>
        <v>13388.168607746169</v>
      </c>
      <c r="F65" s="100">
        <f t="shared" ca="1" si="8"/>
        <v>1051230.6963400075</v>
      </c>
      <c r="G65" s="100">
        <f t="shared" ca="1" si="0"/>
        <v>692.5994266369853</v>
      </c>
      <c r="H65" s="100">
        <f t="shared" ca="1" si="9"/>
        <v>14080.768034383154</v>
      </c>
      <c r="I65" s="100">
        <f t="shared" ca="1" si="10"/>
        <v>177.47107224221668</v>
      </c>
      <c r="J65" s="100">
        <f t="shared" ca="1" si="11"/>
        <v>111</v>
      </c>
      <c r="K65" s="100">
        <f t="shared" ca="1" si="12"/>
        <v>14369.239106625371</v>
      </c>
      <c r="L65" s="101">
        <f t="shared" ca="1" si="19"/>
        <v>1037149.9283056243</v>
      </c>
      <c r="M65" s="12"/>
      <c r="N65" s="199" t="str">
        <f t="shared" si="1"/>
        <v/>
      </c>
      <c r="O65" s="12"/>
      <c r="Q65" s="111">
        <f t="shared" ca="1" si="2"/>
        <v>10.28</v>
      </c>
      <c r="R65" s="112">
        <f t="shared" ca="1" si="3"/>
        <v>31</v>
      </c>
      <c r="S65" s="113">
        <f t="shared" ca="1" si="4"/>
        <v>181</v>
      </c>
      <c r="U65" s="114">
        <v>26</v>
      </c>
      <c r="V65" s="114">
        <v>30</v>
      </c>
      <c r="W65" s="117">
        <v>2.3000000000000001E-4</v>
      </c>
      <c r="X65" s="114" t="s">
        <v>76</v>
      </c>
      <c r="AC65" s="224">
        <v>180</v>
      </c>
      <c r="AD65" s="225">
        <f t="shared" ca="1" si="13"/>
        <v>14080.768034383154</v>
      </c>
      <c r="AE65" s="226">
        <f t="shared" ca="1" si="14"/>
        <v>46239</v>
      </c>
      <c r="AF65" s="227">
        <f t="shared" ca="1" si="15"/>
        <v>14080.768034383154</v>
      </c>
      <c r="AG65" s="225">
        <f t="shared" ca="1" si="16"/>
        <v>14369.239106625371</v>
      </c>
      <c r="AH65" s="220"/>
      <c r="AI65" s="97"/>
      <c r="AJ65" s="97"/>
      <c r="AK65" s="97"/>
      <c r="AL65" s="97"/>
      <c r="AM65" s="97"/>
      <c r="AP65" s="157"/>
      <c r="AQ65" s="191"/>
      <c r="AR65" s="191"/>
      <c r="AS65" s="192"/>
      <c r="AT65" s="193"/>
      <c r="AU65" s="194"/>
      <c r="AV65" s="194"/>
      <c r="AW65" s="193"/>
      <c r="AX65" s="194"/>
      <c r="AY65" s="193"/>
      <c r="AZ65" s="195"/>
    </row>
    <row r="66" spans="1:52" ht="15.5" x14ac:dyDescent="0.35">
      <c r="A66" s="197">
        <f t="shared" si="5"/>
        <v>234</v>
      </c>
      <c r="B66" s="98">
        <f t="shared" si="17"/>
        <v>7</v>
      </c>
      <c r="C66" s="99">
        <f t="shared" ca="1" si="18"/>
        <v>46270</v>
      </c>
      <c r="D66" s="100">
        <f t="shared" ca="1" si="6"/>
        <v>1037149.9283056243</v>
      </c>
      <c r="E66" s="100">
        <f t="shared" ca="1" si="7"/>
        <v>13379.234075142553</v>
      </c>
      <c r="F66" s="100">
        <f t="shared" ca="1" si="8"/>
        <v>1050529.1623807668</v>
      </c>
      <c r="G66" s="100">
        <f t="shared" ca="1" si="0"/>
        <v>701.53395924060533</v>
      </c>
      <c r="H66" s="100">
        <f t="shared" ca="1" si="9"/>
        <v>14080.768034383158</v>
      </c>
      <c r="I66" s="100">
        <f t="shared" ca="1" si="10"/>
        <v>177.35263774026177</v>
      </c>
      <c r="J66" s="100">
        <f t="shared" ca="1" si="11"/>
        <v>111</v>
      </c>
      <c r="K66" s="100">
        <f t="shared" ca="1" si="12"/>
        <v>14369.120672123419</v>
      </c>
      <c r="L66" s="101">
        <f t="shared" ca="1" si="19"/>
        <v>1036448.3943463836</v>
      </c>
      <c r="M66" s="12"/>
      <c r="N66" s="199" t="str">
        <f t="shared" si="1"/>
        <v/>
      </c>
      <c r="O66" s="12"/>
      <c r="Q66" s="111">
        <f t="shared" ca="1" si="2"/>
        <v>12.2</v>
      </c>
      <c r="R66" s="112">
        <f t="shared" ca="1" si="3"/>
        <v>31</v>
      </c>
      <c r="S66" s="113">
        <f t="shared" ca="1" si="4"/>
        <v>212</v>
      </c>
      <c r="U66" s="114">
        <v>31</v>
      </c>
      <c r="V66" s="114">
        <v>35</v>
      </c>
      <c r="W66" s="117">
        <v>2.3000000000000001E-4</v>
      </c>
      <c r="X66" s="114" t="s">
        <v>77</v>
      </c>
      <c r="AC66" s="224">
        <v>210</v>
      </c>
      <c r="AD66" s="225">
        <f t="shared" ca="1" si="13"/>
        <v>14080.768034383158</v>
      </c>
      <c r="AE66" s="226">
        <f t="shared" ca="1" si="14"/>
        <v>46270</v>
      </c>
      <c r="AF66" s="227">
        <f t="shared" ca="1" si="15"/>
        <v>14080.768034383158</v>
      </c>
      <c r="AG66" s="225">
        <f t="shared" ca="1" si="16"/>
        <v>14369.120672123419</v>
      </c>
      <c r="AH66" s="220"/>
      <c r="AI66" s="97"/>
      <c r="AJ66" s="97"/>
      <c r="AK66" s="97"/>
      <c r="AL66" s="97"/>
      <c r="AM66" s="97"/>
      <c r="AP66" s="157"/>
      <c r="AQ66" s="186"/>
      <c r="AR66" s="186"/>
      <c r="AS66" s="187"/>
      <c r="AT66" s="188"/>
      <c r="AU66" s="189"/>
      <c r="AV66" s="189"/>
      <c r="AW66" s="188"/>
      <c r="AX66" s="189"/>
      <c r="AY66" s="188"/>
      <c r="AZ66" s="190"/>
    </row>
    <row r="67" spans="1:52" ht="15.5" x14ac:dyDescent="0.35">
      <c r="A67" s="197">
        <f t="shared" si="5"/>
        <v>233</v>
      </c>
      <c r="B67" s="98">
        <f t="shared" si="17"/>
        <v>8</v>
      </c>
      <c r="C67" s="99">
        <f t="shared" ca="1" si="18"/>
        <v>46300</v>
      </c>
      <c r="D67" s="100">
        <f t="shared" ca="1" si="6"/>
        <v>1036448.3943463836</v>
      </c>
      <c r="E67" s="100">
        <f t="shared" ca="1" si="7"/>
        <v>13370.184287068349</v>
      </c>
      <c r="F67" s="100">
        <f t="shared" ca="1" si="8"/>
        <v>1049818.5786334521</v>
      </c>
      <c r="G67" s="100">
        <f t="shared" ca="1" si="0"/>
        <v>710.58374731480581</v>
      </c>
      <c r="H67" s="100">
        <f t="shared" ca="1" si="9"/>
        <v>14080.768034383154</v>
      </c>
      <c r="I67" s="100">
        <f t="shared" ca="1" si="10"/>
        <v>177.23267543323161</v>
      </c>
      <c r="J67" s="100">
        <f t="shared" ca="1" si="11"/>
        <v>111</v>
      </c>
      <c r="K67" s="100">
        <f t="shared" ca="1" si="12"/>
        <v>14369.000709816386</v>
      </c>
      <c r="L67" s="101">
        <f t="shared" ca="1" si="19"/>
        <v>1035737.8105990689</v>
      </c>
      <c r="M67" s="12"/>
      <c r="N67" s="199" t="str">
        <f t="shared" si="1"/>
        <v/>
      </c>
      <c r="O67" s="12"/>
      <c r="Q67" s="111">
        <f t="shared" ca="1" si="2"/>
        <v>14.11</v>
      </c>
      <c r="R67" s="112">
        <f t="shared" ca="1" si="3"/>
        <v>30</v>
      </c>
      <c r="S67" s="113">
        <f t="shared" ca="1" si="4"/>
        <v>242</v>
      </c>
      <c r="U67" s="114">
        <v>36</v>
      </c>
      <c r="V67" s="114">
        <v>40</v>
      </c>
      <c r="W67" s="117">
        <v>2.3000000000000001E-4</v>
      </c>
      <c r="X67" s="114" t="s">
        <v>78</v>
      </c>
      <c r="AC67" s="224">
        <v>240</v>
      </c>
      <c r="AD67" s="225">
        <f t="shared" ca="1" si="13"/>
        <v>14080.768034383154</v>
      </c>
      <c r="AE67" s="226">
        <f t="shared" ca="1" si="14"/>
        <v>46300</v>
      </c>
      <c r="AF67" s="227">
        <f t="shared" ca="1" si="15"/>
        <v>14080.768034383154</v>
      </c>
      <c r="AG67" s="225">
        <f t="shared" ca="1" si="16"/>
        <v>14369.000709816386</v>
      </c>
      <c r="AH67" s="220"/>
      <c r="AI67" s="97"/>
      <c r="AJ67" s="97"/>
      <c r="AK67" s="97"/>
      <c r="AL67" s="97"/>
      <c r="AM67" s="97"/>
      <c r="AP67" s="157"/>
      <c r="AQ67" s="191"/>
      <c r="AR67" s="191"/>
      <c r="AS67" s="192"/>
      <c r="AT67" s="193"/>
      <c r="AU67" s="194"/>
      <c r="AV67" s="194"/>
      <c r="AW67" s="193"/>
      <c r="AX67" s="194"/>
      <c r="AY67" s="193"/>
      <c r="AZ67" s="195"/>
    </row>
    <row r="68" spans="1:52" ht="15.5" x14ac:dyDescent="0.35">
      <c r="A68" s="197">
        <f t="shared" si="5"/>
        <v>232</v>
      </c>
      <c r="B68" s="98">
        <f t="shared" si="17"/>
        <v>9</v>
      </c>
      <c r="C68" s="99">
        <f t="shared" ca="1" si="18"/>
        <v>46331</v>
      </c>
      <c r="D68" s="100">
        <f t="shared" ca="1" si="6"/>
        <v>1035737.8105990689</v>
      </c>
      <c r="E68" s="100">
        <f t="shared" ca="1" si="7"/>
        <v>13361.017756727988</v>
      </c>
      <c r="F68" s="100">
        <f t="shared" ca="1" si="8"/>
        <v>1049098.8283557969</v>
      </c>
      <c r="G68" s="100">
        <f t="shared" ca="1" si="0"/>
        <v>719.75027765516643</v>
      </c>
      <c r="H68" s="100">
        <f t="shared" ca="1" si="9"/>
        <v>14080.768034383154</v>
      </c>
      <c r="I68" s="100">
        <f t="shared" ca="1" si="10"/>
        <v>177.1111656124408</v>
      </c>
      <c r="J68" s="100">
        <f t="shared" ca="1" si="11"/>
        <v>111</v>
      </c>
      <c r="K68" s="100">
        <f t="shared" ca="1" si="12"/>
        <v>14368.879199995596</v>
      </c>
      <c r="L68" s="101">
        <f t="shared" ca="1" si="19"/>
        <v>1035018.0603214137</v>
      </c>
      <c r="M68" s="12"/>
      <c r="N68" s="199" t="str">
        <f t="shared" si="1"/>
        <v/>
      </c>
      <c r="O68" s="12"/>
      <c r="Q68" s="111">
        <f t="shared" ca="1" si="2"/>
        <v>16.12</v>
      </c>
      <c r="R68" s="112">
        <f t="shared" ca="1" si="3"/>
        <v>31</v>
      </c>
      <c r="S68" s="113">
        <f t="shared" ca="1" si="4"/>
        <v>273</v>
      </c>
      <c r="U68" s="114">
        <v>41</v>
      </c>
      <c r="V68" s="114">
        <v>50</v>
      </c>
      <c r="W68" s="117">
        <v>2.3000000000000001E-4</v>
      </c>
      <c r="X68" s="114" t="s">
        <v>79</v>
      </c>
      <c r="AC68" s="224">
        <v>270</v>
      </c>
      <c r="AD68" s="225">
        <f t="shared" ca="1" si="13"/>
        <v>14080.768034383154</v>
      </c>
      <c r="AE68" s="226">
        <f t="shared" ca="1" si="14"/>
        <v>46331</v>
      </c>
      <c r="AF68" s="227">
        <f t="shared" ca="1" si="15"/>
        <v>14080.768034383154</v>
      </c>
      <c r="AG68" s="225">
        <f t="shared" ca="1" si="16"/>
        <v>14368.879199995596</v>
      </c>
      <c r="AH68" s="220"/>
      <c r="AI68" s="97"/>
      <c r="AJ68" s="97"/>
      <c r="AK68" s="97"/>
      <c r="AL68" s="97"/>
      <c r="AM68" s="97"/>
      <c r="AP68" s="157"/>
      <c r="AQ68" s="186"/>
      <c r="AR68" s="186"/>
      <c r="AS68" s="187"/>
      <c r="AT68" s="188"/>
      <c r="AU68" s="189"/>
      <c r="AV68" s="189"/>
      <c r="AW68" s="188"/>
      <c r="AX68" s="189"/>
      <c r="AY68" s="188"/>
      <c r="AZ68" s="190"/>
    </row>
    <row r="69" spans="1:52" ht="15.5" x14ac:dyDescent="0.35">
      <c r="A69" s="197">
        <f t="shared" si="5"/>
        <v>231</v>
      </c>
      <c r="B69" s="98">
        <f t="shared" si="17"/>
        <v>10</v>
      </c>
      <c r="C69" s="99">
        <f t="shared" ca="1" si="18"/>
        <v>46361</v>
      </c>
      <c r="D69" s="100">
        <f t="shared" ca="1" si="6"/>
        <v>1035018.0603214137</v>
      </c>
      <c r="E69" s="100">
        <f t="shared" ca="1" si="7"/>
        <v>13351.732978146236</v>
      </c>
      <c r="F69" s="100">
        <f t="shared" ca="1" si="8"/>
        <v>1048369.79329956</v>
      </c>
      <c r="G69" s="100">
        <f t="shared" ca="1" si="0"/>
        <v>729.03505623691854</v>
      </c>
      <c r="H69" s="100">
        <f t="shared" ca="1" si="9"/>
        <v>14080.768034383154</v>
      </c>
      <c r="I69" s="100">
        <f t="shared" ca="1" si="10"/>
        <v>176.98808831496174</v>
      </c>
      <c r="J69" s="100">
        <f t="shared" ca="1" si="11"/>
        <v>111</v>
      </c>
      <c r="K69" s="100">
        <f t="shared" ca="1" si="12"/>
        <v>14368.756122698116</v>
      </c>
      <c r="L69" s="101">
        <f t="shared" ca="1" si="19"/>
        <v>1034289.0252651768</v>
      </c>
      <c r="M69" s="12"/>
      <c r="N69" s="199" t="str">
        <f t="shared" si="1"/>
        <v/>
      </c>
      <c r="O69" s="12"/>
      <c r="Q69" s="111">
        <f t="shared" ca="1" si="2"/>
        <v>18.12</v>
      </c>
      <c r="R69" s="112">
        <f t="shared" ca="1" si="3"/>
        <v>30</v>
      </c>
      <c r="S69" s="113">
        <f t="shared" ca="1" si="4"/>
        <v>303</v>
      </c>
      <c r="U69" s="114">
        <v>51</v>
      </c>
      <c r="V69" s="114">
        <v>60</v>
      </c>
      <c r="W69" s="117">
        <v>2.3000000000000001E-4</v>
      </c>
      <c r="X69" s="114" t="s">
        <v>80</v>
      </c>
      <c r="AC69" s="224">
        <v>300</v>
      </c>
      <c r="AD69" s="225">
        <f t="shared" ca="1" si="13"/>
        <v>14080.768034383154</v>
      </c>
      <c r="AE69" s="226">
        <f t="shared" ca="1" si="14"/>
        <v>46361</v>
      </c>
      <c r="AF69" s="227">
        <f t="shared" ca="1" si="15"/>
        <v>14080.768034383154</v>
      </c>
      <c r="AG69" s="225">
        <f t="shared" ca="1" si="16"/>
        <v>14368.756122698116</v>
      </c>
      <c r="AH69" s="220"/>
      <c r="AI69" s="97"/>
      <c r="AJ69" s="97"/>
      <c r="AK69" s="97"/>
      <c r="AL69" s="97"/>
      <c r="AM69" s="97"/>
      <c r="AP69" s="157"/>
      <c r="AQ69" s="191"/>
      <c r="AR69" s="191"/>
      <c r="AS69" s="192"/>
      <c r="AT69" s="193"/>
      <c r="AU69" s="194"/>
      <c r="AV69" s="194"/>
      <c r="AW69" s="193"/>
      <c r="AX69" s="194"/>
      <c r="AY69" s="193"/>
      <c r="AZ69" s="195"/>
    </row>
    <row r="70" spans="1:52" ht="15.5" x14ac:dyDescent="0.35">
      <c r="A70" s="197">
        <f t="shared" si="5"/>
        <v>230</v>
      </c>
      <c r="B70" s="98">
        <f t="shared" si="17"/>
        <v>11</v>
      </c>
      <c r="C70" s="99">
        <f t="shared" ca="1" si="18"/>
        <v>46392</v>
      </c>
      <c r="D70" s="100">
        <f t="shared" ca="1" si="6"/>
        <v>1034289.0252651768</v>
      </c>
      <c r="E70" s="100">
        <f t="shared" ca="1" si="7"/>
        <v>13342.328425920781</v>
      </c>
      <c r="F70" s="100">
        <f t="shared" ca="1" si="8"/>
        <v>1047631.3536910976</v>
      </c>
      <c r="G70" s="100">
        <f t="shared" ca="1" si="0"/>
        <v>738.43960846237314</v>
      </c>
      <c r="H70" s="100">
        <f t="shared" ca="1" si="9"/>
        <v>14080.768034383154</v>
      </c>
      <c r="I70" s="100">
        <f t="shared" ca="1" si="10"/>
        <v>176.86342332034525</v>
      </c>
      <c r="J70" s="100">
        <f t="shared" ca="1" si="11"/>
        <v>111</v>
      </c>
      <c r="K70" s="100">
        <f t="shared" ca="1" si="12"/>
        <v>14368.631457703499</v>
      </c>
      <c r="L70" s="101">
        <f t="shared" ca="1" si="19"/>
        <v>1033550.5856567144</v>
      </c>
      <c r="M70" s="12"/>
      <c r="N70" s="199" t="str">
        <f t="shared" si="1"/>
        <v/>
      </c>
      <c r="O70" s="12"/>
      <c r="Q70" s="111">
        <f t="shared" ca="1" si="2"/>
        <v>20.23</v>
      </c>
      <c r="R70" s="112">
        <f t="shared" ca="1" si="3"/>
        <v>31</v>
      </c>
      <c r="S70" s="113">
        <f t="shared" ca="1" si="4"/>
        <v>334</v>
      </c>
      <c r="U70" s="114">
        <v>61</v>
      </c>
      <c r="V70" s="114">
        <v>70</v>
      </c>
      <c r="W70" s="117">
        <v>2.3000000000000001E-4</v>
      </c>
      <c r="X70" s="114" t="s">
        <v>81</v>
      </c>
      <c r="AC70" s="224">
        <v>330</v>
      </c>
      <c r="AD70" s="225">
        <f t="shared" ca="1" si="13"/>
        <v>14080.768034383154</v>
      </c>
      <c r="AE70" s="226">
        <f t="shared" ca="1" si="14"/>
        <v>46392</v>
      </c>
      <c r="AF70" s="227">
        <f t="shared" ca="1" si="15"/>
        <v>14080.768034383154</v>
      </c>
      <c r="AG70" s="225">
        <f t="shared" ca="1" si="16"/>
        <v>14368.631457703499</v>
      </c>
      <c r="AH70" s="220"/>
      <c r="AI70" s="97"/>
      <c r="AJ70" s="97"/>
      <c r="AK70" s="97"/>
      <c r="AL70" s="97"/>
      <c r="AM70" s="97"/>
      <c r="AP70" s="157"/>
      <c r="AQ70" s="186"/>
      <c r="AR70" s="186"/>
      <c r="AS70" s="187"/>
      <c r="AT70" s="188"/>
      <c r="AU70" s="189"/>
      <c r="AV70" s="189"/>
      <c r="AW70" s="188"/>
      <c r="AX70" s="189"/>
      <c r="AY70" s="188"/>
      <c r="AZ70" s="190"/>
    </row>
    <row r="71" spans="1:52" ht="15.5" x14ac:dyDescent="0.35">
      <c r="A71" s="197">
        <f t="shared" si="5"/>
        <v>229</v>
      </c>
      <c r="B71" s="98">
        <f t="shared" si="17"/>
        <v>12</v>
      </c>
      <c r="C71" s="99">
        <f t="shared" ca="1" si="18"/>
        <v>46423</v>
      </c>
      <c r="D71" s="100">
        <f t="shared" ca="1" si="6"/>
        <v>1033550.5856567144</v>
      </c>
      <c r="E71" s="100">
        <f t="shared" ca="1" si="7"/>
        <v>13332.802554971615</v>
      </c>
      <c r="F71" s="100">
        <f t="shared" ca="1" si="8"/>
        <v>1046883.388211686</v>
      </c>
      <c r="G71" s="100">
        <f t="shared" ca="1" si="0"/>
        <v>747.96547941154313</v>
      </c>
      <c r="H71" s="100">
        <f t="shared" ca="1" si="9"/>
        <v>14080.768034383158</v>
      </c>
      <c r="I71" s="100">
        <f t="shared" ca="1" si="10"/>
        <v>176.73715014729817</v>
      </c>
      <c r="J71" s="100">
        <f t="shared" ca="1" si="11"/>
        <v>111</v>
      </c>
      <c r="K71" s="100">
        <f t="shared" ca="1" si="12"/>
        <v>14368.505184530457</v>
      </c>
      <c r="L71" s="101">
        <f t="shared" ca="1" si="19"/>
        <v>1032802.6201773029</v>
      </c>
      <c r="M71" s="12"/>
      <c r="N71" s="199" t="str">
        <f t="shared" si="1"/>
        <v/>
      </c>
      <c r="O71" s="12"/>
      <c r="Q71" s="111">
        <f t="shared" ca="1" si="2"/>
        <v>22.39</v>
      </c>
      <c r="R71" s="112">
        <f t="shared" ca="1" si="3"/>
        <v>31</v>
      </c>
      <c r="S71" s="113">
        <f t="shared" ca="1" si="4"/>
        <v>365</v>
      </c>
      <c r="U71" s="114">
        <v>71</v>
      </c>
      <c r="V71" s="114">
        <v>75</v>
      </c>
      <c r="W71" s="117">
        <v>2.3000000000000001E-4</v>
      </c>
      <c r="X71" s="114" t="s">
        <v>82</v>
      </c>
      <c r="AC71" s="224">
        <v>360</v>
      </c>
      <c r="AD71" s="225">
        <f t="shared" ca="1" si="13"/>
        <v>14080.768034383158</v>
      </c>
      <c r="AE71" s="226">
        <f t="shared" ca="1" si="14"/>
        <v>46423</v>
      </c>
      <c r="AF71" s="227">
        <f t="shared" ca="1" si="15"/>
        <v>14080.768034383158</v>
      </c>
      <c r="AG71" s="225">
        <f t="shared" ca="1" si="16"/>
        <v>14368.505184530457</v>
      </c>
      <c r="AH71" s="220"/>
      <c r="AI71" s="97"/>
      <c r="AJ71" s="97"/>
      <c r="AK71" s="97"/>
      <c r="AL71" s="97"/>
      <c r="AM71" s="97"/>
      <c r="AP71" s="157"/>
      <c r="AQ71" s="191"/>
      <c r="AR71" s="191"/>
      <c r="AS71" s="192"/>
      <c r="AT71" s="193"/>
      <c r="AU71" s="194"/>
      <c r="AV71" s="194"/>
      <c r="AW71" s="193"/>
      <c r="AX71" s="194"/>
      <c r="AY71" s="193"/>
      <c r="AZ71" s="195"/>
    </row>
    <row r="72" spans="1:52" ht="15.5" x14ac:dyDescent="0.35">
      <c r="A72" s="197">
        <f t="shared" si="5"/>
        <v>228</v>
      </c>
      <c r="B72" s="98">
        <f t="shared" si="17"/>
        <v>13</v>
      </c>
      <c r="C72" s="99">
        <f t="shared" ca="1" si="18"/>
        <v>46451</v>
      </c>
      <c r="D72" s="100">
        <f t="shared" ca="1" si="6"/>
        <v>1032802.6201773029</v>
      </c>
      <c r="E72" s="100">
        <f t="shared" ca="1" si="7"/>
        <v>13323.153800287208</v>
      </c>
      <c r="F72" s="100">
        <f t="shared" ca="1" si="8"/>
        <v>1046125.77397759</v>
      </c>
      <c r="G72" s="100">
        <f t="shared" ref="G72:G135" ca="1" si="20">IF($D$9&gt;=B72,0,IFERROR(IF(C72="","",IF(SISTEMA_AMORTIZAÇÃO=PRICE_PRE,H72-E72,
IF(SISTEMA_AMORTIZAÇÃO=SAC_PRE,D72/A72,
IF(SISTEMA_AMORTIZAÇÃO=SAC_POS,D72/A72,)))),""))</f>
        <v>757.61423409594681</v>
      </c>
      <c r="H72" s="100">
        <f t="shared" ca="1" si="9"/>
        <v>14080.768034383154</v>
      </c>
      <c r="I72" s="100">
        <f t="shared" ca="1" si="10"/>
        <v>176.6092480503188</v>
      </c>
      <c r="J72" s="100">
        <f t="shared" ca="1" si="11"/>
        <v>111</v>
      </c>
      <c r="K72" s="100">
        <f t="shared" ca="1" si="12"/>
        <v>14368.377282433474</v>
      </c>
      <c r="L72" s="101">
        <f t="shared" ref="L72" ca="1" si="21">IFERROR(D72-G72,"")</f>
        <v>1032045.005943207</v>
      </c>
      <c r="M72" s="12"/>
      <c r="N72" s="12"/>
      <c r="O72" s="12"/>
      <c r="Q72" s="118">
        <f ca="1">IFERROR(G72*$Q$44,0)</f>
        <v>22.728427022878403</v>
      </c>
      <c r="R72" s="119">
        <f t="shared" ca="1" si="3"/>
        <v>28</v>
      </c>
      <c r="S72" s="120">
        <v>365</v>
      </c>
      <c r="U72" s="114">
        <v>76</v>
      </c>
      <c r="V72" s="114">
        <v>80.400000000000006</v>
      </c>
      <c r="W72" s="117">
        <v>2.3000000000000001E-4</v>
      </c>
      <c r="X72" s="114" t="s">
        <v>83</v>
      </c>
      <c r="AC72" s="224">
        <v>390</v>
      </c>
      <c r="AD72" s="225">
        <f t="shared" ca="1" si="13"/>
        <v>14080.768034383154</v>
      </c>
      <c r="AE72" s="226">
        <f t="shared" ca="1" si="14"/>
        <v>46451</v>
      </c>
      <c r="AF72" s="227">
        <f t="shared" ca="1" si="15"/>
        <v>14080.768034383154</v>
      </c>
      <c r="AG72" s="225">
        <f t="shared" ca="1" si="16"/>
        <v>14368.377282433474</v>
      </c>
      <c r="AH72" s="220"/>
      <c r="AI72" s="97"/>
      <c r="AJ72" s="97"/>
      <c r="AK72" s="97"/>
      <c r="AL72" s="97"/>
      <c r="AM72" s="97"/>
      <c r="AP72" s="157"/>
      <c r="AQ72" s="186"/>
      <c r="AR72" s="186"/>
      <c r="AS72" s="187"/>
      <c r="AT72" s="188"/>
      <c r="AU72" s="189"/>
      <c r="AV72" s="189"/>
      <c r="AW72" s="188"/>
      <c r="AX72" s="189"/>
      <c r="AY72" s="188"/>
      <c r="AZ72" s="190"/>
    </row>
    <row r="73" spans="1:52" ht="15.5" x14ac:dyDescent="0.35">
      <c r="A73" s="197">
        <f t="shared" si="5"/>
        <v>227</v>
      </c>
      <c r="B73" s="98">
        <f t="shared" si="17"/>
        <v>14</v>
      </c>
      <c r="C73" s="99">
        <f t="shared" ref="C73:C136" ca="1" si="22">IFERROR(IF(B73&lt;=$J$21,DATE(YEAR(C72),MONTH(C72)+1,DAY(C72)),""),"")</f>
        <v>46482</v>
      </c>
      <c r="D73" s="100">
        <f t="shared" ref="D73:D136" ca="1" si="23">IF(B73="","",L72)</f>
        <v>1032045.005943207</v>
      </c>
      <c r="E73" s="100">
        <f t="shared" ref="E73:E136" ca="1" si="24">IFERROR(D73*TAXA,"")</f>
        <v>13313.38057666737</v>
      </c>
      <c r="F73" s="100">
        <f t="shared" ref="F73:F136" ca="1" si="25">IFERROR(D73+E73,"")</f>
        <v>1045358.3865198743</v>
      </c>
      <c r="G73" s="100">
        <f t="shared" ca="1" si="20"/>
        <v>767.3874577157876</v>
      </c>
      <c r="H73" s="100">
        <f t="shared" ca="1" si="9"/>
        <v>14080.768034383158</v>
      </c>
      <c r="I73" s="100">
        <f t="shared" ref="I73:I136" ca="1" si="26">IFERROR(D73*$K$32,"")</f>
        <v>176.47969601628839</v>
      </c>
      <c r="J73" s="100">
        <f t="shared" ca="1" si="11"/>
        <v>111</v>
      </c>
      <c r="K73" s="100">
        <f t="shared" ref="K73:K136" ca="1" si="27">IFERROR(SUM(J73+I73+H73),"")</f>
        <v>14368.247730399446</v>
      </c>
      <c r="L73" s="101">
        <f t="shared" ref="L73:L136" ca="1" si="28">IFERROR(D73-G73,"")</f>
        <v>1031277.6184854911</v>
      </c>
      <c r="M73" s="12"/>
      <c r="N73" s="12"/>
      <c r="O73" s="12"/>
      <c r="Q73" s="118">
        <f t="shared" ref="Q73:Q135" ca="1" si="29">IFERROR(G73*$Q$44,0)</f>
        <v>23.021623731473628</v>
      </c>
      <c r="R73" s="119">
        <f t="shared" ca="1" si="3"/>
        <v>31</v>
      </c>
      <c r="S73" s="120">
        <v>365</v>
      </c>
      <c r="AC73" s="224">
        <v>420</v>
      </c>
      <c r="AD73" s="225">
        <f t="shared" ca="1" si="13"/>
        <v>14080.768034383158</v>
      </c>
      <c r="AE73" s="226">
        <f t="shared" ca="1" si="14"/>
        <v>46482</v>
      </c>
      <c r="AF73" s="227">
        <f t="shared" ca="1" si="15"/>
        <v>14080.768034383158</v>
      </c>
      <c r="AG73" s="225">
        <f t="shared" ca="1" si="16"/>
        <v>14368.247730399446</v>
      </c>
      <c r="AH73" s="220"/>
      <c r="AI73" s="97"/>
      <c r="AJ73" s="97"/>
      <c r="AK73" s="97"/>
      <c r="AL73" s="97"/>
      <c r="AM73" s="97"/>
      <c r="AP73" s="157"/>
      <c r="AQ73" s="191"/>
      <c r="AR73" s="191"/>
      <c r="AS73" s="192"/>
      <c r="AT73" s="193"/>
      <c r="AU73" s="194"/>
      <c r="AV73" s="194"/>
      <c r="AW73" s="193"/>
      <c r="AX73" s="194"/>
      <c r="AY73" s="193"/>
      <c r="AZ73" s="195"/>
    </row>
    <row r="74" spans="1:52" ht="15.5" x14ac:dyDescent="0.35">
      <c r="A74" s="197">
        <f t="shared" si="5"/>
        <v>226</v>
      </c>
      <c r="B74" s="98">
        <f t="shared" si="17"/>
        <v>15</v>
      </c>
      <c r="C74" s="99">
        <f t="shared" ca="1" si="22"/>
        <v>46512</v>
      </c>
      <c r="D74" s="100">
        <f t="shared" ca="1" si="23"/>
        <v>1031277.6184854911</v>
      </c>
      <c r="E74" s="100">
        <f t="shared" ca="1" si="24"/>
        <v>13303.481278462836</v>
      </c>
      <c r="F74" s="100">
        <f t="shared" ca="1" si="25"/>
        <v>1044581.0997639539</v>
      </c>
      <c r="G74" s="100">
        <f t="shared" ca="1" si="20"/>
        <v>777.28675592031868</v>
      </c>
      <c r="H74" s="100">
        <f t="shared" ca="1" si="9"/>
        <v>14080.768034383154</v>
      </c>
      <c r="I74" s="100">
        <f t="shared" ca="1" si="26"/>
        <v>176.348472761019</v>
      </c>
      <c r="J74" s="100">
        <f t="shared" ca="1" si="11"/>
        <v>111</v>
      </c>
      <c r="K74" s="100">
        <f t="shared" ca="1" si="27"/>
        <v>14368.116507144174</v>
      </c>
      <c r="L74" s="101">
        <f t="shared" ca="1" si="28"/>
        <v>1030500.3317295709</v>
      </c>
      <c r="M74" s="12"/>
      <c r="N74" s="12"/>
      <c r="O74" s="12"/>
      <c r="Q74" s="118">
        <f t="shared" ca="1" si="29"/>
        <v>23.318602677609558</v>
      </c>
      <c r="R74" s="119">
        <f t="shared" ca="1" si="3"/>
        <v>30</v>
      </c>
      <c r="S74" s="120">
        <v>365</v>
      </c>
      <c r="U74" s="121" t="s">
        <v>84</v>
      </c>
      <c r="V74" s="121"/>
      <c r="W74" s="121"/>
      <c r="X74" s="121"/>
      <c r="Y74" s="121"/>
      <c r="AC74" s="224">
        <v>450</v>
      </c>
      <c r="AD74" s="225">
        <f t="shared" ca="1" si="13"/>
        <v>14080.768034383154</v>
      </c>
      <c r="AE74" s="226">
        <f t="shared" ca="1" si="14"/>
        <v>46512</v>
      </c>
      <c r="AF74" s="227">
        <f t="shared" ca="1" si="15"/>
        <v>14080.768034383154</v>
      </c>
      <c r="AG74" s="225">
        <f t="shared" ca="1" si="16"/>
        <v>14368.116507144174</v>
      </c>
      <c r="AH74" s="220"/>
      <c r="AI74" s="97"/>
      <c r="AJ74" s="97"/>
      <c r="AK74" s="97"/>
      <c r="AL74" s="97"/>
      <c r="AM74" s="97"/>
      <c r="AP74" s="157"/>
      <c r="AQ74" s="186"/>
      <c r="AR74" s="186"/>
      <c r="AS74" s="187"/>
      <c r="AT74" s="188"/>
      <c r="AU74" s="189"/>
      <c r="AV74" s="189"/>
      <c r="AW74" s="188"/>
      <c r="AX74" s="189"/>
      <c r="AY74" s="188"/>
      <c r="AZ74" s="190"/>
    </row>
    <row r="75" spans="1:52" ht="15.5" x14ac:dyDescent="0.35">
      <c r="A75" s="197">
        <f t="shared" si="5"/>
        <v>225</v>
      </c>
      <c r="B75" s="98">
        <f t="shared" si="17"/>
        <v>16</v>
      </c>
      <c r="C75" s="99">
        <f t="shared" ca="1" si="22"/>
        <v>46543</v>
      </c>
      <c r="D75" s="100">
        <f t="shared" ca="1" si="23"/>
        <v>1030500.3317295709</v>
      </c>
      <c r="E75" s="100">
        <f t="shared" ca="1" si="24"/>
        <v>13293.454279311463</v>
      </c>
      <c r="F75" s="100">
        <f t="shared" ca="1" si="25"/>
        <v>1043793.7860088823</v>
      </c>
      <c r="G75" s="100">
        <f t="shared" ca="1" si="20"/>
        <v>787.31375507169105</v>
      </c>
      <c r="H75" s="100">
        <f t="shared" ca="1" si="9"/>
        <v>14080.768034383154</v>
      </c>
      <c r="I75" s="100">
        <f t="shared" ca="1" si="26"/>
        <v>176.21555672575664</v>
      </c>
      <c r="J75" s="100">
        <f t="shared" ca="1" si="11"/>
        <v>111</v>
      </c>
      <c r="K75" s="100">
        <f t="shared" ca="1" si="27"/>
        <v>14367.98359110891</v>
      </c>
      <c r="L75" s="101">
        <f t="shared" ca="1" si="28"/>
        <v>1029713.0179744991</v>
      </c>
      <c r="M75" s="12"/>
      <c r="N75" s="12"/>
      <c r="O75" s="12"/>
      <c r="Q75" s="118">
        <f t="shared" ca="1" si="29"/>
        <v>23.619412652150732</v>
      </c>
      <c r="R75" s="119">
        <f t="shared" ca="1" si="3"/>
        <v>31</v>
      </c>
      <c r="S75" s="120">
        <v>365</v>
      </c>
      <c r="U75" s="122" t="s">
        <v>85</v>
      </c>
      <c r="V75" s="122"/>
      <c r="W75" s="122"/>
      <c r="X75" s="122"/>
      <c r="Y75" s="122"/>
      <c r="Z75" s="121" t="s">
        <v>86</v>
      </c>
      <c r="AA75" s="121" t="s">
        <v>5</v>
      </c>
      <c r="AC75" s="224">
        <v>480</v>
      </c>
      <c r="AD75" s="225">
        <f t="shared" ca="1" si="13"/>
        <v>14080.768034383154</v>
      </c>
      <c r="AE75" s="226">
        <f t="shared" ca="1" si="14"/>
        <v>46543</v>
      </c>
      <c r="AF75" s="227">
        <f t="shared" ca="1" si="15"/>
        <v>14080.768034383154</v>
      </c>
      <c r="AG75" s="225">
        <f t="shared" ca="1" si="16"/>
        <v>14367.98359110891</v>
      </c>
      <c r="AH75" s="220"/>
      <c r="AI75" s="97"/>
      <c r="AJ75" s="97"/>
      <c r="AK75" s="97"/>
      <c r="AL75" s="97"/>
      <c r="AM75" s="97"/>
      <c r="AP75" s="157"/>
      <c r="AQ75" s="191"/>
      <c r="AR75" s="191"/>
      <c r="AS75" s="192"/>
      <c r="AT75" s="193"/>
      <c r="AU75" s="194"/>
      <c r="AV75" s="194"/>
      <c r="AW75" s="193"/>
      <c r="AX75" s="194"/>
      <c r="AY75" s="193"/>
      <c r="AZ75" s="195"/>
    </row>
    <row r="76" spans="1:52" ht="15.5" x14ac:dyDescent="0.35">
      <c r="A76" s="197">
        <f t="shared" si="5"/>
        <v>224</v>
      </c>
      <c r="B76" s="98">
        <f t="shared" si="17"/>
        <v>17</v>
      </c>
      <c r="C76" s="99">
        <f t="shared" ca="1" si="22"/>
        <v>46573</v>
      </c>
      <c r="D76" s="100">
        <f t="shared" ca="1" si="23"/>
        <v>1029713.0179744991</v>
      </c>
      <c r="E76" s="100">
        <f t="shared" ca="1" si="24"/>
        <v>13283.297931871039</v>
      </c>
      <c r="F76" s="100">
        <f t="shared" ca="1" si="25"/>
        <v>1042996.3159063702</v>
      </c>
      <c r="G76" s="100">
        <f t="shared" ca="1" si="20"/>
        <v>797.47010251211941</v>
      </c>
      <c r="H76" s="100">
        <f t="shared" ca="1" si="9"/>
        <v>14080.768034383158</v>
      </c>
      <c r="I76" s="100">
        <f t="shared" ca="1" si="26"/>
        <v>176.08092607363938</v>
      </c>
      <c r="J76" s="100">
        <f t="shared" ca="1" si="11"/>
        <v>111</v>
      </c>
      <c r="K76" s="100">
        <f t="shared" ca="1" si="27"/>
        <v>14367.848960456797</v>
      </c>
      <c r="L76" s="101">
        <f t="shared" ca="1" si="28"/>
        <v>1028915.547871987</v>
      </c>
      <c r="M76" s="12"/>
      <c r="N76" s="12"/>
      <c r="O76" s="12"/>
      <c r="Q76" s="118">
        <f t="shared" ca="1" si="29"/>
        <v>23.924103075363583</v>
      </c>
      <c r="R76" s="119">
        <f t="shared" ca="1" si="3"/>
        <v>30</v>
      </c>
      <c r="S76" s="120">
        <v>365</v>
      </c>
      <c r="U76" s="133" t="s">
        <v>87</v>
      </c>
      <c r="V76" s="133"/>
      <c r="W76" s="133"/>
      <c r="X76" s="133"/>
      <c r="Y76" s="133"/>
      <c r="Z76" s="10" t="s">
        <v>88</v>
      </c>
      <c r="AA76" s="172">
        <v>0.7</v>
      </c>
      <c r="AC76" s="224">
        <v>510</v>
      </c>
      <c r="AD76" s="225">
        <f t="shared" ca="1" si="13"/>
        <v>14080.768034383158</v>
      </c>
      <c r="AE76" s="226">
        <f t="shared" ca="1" si="14"/>
        <v>46573</v>
      </c>
      <c r="AF76" s="227">
        <f t="shared" ca="1" si="15"/>
        <v>14080.768034383158</v>
      </c>
      <c r="AG76" s="225">
        <f t="shared" ca="1" si="16"/>
        <v>14367.848960456797</v>
      </c>
      <c r="AH76" s="220"/>
      <c r="AI76" s="97"/>
      <c r="AJ76" s="97"/>
      <c r="AK76" s="97"/>
      <c r="AL76" s="97"/>
      <c r="AM76" s="97"/>
      <c r="AP76" s="157"/>
      <c r="AQ76" s="186"/>
      <c r="AR76" s="186"/>
      <c r="AS76" s="187"/>
      <c r="AT76" s="188"/>
      <c r="AU76" s="189"/>
      <c r="AV76" s="189"/>
      <c r="AW76" s="188"/>
      <c r="AX76" s="189"/>
      <c r="AY76" s="188"/>
      <c r="AZ76" s="190"/>
    </row>
    <row r="77" spans="1:52" ht="15.5" x14ac:dyDescent="0.35">
      <c r="A77" s="197">
        <f t="shared" si="5"/>
        <v>223</v>
      </c>
      <c r="B77" s="98">
        <f t="shared" si="17"/>
        <v>18</v>
      </c>
      <c r="C77" s="99">
        <f t="shared" ca="1" si="22"/>
        <v>46604</v>
      </c>
      <c r="D77" s="100">
        <f t="shared" ca="1" si="23"/>
        <v>1028915.547871987</v>
      </c>
      <c r="E77" s="100">
        <f t="shared" ca="1" si="24"/>
        <v>13273.010567548632</v>
      </c>
      <c r="F77" s="100">
        <f t="shared" ca="1" si="25"/>
        <v>1042188.5584395357</v>
      </c>
      <c r="G77" s="100">
        <f t="shared" ca="1" si="20"/>
        <v>807.75746683452599</v>
      </c>
      <c r="H77" s="100">
        <f t="shared" ca="1" si="9"/>
        <v>14080.768034383158</v>
      </c>
      <c r="I77" s="100">
        <f t="shared" ca="1" si="26"/>
        <v>175.94455868610979</v>
      </c>
      <c r="J77" s="100">
        <f t="shared" ca="1" si="11"/>
        <v>111</v>
      </c>
      <c r="K77" s="100">
        <f t="shared" ca="1" si="27"/>
        <v>14367.712593069267</v>
      </c>
      <c r="L77" s="101">
        <f t="shared" ca="1" si="28"/>
        <v>1028107.7904051525</v>
      </c>
      <c r="M77" s="12"/>
      <c r="N77" s="12"/>
      <c r="O77" s="12"/>
      <c r="Q77" s="118">
        <f t="shared" ca="1" si="29"/>
        <v>24.232724005035777</v>
      </c>
      <c r="R77" s="119">
        <f t="shared" ca="1" si="3"/>
        <v>31</v>
      </c>
      <c r="S77" s="120">
        <v>365</v>
      </c>
      <c r="U77" s="133" t="s">
        <v>89</v>
      </c>
      <c r="V77" s="133"/>
      <c r="W77" s="133"/>
      <c r="X77" s="133"/>
      <c r="Y77" s="133"/>
      <c r="Z77" s="10" t="s">
        <v>88</v>
      </c>
      <c r="AA77" s="172">
        <v>0.7</v>
      </c>
      <c r="AC77" s="224">
        <v>540</v>
      </c>
      <c r="AD77" s="225">
        <f t="shared" ca="1" si="13"/>
        <v>14080.768034383158</v>
      </c>
      <c r="AE77" s="226">
        <f t="shared" ca="1" si="14"/>
        <v>46604</v>
      </c>
      <c r="AF77" s="227">
        <f t="shared" ca="1" si="15"/>
        <v>14080.768034383158</v>
      </c>
      <c r="AG77" s="225">
        <f t="shared" ca="1" si="16"/>
        <v>14367.712593069267</v>
      </c>
      <c r="AH77" s="220"/>
      <c r="AI77" s="97"/>
      <c r="AJ77" s="97"/>
      <c r="AK77" s="97"/>
      <c r="AL77" s="97"/>
      <c r="AM77" s="97"/>
      <c r="AP77" s="157"/>
      <c r="AQ77" s="191"/>
      <c r="AR77" s="191"/>
      <c r="AS77" s="192"/>
      <c r="AT77" s="193"/>
      <c r="AU77" s="194"/>
      <c r="AV77" s="194"/>
      <c r="AW77" s="193"/>
      <c r="AX77" s="194"/>
      <c r="AY77" s="193"/>
      <c r="AZ77" s="195"/>
    </row>
    <row r="78" spans="1:52" ht="15.5" x14ac:dyDescent="0.35">
      <c r="A78" s="197">
        <f t="shared" si="5"/>
        <v>222</v>
      </c>
      <c r="B78" s="98">
        <f t="shared" si="17"/>
        <v>19</v>
      </c>
      <c r="C78" s="99">
        <f t="shared" ca="1" si="22"/>
        <v>46635</v>
      </c>
      <c r="D78" s="100">
        <f t="shared" ca="1" si="23"/>
        <v>1028107.7904051525</v>
      </c>
      <c r="E78" s="100">
        <f t="shared" ca="1" si="24"/>
        <v>13262.590496226467</v>
      </c>
      <c r="F78" s="100">
        <f t="shared" ca="1" si="25"/>
        <v>1041370.3809013789</v>
      </c>
      <c r="G78" s="100">
        <f t="shared" ca="1" si="20"/>
        <v>818.17753815668766</v>
      </c>
      <c r="H78" s="100">
        <f t="shared" ca="1" si="9"/>
        <v>14080.768034383154</v>
      </c>
      <c r="I78" s="100">
        <f t="shared" ca="1" si="26"/>
        <v>175.80643215928109</v>
      </c>
      <c r="J78" s="100">
        <f t="shared" ca="1" si="11"/>
        <v>111</v>
      </c>
      <c r="K78" s="100">
        <f t="shared" ca="1" si="27"/>
        <v>14367.574466542435</v>
      </c>
      <c r="L78" s="101">
        <f t="shared" ca="1" si="28"/>
        <v>1027289.6128669957</v>
      </c>
      <c r="M78" s="12"/>
      <c r="N78" s="12"/>
      <c r="O78" s="12"/>
      <c r="Q78" s="118">
        <f t="shared" ca="1" si="29"/>
        <v>24.545326144700628</v>
      </c>
      <c r="R78" s="119">
        <f t="shared" ca="1" si="3"/>
        <v>31</v>
      </c>
      <c r="S78" s="120">
        <v>365</v>
      </c>
      <c r="U78" s="133" t="s">
        <v>90</v>
      </c>
      <c r="V78" s="133"/>
      <c r="W78" s="133"/>
      <c r="X78" s="133"/>
      <c r="Y78" s="133"/>
      <c r="Z78" s="135" t="s">
        <v>91</v>
      </c>
      <c r="AA78" s="135">
        <v>0.5</v>
      </c>
      <c r="AC78" s="224">
        <v>570</v>
      </c>
      <c r="AD78" s="225">
        <f t="shared" ca="1" si="13"/>
        <v>14080.768034383154</v>
      </c>
      <c r="AE78" s="226">
        <f t="shared" ca="1" si="14"/>
        <v>46635</v>
      </c>
      <c r="AF78" s="227">
        <f t="shared" ca="1" si="15"/>
        <v>14080.768034383154</v>
      </c>
      <c r="AG78" s="225">
        <f t="shared" ca="1" si="16"/>
        <v>14367.574466542435</v>
      </c>
      <c r="AH78" s="220"/>
      <c r="AI78" s="97"/>
      <c r="AJ78" s="97"/>
      <c r="AK78" s="97"/>
      <c r="AL78" s="97"/>
      <c r="AM78" s="97"/>
      <c r="AP78" s="157"/>
      <c r="AQ78" s="186"/>
      <c r="AR78" s="186"/>
      <c r="AS78" s="187"/>
      <c r="AT78" s="188"/>
      <c r="AU78" s="189"/>
      <c r="AV78" s="189"/>
      <c r="AW78" s="188"/>
      <c r="AX78" s="189"/>
      <c r="AY78" s="188"/>
      <c r="AZ78" s="190"/>
    </row>
    <row r="79" spans="1:52" ht="15.5" x14ac:dyDescent="0.35">
      <c r="A79" s="197">
        <f t="shared" si="5"/>
        <v>221</v>
      </c>
      <c r="B79" s="98">
        <f t="shared" si="17"/>
        <v>20</v>
      </c>
      <c r="C79" s="99">
        <f t="shared" ca="1" si="22"/>
        <v>46665</v>
      </c>
      <c r="D79" s="100">
        <f t="shared" ca="1" si="23"/>
        <v>1027289.6128669957</v>
      </c>
      <c r="E79" s="100">
        <f t="shared" ca="1" si="24"/>
        <v>13252.036005984244</v>
      </c>
      <c r="F79" s="100">
        <f t="shared" ca="1" si="25"/>
        <v>1040541.64887298</v>
      </c>
      <c r="G79" s="100">
        <f t="shared" ca="1" si="20"/>
        <v>828.73202839891019</v>
      </c>
      <c r="H79" s="100">
        <f t="shared" ca="1" si="9"/>
        <v>14080.768034383154</v>
      </c>
      <c r="I79" s="100">
        <f t="shared" ca="1" si="26"/>
        <v>175.66652380025627</v>
      </c>
      <c r="J79" s="100">
        <f t="shared" ca="1" si="11"/>
        <v>111</v>
      </c>
      <c r="K79" s="100">
        <f t="shared" ca="1" si="27"/>
        <v>14367.434558183411</v>
      </c>
      <c r="L79" s="101">
        <f t="shared" ca="1" si="28"/>
        <v>1026460.8808385968</v>
      </c>
      <c r="M79" s="12"/>
      <c r="N79" s="12"/>
      <c r="O79" s="12"/>
      <c r="Q79" s="118">
        <f t="shared" ca="1" si="29"/>
        <v>24.861960851967304</v>
      </c>
      <c r="R79" s="119">
        <f t="shared" ca="1" si="3"/>
        <v>30</v>
      </c>
      <c r="S79" s="120">
        <v>365</v>
      </c>
      <c r="U79" s="133" t="s">
        <v>92</v>
      </c>
      <c r="V79" s="133"/>
      <c r="W79" s="133"/>
      <c r="X79" s="133"/>
      <c r="Y79" s="133"/>
      <c r="Z79" s="135" t="s">
        <v>91</v>
      </c>
      <c r="AA79" s="135">
        <v>0.5</v>
      </c>
      <c r="AC79" s="224">
        <v>600</v>
      </c>
      <c r="AD79" s="225">
        <f t="shared" ca="1" si="13"/>
        <v>14080.768034383154</v>
      </c>
      <c r="AE79" s="226">
        <f t="shared" ca="1" si="14"/>
        <v>46665</v>
      </c>
      <c r="AF79" s="227">
        <f t="shared" ca="1" si="15"/>
        <v>14080.768034383154</v>
      </c>
      <c r="AG79" s="225">
        <f t="shared" ca="1" si="16"/>
        <v>14367.434558183411</v>
      </c>
      <c r="AH79" s="220"/>
      <c r="AI79" s="97"/>
      <c r="AJ79" s="97"/>
      <c r="AK79" s="97"/>
      <c r="AL79" s="97"/>
      <c r="AM79" s="97"/>
      <c r="AP79" s="157"/>
      <c r="AQ79" s="191"/>
      <c r="AR79" s="191"/>
      <c r="AS79" s="192"/>
      <c r="AT79" s="193"/>
      <c r="AU79" s="194"/>
      <c r="AV79" s="194"/>
      <c r="AW79" s="193"/>
      <c r="AX79" s="194"/>
      <c r="AY79" s="193"/>
      <c r="AZ79" s="195"/>
    </row>
    <row r="80" spans="1:52" ht="15.5" x14ac:dyDescent="0.35">
      <c r="A80" s="197">
        <f t="shared" si="5"/>
        <v>220</v>
      </c>
      <c r="B80" s="98">
        <f t="shared" si="17"/>
        <v>21</v>
      </c>
      <c r="C80" s="99">
        <f t="shared" ca="1" si="22"/>
        <v>46696</v>
      </c>
      <c r="D80" s="100">
        <f t="shared" ca="1" si="23"/>
        <v>1026460.8808385968</v>
      </c>
      <c r="E80" s="100">
        <f t="shared" ca="1" si="24"/>
        <v>13241.3453628179</v>
      </c>
      <c r="F80" s="100">
        <f t="shared" ca="1" si="25"/>
        <v>1039702.2262014147</v>
      </c>
      <c r="G80" s="100">
        <f t="shared" ca="1" si="20"/>
        <v>839.4226715652585</v>
      </c>
      <c r="H80" s="100">
        <f t="shared" ca="1" si="9"/>
        <v>14080.768034383158</v>
      </c>
      <c r="I80" s="100">
        <f t="shared" ca="1" si="26"/>
        <v>175.52481062340007</v>
      </c>
      <c r="J80" s="100">
        <f t="shared" ca="1" si="11"/>
        <v>111</v>
      </c>
      <c r="K80" s="100">
        <f t="shared" ca="1" si="27"/>
        <v>14367.292845006557</v>
      </c>
      <c r="L80" s="101">
        <f t="shared" ca="1" si="28"/>
        <v>1025621.4581670316</v>
      </c>
      <c r="M80" s="12"/>
      <c r="N80" s="12"/>
      <c r="O80" s="12"/>
      <c r="Q80" s="118">
        <f t="shared" ca="1" si="29"/>
        <v>25.182680146957754</v>
      </c>
      <c r="R80" s="119">
        <f t="shared" ca="1" si="3"/>
        <v>31</v>
      </c>
      <c r="S80" s="120">
        <v>365</v>
      </c>
      <c r="U80" s="133" t="s">
        <v>93</v>
      </c>
      <c r="V80" s="133"/>
      <c r="W80" s="133"/>
      <c r="X80" s="133"/>
      <c r="Y80" s="133"/>
      <c r="Z80" s="135" t="s">
        <v>91</v>
      </c>
      <c r="AA80" s="135">
        <v>0.5</v>
      </c>
      <c r="AC80" s="224">
        <v>630</v>
      </c>
      <c r="AD80" s="225">
        <f t="shared" ca="1" si="13"/>
        <v>14080.768034383158</v>
      </c>
      <c r="AE80" s="226">
        <f t="shared" ca="1" si="14"/>
        <v>46696</v>
      </c>
      <c r="AF80" s="227">
        <f t="shared" ca="1" si="15"/>
        <v>14080.768034383158</v>
      </c>
      <c r="AG80" s="225">
        <f t="shared" ca="1" si="16"/>
        <v>14367.292845006557</v>
      </c>
      <c r="AH80" s="220"/>
      <c r="AI80" s="97"/>
      <c r="AJ80" s="97"/>
      <c r="AK80" s="97"/>
      <c r="AL80" s="97"/>
      <c r="AM80" s="97"/>
      <c r="AP80" s="157"/>
      <c r="AQ80" s="186"/>
      <c r="AR80" s="186"/>
      <c r="AS80" s="187"/>
      <c r="AT80" s="188"/>
      <c r="AU80" s="189"/>
      <c r="AV80" s="189"/>
      <c r="AW80" s="188"/>
      <c r="AX80" s="189"/>
      <c r="AY80" s="188"/>
      <c r="AZ80" s="190"/>
    </row>
    <row r="81" spans="1:52" ht="15.5" x14ac:dyDescent="0.35">
      <c r="A81" s="197">
        <f t="shared" si="5"/>
        <v>219</v>
      </c>
      <c r="B81" s="98">
        <f t="shared" si="17"/>
        <v>22</v>
      </c>
      <c r="C81" s="99">
        <f t="shared" ca="1" si="22"/>
        <v>46726</v>
      </c>
      <c r="D81" s="100">
        <f t="shared" ca="1" si="23"/>
        <v>1025621.4581670316</v>
      </c>
      <c r="E81" s="100">
        <f t="shared" ca="1" si="24"/>
        <v>13230.516810354708</v>
      </c>
      <c r="F81" s="100">
        <f t="shared" ca="1" si="25"/>
        <v>1038851.9749773863</v>
      </c>
      <c r="G81" s="100">
        <f t="shared" ca="1" si="20"/>
        <v>850.25122402844681</v>
      </c>
      <c r="H81" s="100">
        <f t="shared" ca="1" si="9"/>
        <v>14080.768034383154</v>
      </c>
      <c r="I81" s="100">
        <f t="shared" ca="1" si="26"/>
        <v>175.38126934656242</v>
      </c>
      <c r="J81" s="100">
        <f t="shared" ca="1" si="11"/>
        <v>111</v>
      </c>
      <c r="K81" s="100">
        <f t="shared" ca="1" si="27"/>
        <v>14367.149303729717</v>
      </c>
      <c r="L81" s="101">
        <f t="shared" ca="1" si="28"/>
        <v>1024771.2069430032</v>
      </c>
      <c r="M81" s="12"/>
      <c r="N81" s="12"/>
      <c r="O81" s="12"/>
      <c r="Q81" s="118">
        <f t="shared" ca="1" si="29"/>
        <v>25.507536720853402</v>
      </c>
      <c r="R81" s="119">
        <f t="shared" ca="1" si="3"/>
        <v>30</v>
      </c>
      <c r="S81" s="120">
        <v>365</v>
      </c>
      <c r="U81" s="133" t="s">
        <v>94</v>
      </c>
      <c r="V81" s="133"/>
      <c r="W81" s="133"/>
      <c r="X81" s="133"/>
      <c r="Y81" s="133"/>
      <c r="Z81" s="10" t="s">
        <v>88</v>
      </c>
      <c r="AA81" s="172">
        <v>0.7</v>
      </c>
      <c r="AB81" s="136"/>
      <c r="AC81" s="224">
        <v>660</v>
      </c>
      <c r="AD81" s="225">
        <f t="shared" ca="1" si="13"/>
        <v>14080.768034383154</v>
      </c>
      <c r="AE81" s="226">
        <f t="shared" ca="1" si="14"/>
        <v>46726</v>
      </c>
      <c r="AF81" s="227">
        <f t="shared" ca="1" si="15"/>
        <v>14080.768034383154</v>
      </c>
      <c r="AG81" s="225">
        <f t="shared" ca="1" si="16"/>
        <v>14367.149303729717</v>
      </c>
      <c r="AH81" s="220"/>
      <c r="AI81" s="97"/>
      <c r="AJ81" s="97"/>
      <c r="AK81" s="97"/>
      <c r="AL81" s="97"/>
      <c r="AM81" s="97"/>
      <c r="AP81" s="157"/>
      <c r="AQ81" s="191"/>
      <c r="AR81" s="191"/>
      <c r="AS81" s="192"/>
      <c r="AT81" s="193"/>
      <c r="AU81" s="194"/>
      <c r="AV81" s="194"/>
      <c r="AW81" s="193"/>
      <c r="AX81" s="194"/>
      <c r="AY81" s="193"/>
      <c r="AZ81" s="195"/>
    </row>
    <row r="82" spans="1:52" ht="15.5" x14ac:dyDescent="0.35">
      <c r="A82" s="197">
        <f t="shared" si="5"/>
        <v>218</v>
      </c>
      <c r="B82" s="98">
        <f t="shared" si="17"/>
        <v>23</v>
      </c>
      <c r="C82" s="99">
        <f t="shared" ca="1" si="22"/>
        <v>46757</v>
      </c>
      <c r="D82" s="100">
        <f t="shared" ca="1" si="23"/>
        <v>1024771.2069430032</v>
      </c>
      <c r="E82" s="100">
        <f t="shared" ca="1" si="24"/>
        <v>13219.548569564742</v>
      </c>
      <c r="F82" s="100">
        <f t="shared" ca="1" si="25"/>
        <v>1037990.7555125679</v>
      </c>
      <c r="G82" s="100">
        <f t="shared" ca="1" si="20"/>
        <v>861.21946481841587</v>
      </c>
      <c r="H82" s="100">
        <f t="shared" ca="1" si="9"/>
        <v>14080.768034383158</v>
      </c>
      <c r="I82" s="100">
        <f t="shared" ca="1" si="26"/>
        <v>175.23587638725357</v>
      </c>
      <c r="J82" s="100">
        <f t="shared" ca="1" si="11"/>
        <v>111</v>
      </c>
      <c r="K82" s="100">
        <f t="shared" ca="1" si="27"/>
        <v>14367.003910770412</v>
      </c>
      <c r="L82" s="101">
        <f t="shared" ca="1" si="28"/>
        <v>1023909.9874781849</v>
      </c>
      <c r="M82" s="12"/>
      <c r="N82" s="12"/>
      <c r="O82" s="12"/>
      <c r="Q82" s="118">
        <f t="shared" ca="1" si="29"/>
        <v>25.836583944552476</v>
      </c>
      <c r="R82" s="119">
        <f t="shared" ca="1" si="3"/>
        <v>31</v>
      </c>
      <c r="S82" s="120">
        <v>365</v>
      </c>
      <c r="U82" s="133" t="s">
        <v>95</v>
      </c>
      <c r="V82" s="133"/>
      <c r="W82" s="133"/>
      <c r="X82" s="133"/>
      <c r="Y82" s="133"/>
      <c r="Z82" s="10" t="s">
        <v>91</v>
      </c>
      <c r="AA82" s="135">
        <v>0.5</v>
      </c>
      <c r="AB82" s="136"/>
      <c r="AC82" s="224">
        <v>690</v>
      </c>
      <c r="AD82" s="225">
        <f t="shared" ca="1" si="13"/>
        <v>14080.768034383158</v>
      </c>
      <c r="AE82" s="226">
        <f t="shared" ca="1" si="14"/>
        <v>46757</v>
      </c>
      <c r="AF82" s="227">
        <f t="shared" ca="1" si="15"/>
        <v>14080.768034383158</v>
      </c>
      <c r="AG82" s="225">
        <f t="shared" ca="1" si="16"/>
        <v>14367.003910770412</v>
      </c>
      <c r="AH82" s="220"/>
      <c r="AI82" s="97"/>
      <c r="AJ82" s="97"/>
      <c r="AK82" s="97"/>
      <c r="AL82" s="97"/>
      <c r="AM82" s="97"/>
      <c r="AP82" s="157"/>
      <c r="AQ82" s="186"/>
      <c r="AR82" s="186"/>
      <c r="AS82" s="187"/>
      <c r="AT82" s="188"/>
      <c r="AU82" s="189"/>
      <c r="AV82" s="189"/>
      <c r="AW82" s="188"/>
      <c r="AX82" s="189"/>
      <c r="AY82" s="188"/>
      <c r="AZ82" s="190"/>
    </row>
    <row r="83" spans="1:52" ht="15.5" x14ac:dyDescent="0.35">
      <c r="A83" s="197">
        <f t="shared" si="5"/>
        <v>217</v>
      </c>
      <c r="B83" s="98">
        <f t="shared" si="17"/>
        <v>24</v>
      </c>
      <c r="C83" s="99">
        <f t="shared" ca="1" si="22"/>
        <v>46788</v>
      </c>
      <c r="D83" s="100">
        <f t="shared" ca="1" si="23"/>
        <v>1023909.9874781849</v>
      </c>
      <c r="E83" s="100">
        <f t="shared" ca="1" si="24"/>
        <v>13208.438838468584</v>
      </c>
      <c r="F83" s="100">
        <f t="shared" ca="1" si="25"/>
        <v>1037118.4263166535</v>
      </c>
      <c r="G83" s="100">
        <f t="shared" ca="1" si="20"/>
        <v>872.32919591457357</v>
      </c>
      <c r="H83" s="100">
        <f t="shared" ca="1" si="9"/>
        <v>14080.768034383158</v>
      </c>
      <c r="I83" s="100">
        <f t="shared" ca="1" si="26"/>
        <v>175.08860785876962</v>
      </c>
      <c r="J83" s="100">
        <f t="shared" ca="1" si="11"/>
        <v>111</v>
      </c>
      <c r="K83" s="100">
        <f t="shared" ca="1" si="27"/>
        <v>14366.856642241928</v>
      </c>
      <c r="L83" s="101">
        <f t="shared" ca="1" si="28"/>
        <v>1023037.6582822703</v>
      </c>
      <c r="M83" s="12"/>
      <c r="N83" s="12"/>
      <c r="O83" s="12"/>
      <c r="Q83" s="118">
        <f t="shared" ca="1" si="29"/>
        <v>26.169875877437207</v>
      </c>
      <c r="R83" s="119">
        <f t="shared" ca="1" si="3"/>
        <v>31</v>
      </c>
      <c r="S83" s="120">
        <v>365</v>
      </c>
      <c r="U83" s="121" t="s">
        <v>84</v>
      </c>
      <c r="V83" s="121"/>
      <c r="W83" s="121"/>
      <c r="X83" s="121"/>
      <c r="Y83" s="121"/>
      <c r="AB83" s="136"/>
      <c r="AC83" s="224">
        <v>720</v>
      </c>
      <c r="AD83" s="225">
        <f t="shared" ca="1" si="13"/>
        <v>14080.768034383158</v>
      </c>
      <c r="AE83" s="226">
        <f t="shared" ca="1" si="14"/>
        <v>46788</v>
      </c>
      <c r="AF83" s="227">
        <f t="shared" ca="1" si="15"/>
        <v>14080.768034383158</v>
      </c>
      <c r="AG83" s="225">
        <f t="shared" ca="1" si="16"/>
        <v>14366.856642241928</v>
      </c>
      <c r="AH83" s="220"/>
      <c r="AI83" s="97"/>
      <c r="AJ83" s="97"/>
      <c r="AK83" s="97"/>
      <c r="AL83" s="97"/>
      <c r="AM83" s="97"/>
      <c r="AP83" s="157"/>
      <c r="AQ83" s="191"/>
      <c r="AR83" s="191"/>
      <c r="AS83" s="192"/>
      <c r="AT83" s="193"/>
      <c r="AU83" s="194"/>
      <c r="AV83" s="194"/>
      <c r="AW83" s="193"/>
      <c r="AX83" s="194"/>
      <c r="AY83" s="193"/>
      <c r="AZ83" s="195"/>
    </row>
    <row r="84" spans="1:52" ht="15.5" x14ac:dyDescent="0.35">
      <c r="A84" s="197">
        <f t="shared" si="5"/>
        <v>216</v>
      </c>
      <c r="B84" s="98">
        <f t="shared" si="17"/>
        <v>25</v>
      </c>
      <c r="C84" s="99">
        <f t="shared" ca="1" si="22"/>
        <v>46817</v>
      </c>
      <c r="D84" s="100">
        <f t="shared" ca="1" si="23"/>
        <v>1023037.6582822703</v>
      </c>
      <c r="E84" s="100">
        <f t="shared" ca="1" si="24"/>
        <v>13197.185791841286</v>
      </c>
      <c r="F84" s="100">
        <f t="shared" ca="1" si="25"/>
        <v>1036234.8440741115</v>
      </c>
      <c r="G84" s="100">
        <f t="shared" ca="1" si="20"/>
        <v>883.58224254187189</v>
      </c>
      <c r="H84" s="100">
        <f t="shared" ca="1" si="9"/>
        <v>14080.768034383158</v>
      </c>
      <c r="I84" s="100">
        <f t="shared" ca="1" si="26"/>
        <v>174.93943956626822</v>
      </c>
      <c r="J84" s="100">
        <f t="shared" ca="1" si="11"/>
        <v>111</v>
      </c>
      <c r="K84" s="100">
        <f t="shared" ca="1" si="27"/>
        <v>14366.707473949426</v>
      </c>
      <c r="L84" s="101">
        <f t="shared" ca="1" si="28"/>
        <v>1022154.0760397285</v>
      </c>
      <c r="M84" s="12"/>
      <c r="N84" s="12"/>
      <c r="O84" s="12"/>
      <c r="Q84" s="118">
        <f t="shared" ca="1" si="29"/>
        <v>26.507467276256154</v>
      </c>
      <c r="R84" s="119">
        <f t="shared" ca="1" si="3"/>
        <v>29</v>
      </c>
      <c r="S84" s="120">
        <v>365</v>
      </c>
      <c r="U84" s="122" t="s">
        <v>96</v>
      </c>
      <c r="V84" s="122"/>
      <c r="W84" s="122"/>
      <c r="X84" s="122"/>
      <c r="Y84" s="122"/>
      <c r="Z84" s="121" t="s">
        <v>86</v>
      </c>
      <c r="AA84" s="121" t="s">
        <v>5</v>
      </c>
      <c r="AB84" s="136"/>
      <c r="AC84" s="224">
        <v>750</v>
      </c>
      <c r="AD84" s="225">
        <f t="shared" ca="1" si="13"/>
        <v>14080.768034383158</v>
      </c>
      <c r="AE84" s="226">
        <f t="shared" ca="1" si="14"/>
        <v>46817</v>
      </c>
      <c r="AF84" s="227">
        <f t="shared" ca="1" si="15"/>
        <v>14080.768034383158</v>
      </c>
      <c r="AG84" s="225">
        <f t="shared" ca="1" si="16"/>
        <v>14366.707473949426</v>
      </c>
      <c r="AH84" s="220"/>
      <c r="AI84" s="97"/>
      <c r="AJ84" s="97"/>
      <c r="AK84" s="97"/>
      <c r="AL84" s="97"/>
      <c r="AM84" s="97"/>
      <c r="AP84" s="157"/>
      <c r="AQ84" s="186"/>
      <c r="AR84" s="186"/>
      <c r="AS84" s="187"/>
      <c r="AT84" s="188"/>
      <c r="AU84" s="189"/>
      <c r="AV84" s="189"/>
      <c r="AW84" s="188"/>
      <c r="AX84" s="189"/>
      <c r="AY84" s="188"/>
      <c r="AZ84" s="190"/>
    </row>
    <row r="85" spans="1:52" ht="15.5" x14ac:dyDescent="0.35">
      <c r="A85" s="197">
        <f t="shared" si="5"/>
        <v>215</v>
      </c>
      <c r="B85" s="98">
        <f t="shared" si="17"/>
        <v>26</v>
      </c>
      <c r="C85" s="99">
        <f t="shared" ca="1" si="22"/>
        <v>46848</v>
      </c>
      <c r="D85" s="100">
        <f t="shared" ca="1" si="23"/>
        <v>1022154.0760397285</v>
      </c>
      <c r="E85" s="100">
        <f t="shared" ca="1" si="24"/>
        <v>13185.787580912498</v>
      </c>
      <c r="F85" s="100">
        <f t="shared" ca="1" si="25"/>
        <v>1035339.8636206409</v>
      </c>
      <c r="G85" s="100">
        <f t="shared" ca="1" si="20"/>
        <v>894.98045347066</v>
      </c>
      <c r="H85" s="100">
        <f t="shared" ca="1" si="9"/>
        <v>14080.768034383158</v>
      </c>
      <c r="I85" s="100">
        <f t="shared" ca="1" si="26"/>
        <v>174.78834700279359</v>
      </c>
      <c r="J85" s="100">
        <f t="shared" ca="1" si="11"/>
        <v>111</v>
      </c>
      <c r="K85" s="100">
        <f t="shared" ca="1" si="27"/>
        <v>14366.556381385952</v>
      </c>
      <c r="L85" s="101">
        <f t="shared" ca="1" si="28"/>
        <v>1021259.0955862579</v>
      </c>
      <c r="M85" s="12"/>
      <c r="N85" s="12"/>
      <c r="O85" s="12"/>
      <c r="Q85" s="118">
        <f t="shared" ca="1" si="29"/>
        <v>26.8494136041198</v>
      </c>
      <c r="R85" s="119">
        <f t="shared" ca="1" si="3"/>
        <v>31</v>
      </c>
      <c r="S85" s="120">
        <v>365</v>
      </c>
      <c r="U85" s="133" t="s">
        <v>87</v>
      </c>
      <c r="V85" s="133"/>
      <c r="W85" s="133"/>
      <c r="X85" s="133"/>
      <c r="Y85" s="133"/>
      <c r="Z85" s="10" t="s">
        <v>91</v>
      </c>
      <c r="AA85" s="172">
        <v>0.6</v>
      </c>
      <c r="AC85" s="224">
        <v>780</v>
      </c>
      <c r="AD85" s="225">
        <f t="shared" ca="1" si="13"/>
        <v>14080.768034383158</v>
      </c>
      <c r="AE85" s="226">
        <f t="shared" ca="1" si="14"/>
        <v>46848</v>
      </c>
      <c r="AF85" s="227">
        <f t="shared" ca="1" si="15"/>
        <v>14080.768034383158</v>
      </c>
      <c r="AG85" s="225">
        <f t="shared" ca="1" si="16"/>
        <v>14366.556381385952</v>
      </c>
      <c r="AH85" s="220"/>
      <c r="AI85" s="97"/>
      <c r="AJ85" s="97"/>
      <c r="AK85" s="97"/>
      <c r="AL85" s="97"/>
      <c r="AM85" s="97"/>
      <c r="AP85" s="157"/>
      <c r="AQ85" s="191"/>
      <c r="AR85" s="191"/>
      <c r="AS85" s="192"/>
      <c r="AT85" s="193"/>
      <c r="AU85" s="194"/>
      <c r="AV85" s="194"/>
      <c r="AW85" s="193"/>
      <c r="AX85" s="194"/>
      <c r="AY85" s="193"/>
      <c r="AZ85" s="195"/>
    </row>
    <row r="86" spans="1:52" ht="15.5" x14ac:dyDescent="0.35">
      <c r="A86" s="197">
        <f t="shared" si="5"/>
        <v>214</v>
      </c>
      <c r="B86" s="98">
        <f t="shared" si="17"/>
        <v>27</v>
      </c>
      <c r="C86" s="99">
        <f t="shared" ca="1" si="22"/>
        <v>46878</v>
      </c>
      <c r="D86" s="100">
        <f t="shared" ca="1" si="23"/>
        <v>1021259.0955862579</v>
      </c>
      <c r="E86" s="100">
        <f t="shared" ca="1" si="24"/>
        <v>13174.242333062726</v>
      </c>
      <c r="F86" s="100">
        <f t="shared" ca="1" si="25"/>
        <v>1034433.3379193206</v>
      </c>
      <c r="G86" s="100">
        <f t="shared" ca="1" si="20"/>
        <v>906.52570132043184</v>
      </c>
      <c r="H86" s="100">
        <f t="shared" ca="1" si="9"/>
        <v>14080.768034383158</v>
      </c>
      <c r="I86" s="100">
        <f t="shared" ca="1" si="26"/>
        <v>174.63530534525012</v>
      </c>
      <c r="J86" s="100">
        <f t="shared" ca="1" si="11"/>
        <v>111</v>
      </c>
      <c r="K86" s="100">
        <f t="shared" ca="1" si="27"/>
        <v>14366.403339728407</v>
      </c>
      <c r="L86" s="101">
        <f t="shared" ca="1" si="28"/>
        <v>1020352.5698849375</v>
      </c>
      <c r="M86" s="12"/>
      <c r="N86" s="12"/>
      <c r="O86" s="12"/>
      <c r="Q86" s="118">
        <f t="shared" ca="1" si="29"/>
        <v>27.195771039612954</v>
      </c>
      <c r="R86" s="119">
        <f t="shared" ca="1" si="3"/>
        <v>30</v>
      </c>
      <c r="S86" s="120">
        <v>365</v>
      </c>
      <c r="U86" s="133" t="s">
        <v>89</v>
      </c>
      <c r="V86" s="133"/>
      <c r="W86" s="133"/>
      <c r="X86" s="133"/>
      <c r="Y86" s="133"/>
      <c r="Z86" s="10" t="s">
        <v>91</v>
      </c>
      <c r="AA86" s="172">
        <v>0.6</v>
      </c>
      <c r="AC86" s="224">
        <v>810</v>
      </c>
      <c r="AD86" s="225">
        <f t="shared" ca="1" si="13"/>
        <v>14080.768034383158</v>
      </c>
      <c r="AE86" s="226">
        <f t="shared" ca="1" si="14"/>
        <v>46878</v>
      </c>
      <c r="AF86" s="227">
        <f t="shared" ca="1" si="15"/>
        <v>14080.768034383158</v>
      </c>
      <c r="AG86" s="225">
        <f t="shared" ca="1" si="16"/>
        <v>14366.403339728407</v>
      </c>
      <c r="AH86" s="220"/>
      <c r="AI86" s="97"/>
      <c r="AJ86" s="97"/>
      <c r="AK86" s="97"/>
      <c r="AL86" s="97"/>
      <c r="AM86" s="97"/>
      <c r="AP86" s="157"/>
      <c r="AQ86" s="186"/>
      <c r="AR86" s="186"/>
      <c r="AS86" s="187"/>
      <c r="AT86" s="188"/>
      <c r="AU86" s="189"/>
      <c r="AV86" s="189"/>
      <c r="AW86" s="188"/>
      <c r="AX86" s="189"/>
      <c r="AY86" s="188"/>
      <c r="AZ86" s="190"/>
    </row>
    <row r="87" spans="1:52" ht="15.5" x14ac:dyDescent="0.35">
      <c r="A87" s="197">
        <f t="shared" si="5"/>
        <v>213</v>
      </c>
      <c r="B87" s="98">
        <f t="shared" si="17"/>
        <v>28</v>
      </c>
      <c r="C87" s="99">
        <f t="shared" ca="1" si="22"/>
        <v>46909</v>
      </c>
      <c r="D87" s="100">
        <f t="shared" ca="1" si="23"/>
        <v>1020352.5698849375</v>
      </c>
      <c r="E87" s="100">
        <f t="shared" ca="1" si="24"/>
        <v>13162.548151515693</v>
      </c>
      <c r="F87" s="100">
        <f t="shared" ca="1" si="25"/>
        <v>1033515.1180364531</v>
      </c>
      <c r="G87" s="100">
        <f t="shared" ca="1" si="20"/>
        <v>918.21988286746455</v>
      </c>
      <c r="H87" s="100">
        <f t="shared" ca="1" si="9"/>
        <v>14080.768034383158</v>
      </c>
      <c r="I87" s="100">
        <f t="shared" ca="1" si="26"/>
        <v>174.48028945032431</v>
      </c>
      <c r="J87" s="100">
        <f t="shared" ca="1" si="11"/>
        <v>111</v>
      </c>
      <c r="K87" s="100">
        <f t="shared" ca="1" si="27"/>
        <v>14366.248323833483</v>
      </c>
      <c r="L87" s="101">
        <f t="shared" ca="1" si="28"/>
        <v>1019434.3500020701</v>
      </c>
      <c r="M87" s="12"/>
      <c r="N87" s="12"/>
      <c r="O87" s="12"/>
      <c r="Q87" s="118">
        <f t="shared" ca="1" si="29"/>
        <v>27.546596486023937</v>
      </c>
      <c r="R87" s="119">
        <f t="shared" ca="1" si="3"/>
        <v>31</v>
      </c>
      <c r="S87" s="120">
        <v>365</v>
      </c>
      <c r="U87" s="133" t="s">
        <v>90</v>
      </c>
      <c r="V87" s="133"/>
      <c r="W87" s="133"/>
      <c r="X87" s="133"/>
      <c r="Y87" s="133"/>
      <c r="Z87" s="10" t="s">
        <v>91</v>
      </c>
      <c r="AA87" s="172">
        <v>0.6</v>
      </c>
      <c r="AC87" s="224">
        <v>840</v>
      </c>
      <c r="AD87" s="225">
        <f t="shared" ca="1" si="13"/>
        <v>14080.768034383158</v>
      </c>
      <c r="AE87" s="226">
        <f t="shared" ca="1" si="14"/>
        <v>46909</v>
      </c>
      <c r="AF87" s="227">
        <f t="shared" ca="1" si="15"/>
        <v>14080.768034383158</v>
      </c>
      <c r="AG87" s="225">
        <f t="shared" ca="1" si="16"/>
        <v>14366.248323833483</v>
      </c>
      <c r="AH87" s="220"/>
      <c r="AI87" s="97"/>
      <c r="AJ87" s="97"/>
      <c r="AK87" s="97"/>
      <c r="AL87" s="97"/>
      <c r="AM87" s="97"/>
      <c r="AP87" s="157"/>
      <c r="AQ87" s="191"/>
      <c r="AR87" s="191"/>
      <c r="AS87" s="192"/>
      <c r="AT87" s="193"/>
      <c r="AU87" s="194"/>
      <c r="AV87" s="194"/>
      <c r="AW87" s="193"/>
      <c r="AX87" s="194"/>
      <c r="AY87" s="193"/>
      <c r="AZ87" s="195"/>
    </row>
    <row r="88" spans="1:52" ht="15.5" x14ac:dyDescent="0.35">
      <c r="A88" s="197">
        <f t="shared" si="5"/>
        <v>212</v>
      </c>
      <c r="B88" s="98">
        <f t="shared" si="17"/>
        <v>29</v>
      </c>
      <c r="C88" s="99">
        <f t="shared" ca="1" si="22"/>
        <v>46939</v>
      </c>
      <c r="D88" s="100">
        <f t="shared" ca="1" si="23"/>
        <v>1019434.3500020701</v>
      </c>
      <c r="E88" s="100">
        <f t="shared" ca="1" si="24"/>
        <v>13150.703115026705</v>
      </c>
      <c r="F88" s="100">
        <f t="shared" ca="1" si="25"/>
        <v>1032585.0531170968</v>
      </c>
      <c r="G88" s="100">
        <f t="shared" ca="1" si="20"/>
        <v>930.06491935645499</v>
      </c>
      <c r="H88" s="100">
        <f t="shared" ca="1" si="9"/>
        <v>14080.76803438316</v>
      </c>
      <c r="I88" s="100">
        <f t="shared" ca="1" si="26"/>
        <v>174.32327385035398</v>
      </c>
      <c r="J88" s="100">
        <f t="shared" ca="1" si="11"/>
        <v>111</v>
      </c>
      <c r="K88" s="100">
        <f t="shared" ca="1" si="27"/>
        <v>14366.091308233514</v>
      </c>
      <c r="L88" s="101">
        <f t="shared" ca="1" si="28"/>
        <v>1018504.2850827136</v>
      </c>
      <c r="M88" s="12"/>
      <c r="N88" s="12"/>
      <c r="O88" s="12"/>
      <c r="Q88" s="118">
        <f t="shared" ca="1" si="29"/>
        <v>27.901947580693648</v>
      </c>
      <c r="R88" s="119">
        <f t="shared" ca="1" si="3"/>
        <v>30</v>
      </c>
      <c r="S88" s="120">
        <v>365</v>
      </c>
      <c r="U88" s="133" t="s">
        <v>92</v>
      </c>
      <c r="V88" s="133"/>
      <c r="W88" s="133"/>
      <c r="X88" s="133"/>
      <c r="Y88" s="133"/>
      <c r="Z88" s="10" t="s">
        <v>91</v>
      </c>
      <c r="AA88" s="172">
        <v>0.6</v>
      </c>
      <c r="AC88" s="224">
        <v>870</v>
      </c>
      <c r="AD88" s="225">
        <f t="shared" ca="1" si="13"/>
        <v>14080.76803438316</v>
      </c>
      <c r="AE88" s="226">
        <f t="shared" ca="1" si="14"/>
        <v>46939</v>
      </c>
      <c r="AF88" s="227">
        <f t="shared" ca="1" si="15"/>
        <v>14080.76803438316</v>
      </c>
      <c r="AG88" s="225">
        <f t="shared" ca="1" si="16"/>
        <v>14366.091308233514</v>
      </c>
      <c r="AH88" s="220"/>
      <c r="AI88" s="97"/>
      <c r="AJ88" s="97"/>
      <c r="AK88" s="97"/>
      <c r="AL88" s="97"/>
      <c r="AM88" s="97"/>
      <c r="AP88" s="157"/>
      <c r="AQ88" s="186"/>
      <c r="AR88" s="186"/>
      <c r="AS88" s="187"/>
      <c r="AT88" s="188"/>
      <c r="AU88" s="189"/>
      <c r="AV88" s="189"/>
      <c r="AW88" s="188"/>
      <c r="AX88" s="189"/>
      <c r="AY88" s="188"/>
      <c r="AZ88" s="190"/>
    </row>
    <row r="89" spans="1:52" ht="15.5" x14ac:dyDescent="0.35">
      <c r="A89" s="197">
        <f t="shared" si="5"/>
        <v>211</v>
      </c>
      <c r="B89" s="98">
        <f t="shared" si="17"/>
        <v>30</v>
      </c>
      <c r="C89" s="99">
        <f t="shared" ca="1" si="22"/>
        <v>46970</v>
      </c>
      <c r="D89" s="100">
        <f t="shared" ca="1" si="23"/>
        <v>1018504.2850827136</v>
      </c>
      <c r="E89" s="100">
        <f t="shared" ca="1" si="24"/>
        <v>13138.705277567005</v>
      </c>
      <c r="F89" s="100">
        <f t="shared" ca="1" si="25"/>
        <v>1031642.9903602806</v>
      </c>
      <c r="G89" s="100">
        <f t="shared" ca="1" si="20"/>
        <v>942.06275681615443</v>
      </c>
      <c r="H89" s="100">
        <f t="shared" ca="1" si="9"/>
        <v>14080.76803438316</v>
      </c>
      <c r="I89" s="100">
        <f t="shared" ca="1" si="26"/>
        <v>174.16423274914402</v>
      </c>
      <c r="J89" s="100">
        <f t="shared" ca="1" si="11"/>
        <v>111</v>
      </c>
      <c r="K89" s="100">
        <f t="shared" ca="1" si="27"/>
        <v>14365.932267132304</v>
      </c>
      <c r="L89" s="101">
        <f t="shared" ca="1" si="28"/>
        <v>1017562.2223258974</v>
      </c>
      <c r="M89" s="12"/>
      <c r="N89" s="12"/>
      <c r="O89" s="12"/>
      <c r="Q89" s="118">
        <f t="shared" ca="1" si="29"/>
        <v>28.261882704484631</v>
      </c>
      <c r="R89" s="119">
        <f t="shared" ca="1" si="3"/>
        <v>31</v>
      </c>
      <c r="S89" s="120">
        <v>365</v>
      </c>
      <c r="U89" s="133" t="s">
        <v>93</v>
      </c>
      <c r="V89" s="133"/>
      <c r="W89" s="133"/>
      <c r="X89" s="133"/>
      <c r="Y89" s="133"/>
      <c r="Z89" s="10" t="s">
        <v>91</v>
      </c>
      <c r="AA89" s="172">
        <v>0.6</v>
      </c>
      <c r="AC89" s="224">
        <v>900</v>
      </c>
      <c r="AD89" s="225">
        <f t="shared" ca="1" si="13"/>
        <v>14080.76803438316</v>
      </c>
      <c r="AE89" s="226">
        <f t="shared" ca="1" si="14"/>
        <v>46970</v>
      </c>
      <c r="AF89" s="227">
        <f t="shared" ca="1" si="15"/>
        <v>14080.76803438316</v>
      </c>
      <c r="AG89" s="225">
        <f t="shared" ca="1" si="16"/>
        <v>14365.932267132304</v>
      </c>
      <c r="AH89" s="220"/>
      <c r="AI89" s="97"/>
      <c r="AJ89" s="97"/>
      <c r="AK89" s="97"/>
      <c r="AL89" s="97"/>
      <c r="AM89" s="97"/>
      <c r="AP89" s="157"/>
      <c r="AQ89" s="191"/>
      <c r="AR89" s="191"/>
      <c r="AS89" s="192"/>
      <c r="AT89" s="193"/>
      <c r="AU89" s="194"/>
      <c r="AV89" s="194"/>
      <c r="AW89" s="193"/>
      <c r="AX89" s="194"/>
      <c r="AY89" s="193"/>
      <c r="AZ89" s="195"/>
    </row>
    <row r="90" spans="1:52" ht="15.5" x14ac:dyDescent="0.35">
      <c r="A90" s="197">
        <f t="shared" si="5"/>
        <v>210</v>
      </c>
      <c r="B90" s="98">
        <f t="shared" si="17"/>
        <v>31</v>
      </c>
      <c r="C90" s="99">
        <f t="shared" ca="1" si="22"/>
        <v>47001</v>
      </c>
      <c r="D90" s="100">
        <f t="shared" ca="1" si="23"/>
        <v>1017562.2223258974</v>
      </c>
      <c r="E90" s="100">
        <f t="shared" ca="1" si="24"/>
        <v>13126.552668004077</v>
      </c>
      <c r="F90" s="100">
        <f t="shared" ca="1" si="25"/>
        <v>1030688.7749939015</v>
      </c>
      <c r="G90" s="100">
        <f t="shared" ca="1" si="20"/>
        <v>954.21536637908321</v>
      </c>
      <c r="H90" s="100">
        <f t="shared" ca="1" si="9"/>
        <v>14080.76803438316</v>
      </c>
      <c r="I90" s="100">
        <f t="shared" ca="1" si="26"/>
        <v>174.00314001772847</v>
      </c>
      <c r="J90" s="100">
        <f t="shared" ca="1" si="11"/>
        <v>111</v>
      </c>
      <c r="K90" s="100">
        <f t="shared" ca="1" si="27"/>
        <v>14365.771174400888</v>
      </c>
      <c r="L90" s="101">
        <f t="shared" ca="1" si="28"/>
        <v>1016608.0069595183</v>
      </c>
      <c r="M90" s="12"/>
      <c r="N90" s="12"/>
      <c r="O90" s="12"/>
      <c r="Q90" s="118">
        <f t="shared" ca="1" si="29"/>
        <v>28.626460991372497</v>
      </c>
      <c r="R90" s="119">
        <f t="shared" ca="1" si="3"/>
        <v>31</v>
      </c>
      <c r="S90" s="120">
        <v>365</v>
      </c>
      <c r="U90" s="133" t="s">
        <v>94</v>
      </c>
      <c r="V90" s="133"/>
      <c r="W90" s="133"/>
      <c r="X90" s="133"/>
      <c r="Y90" s="133"/>
      <c r="Z90" s="10" t="s">
        <v>91</v>
      </c>
      <c r="AA90" s="172">
        <v>0.6</v>
      </c>
      <c r="AC90" s="224">
        <v>930</v>
      </c>
      <c r="AD90" s="225">
        <f t="shared" ca="1" si="13"/>
        <v>14080.76803438316</v>
      </c>
      <c r="AE90" s="226">
        <f t="shared" ca="1" si="14"/>
        <v>47001</v>
      </c>
      <c r="AF90" s="227">
        <f t="shared" ca="1" si="15"/>
        <v>14080.76803438316</v>
      </c>
      <c r="AG90" s="225">
        <f t="shared" ca="1" si="16"/>
        <v>14365.771174400888</v>
      </c>
      <c r="AH90" s="220"/>
      <c r="AI90" s="97"/>
      <c r="AJ90" s="97"/>
      <c r="AK90" s="97"/>
      <c r="AL90" s="97"/>
      <c r="AM90" s="97"/>
      <c r="AP90" s="157"/>
      <c r="AQ90" s="186"/>
      <c r="AR90" s="186"/>
      <c r="AS90" s="187"/>
      <c r="AT90" s="188"/>
      <c r="AU90" s="189"/>
      <c r="AV90" s="189"/>
      <c r="AW90" s="188"/>
      <c r="AX90" s="189"/>
      <c r="AY90" s="188"/>
      <c r="AZ90" s="190"/>
    </row>
    <row r="91" spans="1:52" ht="15.5" x14ac:dyDescent="0.35">
      <c r="A91" s="197">
        <f t="shared" si="5"/>
        <v>209</v>
      </c>
      <c r="B91" s="98">
        <f t="shared" si="17"/>
        <v>32</v>
      </c>
      <c r="C91" s="99">
        <f t="shared" ca="1" si="22"/>
        <v>47031</v>
      </c>
      <c r="D91" s="100">
        <f t="shared" ca="1" si="23"/>
        <v>1016608.0069595183</v>
      </c>
      <c r="E91" s="100">
        <f t="shared" ca="1" si="24"/>
        <v>13114.243289777785</v>
      </c>
      <c r="F91" s="100">
        <f t="shared" ca="1" si="25"/>
        <v>1029722.2502492961</v>
      </c>
      <c r="G91" s="100">
        <f t="shared" ca="1" si="20"/>
        <v>966.52474460537269</v>
      </c>
      <c r="H91" s="100">
        <f t="shared" ca="1" si="9"/>
        <v>14080.768034383158</v>
      </c>
      <c r="I91" s="100">
        <f t="shared" ca="1" si="26"/>
        <v>173.83996919007765</v>
      </c>
      <c r="J91" s="100">
        <f t="shared" ca="1" si="11"/>
        <v>111</v>
      </c>
      <c r="K91" s="100">
        <f t="shared" ca="1" si="27"/>
        <v>14365.608003573236</v>
      </c>
      <c r="L91" s="101">
        <f t="shared" ca="1" si="28"/>
        <v>1015641.4822149129</v>
      </c>
      <c r="M91" s="12"/>
      <c r="N91" s="12"/>
      <c r="O91" s="12"/>
      <c r="Q91" s="118">
        <f t="shared" ca="1" si="29"/>
        <v>28.995742338161179</v>
      </c>
      <c r="R91" s="119">
        <f t="shared" ca="1" si="3"/>
        <v>30</v>
      </c>
      <c r="S91" s="120">
        <v>365</v>
      </c>
      <c r="U91" s="133" t="s">
        <v>95</v>
      </c>
      <c r="V91" s="133"/>
      <c r="W91" s="133"/>
      <c r="X91" s="133"/>
      <c r="Y91" s="133"/>
      <c r="Z91" s="10" t="s">
        <v>91</v>
      </c>
      <c r="AA91" s="172">
        <v>0.6</v>
      </c>
      <c r="AC91" s="224">
        <v>960</v>
      </c>
      <c r="AD91" s="225">
        <f t="shared" ca="1" si="13"/>
        <v>14080.768034383158</v>
      </c>
      <c r="AE91" s="226">
        <f t="shared" ca="1" si="14"/>
        <v>47031</v>
      </c>
      <c r="AF91" s="227">
        <f t="shared" ca="1" si="15"/>
        <v>14080.768034383158</v>
      </c>
      <c r="AG91" s="225">
        <f t="shared" ca="1" si="16"/>
        <v>14365.608003573236</v>
      </c>
      <c r="AH91" s="220"/>
      <c r="AI91" s="97"/>
      <c r="AJ91" s="97"/>
      <c r="AK91" s="97"/>
      <c r="AL91" s="97"/>
      <c r="AM91" s="97"/>
      <c r="AP91" s="157"/>
      <c r="AQ91" s="191"/>
      <c r="AR91" s="191"/>
      <c r="AS91" s="192"/>
      <c r="AT91" s="193"/>
      <c r="AU91" s="194"/>
      <c r="AV91" s="194"/>
      <c r="AW91" s="193"/>
      <c r="AX91" s="194"/>
      <c r="AY91" s="193"/>
      <c r="AZ91" s="195"/>
    </row>
    <row r="92" spans="1:52" ht="15.5" x14ac:dyDescent="0.35">
      <c r="A92" s="197">
        <f t="shared" si="5"/>
        <v>208</v>
      </c>
      <c r="B92" s="98">
        <f t="shared" si="17"/>
        <v>33</v>
      </c>
      <c r="C92" s="99">
        <f t="shared" ca="1" si="22"/>
        <v>47062</v>
      </c>
      <c r="D92" s="100">
        <f t="shared" ca="1" si="23"/>
        <v>1015641.4822149129</v>
      </c>
      <c r="E92" s="100">
        <f t="shared" ca="1" si="24"/>
        <v>13101.775120572376</v>
      </c>
      <c r="F92" s="100">
        <f t="shared" ca="1" si="25"/>
        <v>1028743.2573354853</v>
      </c>
      <c r="G92" s="100">
        <f t="shared" ca="1" si="20"/>
        <v>978.99291381078183</v>
      </c>
      <c r="H92" s="100">
        <f t="shared" ca="1" si="9"/>
        <v>14080.768034383158</v>
      </c>
      <c r="I92" s="100">
        <f t="shared" ca="1" si="26"/>
        <v>173.67469345875011</v>
      </c>
      <c r="J92" s="100">
        <f t="shared" ca="1" si="11"/>
        <v>111</v>
      </c>
      <c r="K92" s="100">
        <f t="shared" ca="1" si="27"/>
        <v>14365.442727841908</v>
      </c>
      <c r="L92" s="101">
        <f t="shared" ca="1" si="28"/>
        <v>1014662.4893011021</v>
      </c>
      <c r="M92" s="12"/>
      <c r="N92" s="12"/>
      <c r="O92" s="12"/>
      <c r="Q92" s="118">
        <f t="shared" ca="1" si="29"/>
        <v>29.369787414323454</v>
      </c>
      <c r="R92" s="119">
        <f t="shared" ca="1" si="3"/>
        <v>31</v>
      </c>
      <c r="S92" s="120">
        <v>365</v>
      </c>
      <c r="AC92" s="224">
        <v>990</v>
      </c>
      <c r="AD92" s="225">
        <f t="shared" ca="1" si="13"/>
        <v>14080.768034383158</v>
      </c>
      <c r="AE92" s="226">
        <f t="shared" ca="1" si="14"/>
        <v>47062</v>
      </c>
      <c r="AF92" s="227">
        <f t="shared" ca="1" si="15"/>
        <v>14080.768034383158</v>
      </c>
      <c r="AG92" s="225">
        <f t="shared" ca="1" si="16"/>
        <v>14365.442727841908</v>
      </c>
      <c r="AH92" s="220"/>
      <c r="AI92" s="97"/>
      <c r="AJ92" s="97"/>
      <c r="AK92" s="97"/>
      <c r="AL92" s="97"/>
      <c r="AM92" s="97"/>
      <c r="AP92" s="157"/>
      <c r="AQ92" s="186"/>
      <c r="AR92" s="186"/>
      <c r="AS92" s="187"/>
      <c r="AT92" s="188"/>
      <c r="AU92" s="189"/>
      <c r="AV92" s="189"/>
      <c r="AW92" s="188"/>
      <c r="AX92" s="189"/>
      <c r="AY92" s="188"/>
      <c r="AZ92" s="190"/>
    </row>
    <row r="93" spans="1:52" ht="15.5" x14ac:dyDescent="0.35">
      <c r="A93" s="197">
        <f t="shared" si="5"/>
        <v>207</v>
      </c>
      <c r="B93" s="98">
        <f t="shared" si="17"/>
        <v>34</v>
      </c>
      <c r="C93" s="99">
        <f t="shared" ca="1" si="22"/>
        <v>47092</v>
      </c>
      <c r="D93" s="100">
        <f t="shared" ca="1" si="23"/>
        <v>1014662.4893011021</v>
      </c>
      <c r="E93" s="100">
        <f t="shared" ca="1" si="24"/>
        <v>13089.146111984217</v>
      </c>
      <c r="F93" s="100">
        <f t="shared" ca="1" si="25"/>
        <v>1027751.6354130864</v>
      </c>
      <c r="G93" s="100">
        <f t="shared" ca="1" si="20"/>
        <v>991.62192239894284</v>
      </c>
      <c r="H93" s="100">
        <f t="shared" ca="1" si="9"/>
        <v>14080.76803438316</v>
      </c>
      <c r="I93" s="100">
        <f t="shared" ca="1" si="26"/>
        <v>173.50728567048847</v>
      </c>
      <c r="J93" s="100">
        <f t="shared" ca="1" si="11"/>
        <v>111</v>
      </c>
      <c r="K93" s="100">
        <f t="shared" ca="1" si="27"/>
        <v>14365.275320053648</v>
      </c>
      <c r="L93" s="101">
        <f t="shared" ca="1" si="28"/>
        <v>1013670.8673787032</v>
      </c>
      <c r="M93" s="12"/>
      <c r="N93" s="12"/>
      <c r="O93" s="12"/>
      <c r="Q93" s="118">
        <f t="shared" ca="1" si="29"/>
        <v>29.748657671968285</v>
      </c>
      <c r="R93" s="119">
        <f t="shared" ca="1" si="3"/>
        <v>30</v>
      </c>
      <c r="S93" s="120">
        <v>365</v>
      </c>
      <c r="AC93" s="224">
        <v>1020</v>
      </c>
      <c r="AD93" s="225">
        <f t="shared" ca="1" si="13"/>
        <v>14080.76803438316</v>
      </c>
      <c r="AE93" s="226">
        <f t="shared" ca="1" si="14"/>
        <v>47092</v>
      </c>
      <c r="AF93" s="227">
        <f t="shared" ca="1" si="15"/>
        <v>14080.76803438316</v>
      </c>
      <c r="AG93" s="225">
        <f t="shared" ca="1" si="16"/>
        <v>14365.275320053648</v>
      </c>
      <c r="AH93" s="220"/>
      <c r="AI93" s="97"/>
      <c r="AJ93" s="97"/>
      <c r="AK93" s="97"/>
      <c r="AL93" s="97"/>
      <c r="AM93" s="97"/>
      <c r="AP93" s="157"/>
      <c r="AQ93" s="191"/>
      <c r="AR93" s="191"/>
      <c r="AS93" s="192"/>
      <c r="AT93" s="193"/>
      <c r="AU93" s="194"/>
      <c r="AV93" s="194"/>
      <c r="AW93" s="193"/>
      <c r="AX93" s="194"/>
      <c r="AY93" s="193"/>
      <c r="AZ93" s="195"/>
    </row>
    <row r="94" spans="1:52" ht="15.5" x14ac:dyDescent="0.35">
      <c r="A94" s="197">
        <f t="shared" si="5"/>
        <v>206</v>
      </c>
      <c r="B94" s="98">
        <f t="shared" si="17"/>
        <v>35</v>
      </c>
      <c r="C94" s="99">
        <f t="shared" ca="1" si="22"/>
        <v>47123</v>
      </c>
      <c r="D94" s="100">
        <f t="shared" ca="1" si="23"/>
        <v>1013670.8673787032</v>
      </c>
      <c r="E94" s="100">
        <f t="shared" ca="1" si="24"/>
        <v>13076.354189185271</v>
      </c>
      <c r="F94" s="100">
        <f t="shared" ca="1" si="25"/>
        <v>1026747.2215678885</v>
      </c>
      <c r="G94" s="100">
        <f t="shared" ca="1" si="20"/>
        <v>1004.4138451978888</v>
      </c>
      <c r="H94" s="100">
        <f t="shared" ca="1" si="9"/>
        <v>14080.76803438316</v>
      </c>
      <c r="I94" s="100">
        <f t="shared" ca="1" si="26"/>
        <v>173.33771832175825</v>
      </c>
      <c r="J94" s="100">
        <f t="shared" ca="1" si="11"/>
        <v>111</v>
      </c>
      <c r="K94" s="100">
        <f t="shared" ca="1" si="27"/>
        <v>14365.105752704918</v>
      </c>
      <c r="L94" s="101">
        <f t="shared" ca="1" si="28"/>
        <v>1012666.4535335053</v>
      </c>
      <c r="M94" s="12"/>
      <c r="N94" s="12"/>
      <c r="O94" s="12"/>
      <c r="Q94" s="118">
        <f t="shared" ca="1" si="29"/>
        <v>30.132415355936661</v>
      </c>
      <c r="R94" s="119">
        <f t="shared" ca="1" si="3"/>
        <v>31</v>
      </c>
      <c r="S94" s="120">
        <v>365</v>
      </c>
      <c r="AC94" s="224">
        <v>1050</v>
      </c>
      <c r="AD94" s="225">
        <f t="shared" ca="1" si="13"/>
        <v>14080.76803438316</v>
      </c>
      <c r="AE94" s="226">
        <f t="shared" ca="1" si="14"/>
        <v>47123</v>
      </c>
      <c r="AF94" s="227">
        <f t="shared" ca="1" si="15"/>
        <v>14080.76803438316</v>
      </c>
      <c r="AG94" s="225">
        <f t="shared" ca="1" si="16"/>
        <v>14365.105752704918</v>
      </c>
      <c r="AH94" s="220"/>
      <c r="AI94" s="97"/>
      <c r="AJ94" s="97"/>
      <c r="AK94" s="97"/>
      <c r="AL94" s="97"/>
      <c r="AM94" s="97"/>
      <c r="AP94" s="157"/>
      <c r="AQ94" s="186"/>
      <c r="AR94" s="186"/>
      <c r="AS94" s="187"/>
      <c r="AT94" s="188"/>
      <c r="AU94" s="189"/>
      <c r="AV94" s="189"/>
      <c r="AW94" s="188"/>
      <c r="AX94" s="189"/>
      <c r="AY94" s="188"/>
      <c r="AZ94" s="190"/>
    </row>
    <row r="95" spans="1:52" ht="15.5" x14ac:dyDescent="0.35">
      <c r="A95" s="197">
        <f t="shared" si="5"/>
        <v>205</v>
      </c>
      <c r="B95" s="98">
        <f t="shared" si="17"/>
        <v>36</v>
      </c>
      <c r="C95" s="99">
        <f t="shared" ca="1" si="22"/>
        <v>47154</v>
      </c>
      <c r="D95" s="100">
        <f t="shared" ca="1" si="23"/>
        <v>1012666.4535335053</v>
      </c>
      <c r="E95" s="100">
        <f t="shared" ca="1" si="24"/>
        <v>13063.397250582218</v>
      </c>
      <c r="F95" s="100">
        <f t="shared" ca="1" si="25"/>
        <v>1025729.8507840876</v>
      </c>
      <c r="G95" s="100">
        <f t="shared" ca="1" si="20"/>
        <v>1017.3707838009395</v>
      </c>
      <c r="H95" s="100">
        <f t="shared" ca="1" si="9"/>
        <v>14080.768034383158</v>
      </c>
      <c r="I95" s="100">
        <f t="shared" ca="1" si="26"/>
        <v>173.16596355422942</v>
      </c>
      <c r="J95" s="100">
        <f t="shared" ca="1" si="11"/>
        <v>111</v>
      </c>
      <c r="K95" s="100">
        <f t="shared" ca="1" si="27"/>
        <v>14364.933997937387</v>
      </c>
      <c r="L95" s="101">
        <f t="shared" ca="1" si="28"/>
        <v>1011649.0827497044</v>
      </c>
      <c r="M95" s="12"/>
      <c r="N95" s="12"/>
      <c r="O95" s="12"/>
      <c r="Q95" s="118">
        <f t="shared" ca="1" si="29"/>
        <v>30.521123514028186</v>
      </c>
      <c r="R95" s="119">
        <f t="shared" ca="1" si="3"/>
        <v>31</v>
      </c>
      <c r="S95" s="120">
        <v>365</v>
      </c>
      <c r="AC95" s="224">
        <v>1080</v>
      </c>
      <c r="AD95" s="225">
        <f t="shared" ca="1" si="13"/>
        <v>14080.768034383158</v>
      </c>
      <c r="AE95" s="226">
        <f t="shared" ca="1" si="14"/>
        <v>47154</v>
      </c>
      <c r="AF95" s="227">
        <f t="shared" ca="1" si="15"/>
        <v>14080.768034383158</v>
      </c>
      <c r="AG95" s="225">
        <f t="shared" ca="1" si="16"/>
        <v>14364.933997937387</v>
      </c>
      <c r="AH95" s="220"/>
      <c r="AI95" s="97"/>
      <c r="AJ95" s="97"/>
      <c r="AK95" s="97"/>
      <c r="AL95" s="97"/>
      <c r="AM95" s="97"/>
      <c r="AP95" s="157"/>
      <c r="AQ95" s="191"/>
      <c r="AR95" s="191"/>
      <c r="AS95" s="192"/>
      <c r="AT95" s="193"/>
      <c r="AU95" s="194"/>
      <c r="AV95" s="194"/>
      <c r="AW95" s="193"/>
      <c r="AX95" s="194"/>
      <c r="AY95" s="193"/>
      <c r="AZ95" s="195"/>
    </row>
    <row r="96" spans="1:52" ht="15.5" x14ac:dyDescent="0.35">
      <c r="A96" s="197">
        <f t="shared" si="5"/>
        <v>204</v>
      </c>
      <c r="B96" s="98">
        <f t="shared" si="17"/>
        <v>37</v>
      </c>
      <c r="C96" s="99">
        <f t="shared" ca="1" si="22"/>
        <v>47182</v>
      </c>
      <c r="D96" s="100">
        <f t="shared" ca="1" si="23"/>
        <v>1011649.0827497044</v>
      </c>
      <c r="E96" s="100">
        <f t="shared" ca="1" si="24"/>
        <v>13050.273167471187</v>
      </c>
      <c r="F96" s="100">
        <f t="shared" ca="1" si="25"/>
        <v>1024699.3559171755</v>
      </c>
      <c r="G96" s="100">
        <f t="shared" ca="1" si="20"/>
        <v>1030.4948669119713</v>
      </c>
      <c r="H96" s="100">
        <f t="shared" ca="1" si="9"/>
        <v>14080.768034383158</v>
      </c>
      <c r="I96" s="100">
        <f t="shared" ca="1" si="26"/>
        <v>172.99199315019945</v>
      </c>
      <c r="J96" s="100">
        <f t="shared" ca="1" si="11"/>
        <v>111</v>
      </c>
      <c r="K96" s="100">
        <f t="shared" ca="1" si="27"/>
        <v>14364.760027533357</v>
      </c>
      <c r="L96" s="101">
        <f t="shared" ca="1" si="28"/>
        <v>1010618.5878827923</v>
      </c>
      <c r="M96" s="12"/>
      <c r="N96" s="12"/>
      <c r="O96" s="12"/>
      <c r="Q96" s="118">
        <f t="shared" ca="1" si="29"/>
        <v>30.914846007359138</v>
      </c>
      <c r="R96" s="119">
        <f t="shared" ca="1" si="3"/>
        <v>28</v>
      </c>
      <c r="S96" s="120">
        <v>365</v>
      </c>
      <c r="AC96" s="224">
        <v>1110</v>
      </c>
      <c r="AD96" s="225">
        <f t="shared" ca="1" si="13"/>
        <v>14080.768034383158</v>
      </c>
      <c r="AE96" s="226">
        <f t="shared" ca="1" si="14"/>
        <v>47182</v>
      </c>
      <c r="AF96" s="227">
        <f t="shared" ca="1" si="15"/>
        <v>14080.768034383158</v>
      </c>
      <c r="AG96" s="225">
        <f t="shared" ca="1" si="16"/>
        <v>14364.760027533357</v>
      </c>
      <c r="AH96" s="220"/>
      <c r="AI96" s="97"/>
      <c r="AJ96" s="97"/>
      <c r="AK96" s="97"/>
      <c r="AL96" s="97"/>
      <c r="AM96" s="97"/>
      <c r="AP96" s="157"/>
      <c r="AQ96" s="186"/>
      <c r="AR96" s="186"/>
      <c r="AS96" s="187"/>
      <c r="AT96" s="188"/>
      <c r="AU96" s="189"/>
      <c r="AV96" s="189"/>
      <c r="AW96" s="188"/>
      <c r="AX96" s="189"/>
      <c r="AY96" s="188"/>
      <c r="AZ96" s="190"/>
    </row>
    <row r="97" spans="1:52" ht="15.5" x14ac:dyDescent="0.35">
      <c r="A97" s="197">
        <f t="shared" si="5"/>
        <v>203</v>
      </c>
      <c r="B97" s="98">
        <f t="shared" si="17"/>
        <v>38</v>
      </c>
      <c r="C97" s="99">
        <f t="shared" ca="1" si="22"/>
        <v>47213</v>
      </c>
      <c r="D97" s="100">
        <f t="shared" ca="1" si="23"/>
        <v>1010618.5878827923</v>
      </c>
      <c r="E97" s="100">
        <f t="shared" ca="1" si="24"/>
        <v>13036.979783688021</v>
      </c>
      <c r="F97" s="100">
        <f t="shared" ca="1" si="25"/>
        <v>1023655.5676664803</v>
      </c>
      <c r="G97" s="100">
        <f t="shared" ca="1" si="20"/>
        <v>1043.7882506951373</v>
      </c>
      <c r="H97" s="100">
        <f t="shared" ca="1" si="9"/>
        <v>14080.768034383158</v>
      </c>
      <c r="I97" s="100">
        <f t="shared" ca="1" si="26"/>
        <v>172.81577852795749</v>
      </c>
      <c r="J97" s="100">
        <f t="shared" ca="1" si="11"/>
        <v>111</v>
      </c>
      <c r="K97" s="100">
        <f t="shared" ca="1" si="27"/>
        <v>14364.583812911116</v>
      </c>
      <c r="L97" s="101">
        <f t="shared" ca="1" si="28"/>
        <v>1009574.7996320972</v>
      </c>
      <c r="M97" s="12"/>
      <c r="N97" s="12"/>
      <c r="O97" s="12"/>
      <c r="Q97" s="118">
        <f t="shared" ca="1" si="29"/>
        <v>31.313647520854119</v>
      </c>
      <c r="R97" s="119">
        <f t="shared" ca="1" si="3"/>
        <v>31</v>
      </c>
      <c r="S97" s="120">
        <v>365</v>
      </c>
      <c r="AC97" s="224">
        <v>1140</v>
      </c>
      <c r="AD97" s="225">
        <f t="shared" ca="1" si="13"/>
        <v>14080.768034383158</v>
      </c>
      <c r="AE97" s="226">
        <f t="shared" ca="1" si="14"/>
        <v>47213</v>
      </c>
      <c r="AF97" s="227">
        <f t="shared" ca="1" si="15"/>
        <v>14080.768034383158</v>
      </c>
      <c r="AG97" s="225">
        <f t="shared" ca="1" si="16"/>
        <v>14364.583812911116</v>
      </c>
      <c r="AH97" s="220"/>
      <c r="AI97" s="97"/>
      <c r="AJ97" s="97"/>
      <c r="AK97" s="97"/>
      <c r="AL97" s="97"/>
      <c r="AM97" s="97"/>
      <c r="AP97" s="157"/>
      <c r="AQ97" s="191"/>
      <c r="AR97" s="191"/>
      <c r="AS97" s="192"/>
      <c r="AT97" s="193"/>
      <c r="AU97" s="194"/>
      <c r="AV97" s="194"/>
      <c r="AW97" s="193"/>
      <c r="AX97" s="194"/>
      <c r="AY97" s="193"/>
      <c r="AZ97" s="195"/>
    </row>
    <row r="98" spans="1:52" ht="15.5" x14ac:dyDescent="0.35">
      <c r="A98" s="197">
        <f t="shared" si="5"/>
        <v>202</v>
      </c>
      <c r="B98" s="98">
        <f t="shared" si="17"/>
        <v>39</v>
      </c>
      <c r="C98" s="99">
        <f t="shared" ca="1" si="22"/>
        <v>47243</v>
      </c>
      <c r="D98" s="100">
        <f t="shared" ca="1" si="23"/>
        <v>1009574.7996320972</v>
      </c>
      <c r="E98" s="100">
        <f t="shared" ca="1" si="24"/>
        <v>13023.514915254054</v>
      </c>
      <c r="F98" s="100">
        <f t="shared" ca="1" si="25"/>
        <v>1022598.3145473513</v>
      </c>
      <c r="G98" s="100">
        <f t="shared" ca="1" si="20"/>
        <v>1057.2531191291055</v>
      </c>
      <c r="H98" s="100">
        <f t="shared" ca="1" si="9"/>
        <v>14080.76803438316</v>
      </c>
      <c r="I98" s="100">
        <f t="shared" ca="1" si="26"/>
        <v>172.63729073708865</v>
      </c>
      <c r="J98" s="100">
        <f t="shared" ca="1" si="11"/>
        <v>111</v>
      </c>
      <c r="K98" s="100">
        <f t="shared" ca="1" si="27"/>
        <v>14364.405325120248</v>
      </c>
      <c r="L98" s="101">
        <f t="shared" ca="1" si="28"/>
        <v>1008517.5465129681</v>
      </c>
      <c r="M98" s="12"/>
      <c r="N98" s="12"/>
      <c r="O98" s="12"/>
      <c r="Q98" s="118">
        <f t="shared" ca="1" si="29"/>
        <v>31.717593573873163</v>
      </c>
      <c r="R98" s="119">
        <f t="shared" ca="1" si="3"/>
        <v>30</v>
      </c>
      <c r="S98" s="120">
        <v>365</v>
      </c>
      <c r="AC98" s="224">
        <v>1170</v>
      </c>
      <c r="AD98" s="225">
        <f t="shared" ca="1" si="13"/>
        <v>14080.76803438316</v>
      </c>
      <c r="AE98" s="226">
        <f t="shared" ca="1" si="14"/>
        <v>47243</v>
      </c>
      <c r="AF98" s="227">
        <f t="shared" ca="1" si="15"/>
        <v>14080.76803438316</v>
      </c>
      <c r="AG98" s="225">
        <f t="shared" ca="1" si="16"/>
        <v>14364.405325120248</v>
      </c>
      <c r="AH98" s="220"/>
      <c r="AI98" s="97"/>
      <c r="AJ98" s="97"/>
      <c r="AK98" s="97"/>
      <c r="AL98" s="97"/>
      <c r="AM98" s="97"/>
      <c r="AP98" s="157"/>
      <c r="AQ98" s="186"/>
      <c r="AR98" s="186"/>
      <c r="AS98" s="187"/>
      <c r="AT98" s="188"/>
      <c r="AU98" s="189"/>
      <c r="AV98" s="189"/>
      <c r="AW98" s="188"/>
      <c r="AX98" s="189"/>
      <c r="AY98" s="188"/>
      <c r="AZ98" s="190"/>
    </row>
    <row r="99" spans="1:52" ht="15.5" x14ac:dyDescent="0.35">
      <c r="A99" s="197">
        <f t="shared" si="5"/>
        <v>201</v>
      </c>
      <c r="B99" s="98">
        <f t="shared" si="17"/>
        <v>40</v>
      </c>
      <c r="C99" s="99">
        <f t="shared" ca="1" si="22"/>
        <v>47274</v>
      </c>
      <c r="D99" s="100">
        <f t="shared" ca="1" si="23"/>
        <v>1008517.5465129681</v>
      </c>
      <c r="E99" s="100">
        <f t="shared" ca="1" si="24"/>
        <v>13009.876350017288</v>
      </c>
      <c r="F99" s="100">
        <f t="shared" ca="1" si="25"/>
        <v>1021527.4228629854</v>
      </c>
      <c r="G99" s="100">
        <f t="shared" ca="1" si="20"/>
        <v>1070.8916843658699</v>
      </c>
      <c r="H99" s="100">
        <f t="shared" ca="1" si="9"/>
        <v>14080.768034383158</v>
      </c>
      <c r="I99" s="100">
        <f t="shared" ca="1" si="26"/>
        <v>172.45650045371755</v>
      </c>
      <c r="J99" s="100">
        <f t="shared" ca="1" si="11"/>
        <v>111</v>
      </c>
      <c r="K99" s="100">
        <f t="shared" ca="1" si="27"/>
        <v>14364.224534836876</v>
      </c>
      <c r="L99" s="101">
        <f t="shared" ca="1" si="28"/>
        <v>1007446.6548286022</v>
      </c>
      <c r="M99" s="12"/>
      <c r="N99" s="12"/>
      <c r="O99" s="12"/>
      <c r="Q99" s="118">
        <f t="shared" ca="1" si="29"/>
        <v>32.126750530976096</v>
      </c>
      <c r="R99" s="119">
        <f t="shared" ca="1" si="3"/>
        <v>31</v>
      </c>
      <c r="S99" s="120">
        <v>365</v>
      </c>
      <c r="AC99" s="224">
        <v>1200</v>
      </c>
      <c r="AD99" s="225">
        <f t="shared" ca="1" si="13"/>
        <v>14080.768034383158</v>
      </c>
      <c r="AE99" s="226">
        <f t="shared" ca="1" si="14"/>
        <v>47274</v>
      </c>
      <c r="AF99" s="227">
        <f t="shared" ca="1" si="15"/>
        <v>14080.768034383158</v>
      </c>
      <c r="AG99" s="225">
        <f t="shared" ca="1" si="16"/>
        <v>14364.224534836876</v>
      </c>
      <c r="AH99" s="220"/>
      <c r="AI99" s="97"/>
      <c r="AJ99" s="97"/>
      <c r="AK99" s="97"/>
      <c r="AL99" s="97"/>
      <c r="AM99" s="97"/>
      <c r="AP99" s="157"/>
      <c r="AQ99" s="191"/>
      <c r="AR99" s="191"/>
      <c r="AS99" s="192"/>
      <c r="AT99" s="193"/>
      <c r="AU99" s="194"/>
      <c r="AV99" s="194"/>
      <c r="AW99" s="193"/>
      <c r="AX99" s="194"/>
      <c r="AY99" s="193"/>
      <c r="AZ99" s="195"/>
    </row>
    <row r="100" spans="1:52" ht="15.5" x14ac:dyDescent="0.35">
      <c r="A100" s="197">
        <f t="shared" si="5"/>
        <v>200</v>
      </c>
      <c r="B100" s="98">
        <f t="shared" si="17"/>
        <v>41</v>
      </c>
      <c r="C100" s="99">
        <f t="shared" ca="1" si="22"/>
        <v>47304</v>
      </c>
      <c r="D100" s="100">
        <f t="shared" ca="1" si="23"/>
        <v>1007446.6548286022</v>
      </c>
      <c r="E100" s="100">
        <f t="shared" ca="1" si="24"/>
        <v>12996.061847288969</v>
      </c>
      <c r="F100" s="100">
        <f t="shared" ca="1" si="25"/>
        <v>1020442.7166758912</v>
      </c>
      <c r="G100" s="100">
        <f t="shared" ca="1" si="20"/>
        <v>1084.7061870941889</v>
      </c>
      <c r="H100" s="100">
        <f t="shared" ca="1" si="9"/>
        <v>14080.768034383158</v>
      </c>
      <c r="I100" s="100">
        <f t="shared" ca="1" si="26"/>
        <v>172.27337797569098</v>
      </c>
      <c r="J100" s="100">
        <f t="shared" ca="1" si="11"/>
        <v>111</v>
      </c>
      <c r="K100" s="100">
        <f t="shared" ca="1" si="27"/>
        <v>14364.041412358849</v>
      </c>
      <c r="L100" s="101">
        <f t="shared" ca="1" si="28"/>
        <v>1006361.948641508</v>
      </c>
      <c r="M100" s="12"/>
      <c r="N100" s="12"/>
      <c r="O100" s="12"/>
      <c r="Q100" s="118">
        <f t="shared" ca="1" si="29"/>
        <v>32.541185612825664</v>
      </c>
      <c r="R100" s="119">
        <f t="shared" ca="1" si="3"/>
        <v>30</v>
      </c>
      <c r="S100" s="120">
        <v>365</v>
      </c>
      <c r="AC100" s="224">
        <v>1230</v>
      </c>
      <c r="AD100" s="225">
        <f t="shared" ca="1" si="13"/>
        <v>14080.768034383158</v>
      </c>
      <c r="AE100" s="226">
        <f t="shared" ca="1" si="14"/>
        <v>47304</v>
      </c>
      <c r="AF100" s="227">
        <f t="shared" ca="1" si="15"/>
        <v>14080.768034383158</v>
      </c>
      <c r="AG100" s="225">
        <f t="shared" ca="1" si="16"/>
        <v>14364.041412358849</v>
      </c>
      <c r="AH100" s="220"/>
      <c r="AI100" s="97"/>
      <c r="AJ100" s="97"/>
      <c r="AK100" s="97"/>
      <c r="AL100" s="97"/>
      <c r="AM100" s="97"/>
      <c r="AP100" s="157"/>
      <c r="AQ100" s="186"/>
      <c r="AR100" s="186"/>
      <c r="AS100" s="187"/>
      <c r="AT100" s="188"/>
      <c r="AU100" s="189"/>
      <c r="AV100" s="189"/>
      <c r="AW100" s="188"/>
      <c r="AX100" s="189"/>
      <c r="AY100" s="188"/>
      <c r="AZ100" s="190"/>
    </row>
    <row r="101" spans="1:52" ht="15.5" x14ac:dyDescent="0.35">
      <c r="A101" s="197">
        <f t="shared" si="5"/>
        <v>199</v>
      </c>
      <c r="B101" s="98">
        <f t="shared" si="17"/>
        <v>42</v>
      </c>
      <c r="C101" s="99">
        <f t="shared" ca="1" si="22"/>
        <v>47335</v>
      </c>
      <c r="D101" s="100">
        <f t="shared" ca="1" si="23"/>
        <v>1006361.948641508</v>
      </c>
      <c r="E101" s="100">
        <f t="shared" ca="1" si="24"/>
        <v>12982.069137475453</v>
      </c>
      <c r="F101" s="100">
        <f t="shared" ca="1" si="25"/>
        <v>1019344.0177789835</v>
      </c>
      <c r="G101" s="100">
        <f t="shared" ca="1" si="20"/>
        <v>1098.6988969077047</v>
      </c>
      <c r="H101" s="100">
        <f t="shared" ca="1" si="9"/>
        <v>14080.768034383158</v>
      </c>
      <c r="I101" s="100">
        <f t="shared" ca="1" si="26"/>
        <v>172.08789321769788</v>
      </c>
      <c r="J101" s="100">
        <f t="shared" ca="1" si="11"/>
        <v>111</v>
      </c>
      <c r="K101" s="100">
        <f t="shared" ca="1" si="27"/>
        <v>14363.855927600856</v>
      </c>
      <c r="L101" s="101">
        <f t="shared" ca="1" si="28"/>
        <v>1005263.2497446003</v>
      </c>
      <c r="M101" s="12"/>
      <c r="N101" s="12"/>
      <c r="O101" s="12"/>
      <c r="Q101" s="118">
        <f t="shared" ca="1" si="29"/>
        <v>32.960966907231139</v>
      </c>
      <c r="R101" s="119">
        <f t="shared" ca="1" si="3"/>
        <v>31</v>
      </c>
      <c r="S101" s="120">
        <v>365</v>
      </c>
      <c r="AC101" s="224">
        <v>1260</v>
      </c>
      <c r="AD101" s="225">
        <f t="shared" ca="1" si="13"/>
        <v>14080.768034383158</v>
      </c>
      <c r="AE101" s="226">
        <f t="shared" ca="1" si="14"/>
        <v>47335</v>
      </c>
      <c r="AF101" s="227">
        <f t="shared" ca="1" si="15"/>
        <v>14080.768034383158</v>
      </c>
      <c r="AG101" s="225">
        <f t="shared" ca="1" si="16"/>
        <v>14363.855927600856</v>
      </c>
      <c r="AH101" s="220"/>
      <c r="AI101" s="97"/>
      <c r="AJ101" s="97"/>
      <c r="AK101" s="97"/>
      <c r="AL101" s="97"/>
      <c r="AM101" s="97"/>
      <c r="AP101" s="157"/>
      <c r="AQ101" s="191"/>
      <c r="AR101" s="191"/>
      <c r="AS101" s="192"/>
      <c r="AT101" s="193"/>
      <c r="AU101" s="194"/>
      <c r="AV101" s="194"/>
      <c r="AW101" s="193"/>
      <c r="AX101" s="194"/>
      <c r="AY101" s="193"/>
      <c r="AZ101" s="195"/>
    </row>
    <row r="102" spans="1:52" ht="15.5" x14ac:dyDescent="0.35">
      <c r="A102" s="197">
        <f t="shared" si="5"/>
        <v>198</v>
      </c>
      <c r="B102" s="98">
        <f t="shared" si="17"/>
        <v>43</v>
      </c>
      <c r="C102" s="99">
        <f t="shared" ca="1" si="22"/>
        <v>47366</v>
      </c>
      <c r="D102" s="100">
        <f t="shared" ca="1" si="23"/>
        <v>1005263.2497446003</v>
      </c>
      <c r="E102" s="100">
        <f t="shared" ca="1" si="24"/>
        <v>12967.895921705343</v>
      </c>
      <c r="F102" s="100">
        <f t="shared" ca="1" si="25"/>
        <v>1018231.1456663056</v>
      </c>
      <c r="G102" s="100">
        <f t="shared" ca="1" si="20"/>
        <v>1112.8721126778146</v>
      </c>
      <c r="H102" s="100">
        <f t="shared" ca="1" si="9"/>
        <v>14080.768034383158</v>
      </c>
      <c r="I102" s="100">
        <f t="shared" ca="1" si="26"/>
        <v>171.90001570632666</v>
      </c>
      <c r="J102" s="100">
        <f t="shared" ca="1" si="11"/>
        <v>111</v>
      </c>
      <c r="K102" s="100">
        <f t="shared" ca="1" si="27"/>
        <v>14363.668050089485</v>
      </c>
      <c r="L102" s="101">
        <f t="shared" ca="1" si="28"/>
        <v>1004150.3776319225</v>
      </c>
      <c r="M102" s="12"/>
      <c r="N102" s="12"/>
      <c r="O102" s="12"/>
      <c r="Q102" s="118">
        <f t="shared" ca="1" si="29"/>
        <v>33.386163380334438</v>
      </c>
      <c r="R102" s="119">
        <f t="shared" ca="1" si="3"/>
        <v>31</v>
      </c>
      <c r="S102" s="120">
        <v>365</v>
      </c>
      <c r="AC102" s="224">
        <v>1290</v>
      </c>
      <c r="AD102" s="225">
        <f t="shared" ca="1" si="13"/>
        <v>14080.768034383158</v>
      </c>
      <c r="AE102" s="226">
        <f t="shared" ca="1" si="14"/>
        <v>47366</v>
      </c>
      <c r="AF102" s="227">
        <f t="shared" ca="1" si="15"/>
        <v>14080.768034383158</v>
      </c>
      <c r="AG102" s="225">
        <f t="shared" ca="1" si="16"/>
        <v>14363.668050089485</v>
      </c>
      <c r="AH102" s="220"/>
      <c r="AI102" s="97"/>
      <c r="AJ102" s="97"/>
      <c r="AK102" s="97"/>
      <c r="AL102" s="97"/>
      <c r="AM102" s="97"/>
      <c r="AP102" s="157"/>
      <c r="AQ102" s="186"/>
      <c r="AR102" s="186"/>
      <c r="AS102" s="187"/>
      <c r="AT102" s="188"/>
      <c r="AU102" s="189"/>
      <c r="AV102" s="189"/>
      <c r="AW102" s="188"/>
      <c r="AX102" s="189"/>
      <c r="AY102" s="188"/>
      <c r="AZ102" s="190"/>
    </row>
    <row r="103" spans="1:52" ht="15.5" x14ac:dyDescent="0.35">
      <c r="A103" s="197">
        <f t="shared" si="5"/>
        <v>197</v>
      </c>
      <c r="B103" s="98">
        <f t="shared" si="17"/>
        <v>44</v>
      </c>
      <c r="C103" s="99">
        <f t="shared" ca="1" si="22"/>
        <v>47396</v>
      </c>
      <c r="D103" s="100">
        <f t="shared" ca="1" si="23"/>
        <v>1004150.3776319225</v>
      </c>
      <c r="E103" s="100">
        <f t="shared" ca="1" si="24"/>
        <v>12953.5398714518</v>
      </c>
      <c r="F103" s="100">
        <f t="shared" ca="1" si="25"/>
        <v>1017103.9175033743</v>
      </c>
      <c r="G103" s="100">
        <f t="shared" ca="1" si="20"/>
        <v>1127.2281629313584</v>
      </c>
      <c r="H103" s="100">
        <f t="shared" ca="1" si="9"/>
        <v>14080.768034383158</v>
      </c>
      <c r="I103" s="100">
        <f t="shared" ca="1" si="26"/>
        <v>171.70971457505877</v>
      </c>
      <c r="J103" s="100">
        <f t="shared" ca="1" si="11"/>
        <v>111</v>
      </c>
      <c r="K103" s="100">
        <f t="shared" ca="1" si="27"/>
        <v>14363.477748958217</v>
      </c>
      <c r="L103" s="101">
        <f t="shared" ca="1" si="28"/>
        <v>1003023.1494689911</v>
      </c>
      <c r="M103" s="12"/>
      <c r="N103" s="12"/>
      <c r="O103" s="12"/>
      <c r="Q103" s="118">
        <f t="shared" ca="1" si="29"/>
        <v>33.816844887940753</v>
      </c>
      <c r="R103" s="119">
        <f t="shared" ca="1" si="3"/>
        <v>30</v>
      </c>
      <c r="S103" s="120">
        <v>365</v>
      </c>
      <c r="AC103" s="224">
        <v>1320</v>
      </c>
      <c r="AD103" s="225">
        <f t="shared" ca="1" si="13"/>
        <v>14080.768034383158</v>
      </c>
      <c r="AE103" s="226">
        <f t="shared" ca="1" si="14"/>
        <v>47396</v>
      </c>
      <c r="AF103" s="227">
        <f t="shared" ca="1" si="15"/>
        <v>14080.768034383158</v>
      </c>
      <c r="AG103" s="225">
        <f t="shared" ca="1" si="16"/>
        <v>14363.477748958217</v>
      </c>
      <c r="AH103" s="220"/>
      <c r="AI103" s="97"/>
      <c r="AJ103" s="97"/>
      <c r="AK103" s="97"/>
      <c r="AL103" s="97"/>
      <c r="AM103" s="97"/>
      <c r="AP103" s="157"/>
      <c r="AQ103" s="191"/>
      <c r="AR103" s="191"/>
      <c r="AS103" s="192"/>
      <c r="AT103" s="193"/>
      <c r="AU103" s="194"/>
      <c r="AV103" s="194"/>
      <c r="AW103" s="193"/>
      <c r="AX103" s="194"/>
      <c r="AY103" s="193"/>
      <c r="AZ103" s="195"/>
    </row>
    <row r="104" spans="1:52" ht="15.5" x14ac:dyDescent="0.35">
      <c r="A104" s="197">
        <f t="shared" si="5"/>
        <v>196</v>
      </c>
      <c r="B104" s="98">
        <f t="shared" si="17"/>
        <v>45</v>
      </c>
      <c r="C104" s="99">
        <f t="shared" ca="1" si="22"/>
        <v>47427</v>
      </c>
      <c r="D104" s="100">
        <f t="shared" ca="1" si="23"/>
        <v>1003023.1494689911</v>
      </c>
      <c r="E104" s="100">
        <f t="shared" ca="1" si="24"/>
        <v>12938.998628149986</v>
      </c>
      <c r="F104" s="100">
        <f t="shared" ca="1" si="25"/>
        <v>1015962.1480971411</v>
      </c>
      <c r="G104" s="100">
        <f t="shared" ca="1" si="20"/>
        <v>1141.769406233172</v>
      </c>
      <c r="H104" s="100">
        <f t="shared" ca="1" si="9"/>
        <v>14080.768034383158</v>
      </c>
      <c r="I104" s="100">
        <f t="shared" ca="1" si="26"/>
        <v>171.51695855919749</v>
      </c>
      <c r="J104" s="100">
        <f t="shared" ca="1" si="11"/>
        <v>111</v>
      </c>
      <c r="K104" s="100">
        <f t="shared" ca="1" si="27"/>
        <v>14363.284992942356</v>
      </c>
      <c r="L104" s="101">
        <f t="shared" ca="1" si="28"/>
        <v>1001881.3800627579</v>
      </c>
      <c r="M104" s="12"/>
      <c r="N104" s="12"/>
      <c r="O104" s="12"/>
      <c r="Q104" s="118">
        <f t="shared" ca="1" si="29"/>
        <v>34.253082186995158</v>
      </c>
      <c r="R104" s="119">
        <f t="shared" ca="1" si="3"/>
        <v>31</v>
      </c>
      <c r="S104" s="120">
        <v>365</v>
      </c>
      <c r="U104" s="137" t="s">
        <v>51</v>
      </c>
      <c r="V104" s="137" t="s">
        <v>53</v>
      </c>
      <c r="W104" s="137" t="s">
        <v>43</v>
      </c>
      <c r="AC104" s="224">
        <v>1350</v>
      </c>
      <c r="AD104" s="225">
        <f t="shared" ca="1" si="13"/>
        <v>14080.768034383158</v>
      </c>
      <c r="AE104" s="226">
        <f t="shared" ca="1" si="14"/>
        <v>47427</v>
      </c>
      <c r="AF104" s="227">
        <f t="shared" ca="1" si="15"/>
        <v>14080.768034383158</v>
      </c>
      <c r="AG104" s="225">
        <f t="shared" ca="1" si="16"/>
        <v>14363.284992942356</v>
      </c>
      <c r="AH104" s="220"/>
      <c r="AI104" s="97"/>
      <c r="AJ104" s="97"/>
      <c r="AK104" s="97"/>
      <c r="AL104" s="97"/>
      <c r="AM104" s="97"/>
      <c r="AP104" s="157"/>
      <c r="AQ104" s="186"/>
      <c r="AR104" s="186"/>
      <c r="AS104" s="187"/>
      <c r="AT104" s="188"/>
      <c r="AU104" s="189"/>
      <c r="AV104" s="189"/>
      <c r="AW104" s="188"/>
      <c r="AX104" s="189"/>
      <c r="AY104" s="188"/>
      <c r="AZ104" s="190"/>
    </row>
    <row r="105" spans="1:52" ht="15.5" x14ac:dyDescent="0.35">
      <c r="A105" s="197">
        <f t="shared" si="5"/>
        <v>195</v>
      </c>
      <c r="B105" s="98">
        <f t="shared" si="17"/>
        <v>46</v>
      </c>
      <c r="C105" s="99">
        <f t="shared" ca="1" si="22"/>
        <v>47457</v>
      </c>
      <c r="D105" s="100">
        <f t="shared" ca="1" si="23"/>
        <v>1001881.3800627579</v>
      </c>
      <c r="E105" s="100">
        <f t="shared" ca="1" si="24"/>
        <v>12924.269802809577</v>
      </c>
      <c r="F105" s="100">
        <f t="shared" ca="1" si="25"/>
        <v>1014805.6498655675</v>
      </c>
      <c r="G105" s="100">
        <f t="shared" ca="1" si="20"/>
        <v>1156.4982315735815</v>
      </c>
      <c r="H105" s="100">
        <f t="shared" ca="1" si="9"/>
        <v>14080.768034383158</v>
      </c>
      <c r="I105" s="100">
        <f t="shared" ca="1" si="26"/>
        <v>171.3217159907316</v>
      </c>
      <c r="J105" s="100">
        <f t="shared" ca="1" si="11"/>
        <v>111</v>
      </c>
      <c r="K105" s="100">
        <f t="shared" ca="1" si="27"/>
        <v>14363.089750373889</v>
      </c>
      <c r="L105" s="101">
        <f t="shared" ca="1" si="28"/>
        <v>1000724.8818311843</v>
      </c>
      <c r="M105" s="12"/>
      <c r="N105" s="12"/>
      <c r="O105" s="12"/>
      <c r="Q105" s="118">
        <f t="shared" ca="1" si="29"/>
        <v>34.694946947207441</v>
      </c>
      <c r="R105" s="119">
        <f t="shared" ca="1" si="3"/>
        <v>30</v>
      </c>
      <c r="S105" s="120">
        <v>365</v>
      </c>
      <c r="U105" s="123">
        <v>18</v>
      </c>
      <c r="V105" s="137">
        <v>1.284E-4</v>
      </c>
      <c r="W105" s="137" t="s">
        <v>75</v>
      </c>
      <c r="AC105" s="224">
        <v>1380</v>
      </c>
      <c r="AD105" s="225">
        <f t="shared" ca="1" si="13"/>
        <v>14080.768034383158</v>
      </c>
      <c r="AE105" s="226">
        <f t="shared" ca="1" si="14"/>
        <v>47457</v>
      </c>
      <c r="AF105" s="227">
        <f t="shared" ca="1" si="15"/>
        <v>14080.768034383158</v>
      </c>
      <c r="AG105" s="225">
        <f t="shared" ca="1" si="16"/>
        <v>14363.089750373889</v>
      </c>
      <c r="AH105" s="220"/>
      <c r="AI105" s="97"/>
      <c r="AJ105" s="97"/>
      <c r="AK105" s="97"/>
      <c r="AL105" s="97"/>
      <c r="AM105" s="97"/>
      <c r="AP105" s="157"/>
      <c r="AQ105" s="191"/>
      <c r="AR105" s="191"/>
      <c r="AS105" s="192"/>
      <c r="AT105" s="193"/>
      <c r="AU105" s="194"/>
      <c r="AV105" s="194"/>
      <c r="AW105" s="193"/>
      <c r="AX105" s="194"/>
      <c r="AY105" s="193"/>
      <c r="AZ105" s="195"/>
    </row>
    <row r="106" spans="1:52" ht="15.5" x14ac:dyDescent="0.35">
      <c r="A106" s="197">
        <f t="shared" si="5"/>
        <v>194</v>
      </c>
      <c r="B106" s="98">
        <f t="shared" si="17"/>
        <v>47</v>
      </c>
      <c r="C106" s="99">
        <f t="shared" ca="1" si="22"/>
        <v>47488</v>
      </c>
      <c r="D106" s="100">
        <f t="shared" ca="1" si="23"/>
        <v>1000724.8818311843</v>
      </c>
      <c r="E106" s="100">
        <f t="shared" ca="1" si="24"/>
        <v>12909.350975622277</v>
      </c>
      <c r="F106" s="100">
        <f t="shared" ca="1" si="25"/>
        <v>1013634.2328068066</v>
      </c>
      <c r="G106" s="100">
        <f t="shared" ca="1" si="20"/>
        <v>1171.4170587608805</v>
      </c>
      <c r="H106" s="100">
        <f t="shared" ca="1" si="9"/>
        <v>14080.768034383158</v>
      </c>
      <c r="I106" s="100">
        <f t="shared" ca="1" si="26"/>
        <v>171.12395479313253</v>
      </c>
      <c r="J106" s="100">
        <f t="shared" ca="1" si="11"/>
        <v>111</v>
      </c>
      <c r="K106" s="100">
        <f t="shared" ca="1" si="27"/>
        <v>14362.891989176291</v>
      </c>
      <c r="L106" s="101">
        <f t="shared" ca="1" si="28"/>
        <v>999553.46477242338</v>
      </c>
      <c r="M106" s="12"/>
      <c r="N106" s="12"/>
      <c r="O106" s="12"/>
      <c r="Q106" s="118">
        <f t="shared" ca="1" si="29"/>
        <v>35.142511762826416</v>
      </c>
      <c r="R106" s="119">
        <f t="shared" ca="1" si="3"/>
        <v>31</v>
      </c>
      <c r="S106" s="120">
        <v>365</v>
      </c>
      <c r="U106" s="123">
        <v>19</v>
      </c>
      <c r="V106" s="137">
        <v>1.284E-4</v>
      </c>
      <c r="W106" s="137" t="s">
        <v>75</v>
      </c>
      <c r="AC106" s="224">
        <v>1410</v>
      </c>
      <c r="AD106" s="225">
        <f t="shared" ca="1" si="13"/>
        <v>14080.768034383158</v>
      </c>
      <c r="AE106" s="226">
        <f t="shared" ca="1" si="14"/>
        <v>47488</v>
      </c>
      <c r="AF106" s="227">
        <f t="shared" ca="1" si="15"/>
        <v>14080.768034383158</v>
      </c>
      <c r="AG106" s="225">
        <f t="shared" ca="1" si="16"/>
        <v>14362.891989176291</v>
      </c>
      <c r="AH106" s="220"/>
      <c r="AI106" s="97"/>
      <c r="AJ106" s="97"/>
      <c r="AK106" s="97"/>
      <c r="AL106" s="97"/>
      <c r="AM106" s="97"/>
      <c r="AP106" s="157"/>
      <c r="AQ106" s="186"/>
      <c r="AR106" s="186"/>
      <c r="AS106" s="187"/>
      <c r="AT106" s="188"/>
      <c r="AU106" s="189"/>
      <c r="AV106" s="189"/>
      <c r="AW106" s="188"/>
      <c r="AX106" s="189"/>
      <c r="AY106" s="188"/>
      <c r="AZ106" s="190"/>
    </row>
    <row r="107" spans="1:52" ht="15.5" x14ac:dyDescent="0.35">
      <c r="A107" s="197">
        <f t="shared" si="5"/>
        <v>193</v>
      </c>
      <c r="B107" s="98">
        <f t="shared" si="17"/>
        <v>48</v>
      </c>
      <c r="C107" s="99">
        <f t="shared" ca="1" si="22"/>
        <v>47519</v>
      </c>
      <c r="D107" s="100">
        <f t="shared" ca="1" si="23"/>
        <v>999553.46477242338</v>
      </c>
      <c r="E107" s="100">
        <f t="shared" ca="1" si="24"/>
        <v>12894.239695564262</v>
      </c>
      <c r="F107" s="100">
        <f t="shared" ca="1" si="25"/>
        <v>1012447.7044679876</v>
      </c>
      <c r="G107" s="100">
        <f t="shared" ca="1" si="20"/>
        <v>1186.5283388188927</v>
      </c>
      <c r="H107" s="100">
        <f t="shared" ca="1" si="9"/>
        <v>14080.768034383154</v>
      </c>
      <c r="I107" s="100">
        <f t="shared" ca="1" si="26"/>
        <v>170.92364247608441</v>
      </c>
      <c r="J107" s="100">
        <f t="shared" ca="1" si="11"/>
        <v>111</v>
      </c>
      <c r="K107" s="100">
        <f t="shared" ca="1" si="27"/>
        <v>14362.691676859238</v>
      </c>
      <c r="L107" s="101">
        <f t="shared" ca="1" si="28"/>
        <v>998366.93643360445</v>
      </c>
      <c r="M107" s="12"/>
      <c r="N107" s="12"/>
      <c r="O107" s="12"/>
      <c r="Q107" s="118">
        <f t="shared" ca="1" si="29"/>
        <v>35.595850164566784</v>
      </c>
      <c r="R107" s="119">
        <f t="shared" ca="1" si="3"/>
        <v>31</v>
      </c>
      <c r="S107" s="120">
        <v>365</v>
      </c>
      <c r="U107" s="123">
        <v>20</v>
      </c>
      <c r="V107" s="137">
        <v>1.284E-4</v>
      </c>
      <c r="W107" s="137" t="s">
        <v>75</v>
      </c>
      <c r="AC107" s="224">
        <v>1440</v>
      </c>
      <c r="AD107" s="225">
        <f t="shared" ca="1" si="13"/>
        <v>14080.768034383154</v>
      </c>
      <c r="AE107" s="226">
        <f t="shared" ca="1" si="14"/>
        <v>47519</v>
      </c>
      <c r="AF107" s="227">
        <f t="shared" ca="1" si="15"/>
        <v>14080.768034383154</v>
      </c>
      <c r="AG107" s="225">
        <f t="shared" ca="1" si="16"/>
        <v>14362.691676859238</v>
      </c>
      <c r="AH107" s="220"/>
      <c r="AI107" s="97"/>
      <c r="AJ107" s="97"/>
      <c r="AK107" s="97"/>
      <c r="AL107" s="97"/>
      <c r="AM107" s="97"/>
      <c r="AP107" s="157"/>
      <c r="AQ107" s="191"/>
      <c r="AR107" s="191"/>
      <c r="AS107" s="192"/>
      <c r="AT107" s="193"/>
      <c r="AU107" s="194"/>
      <c r="AV107" s="194"/>
      <c r="AW107" s="193"/>
      <c r="AX107" s="194"/>
      <c r="AY107" s="193"/>
      <c r="AZ107" s="195"/>
    </row>
    <row r="108" spans="1:52" ht="15.5" x14ac:dyDescent="0.35">
      <c r="A108" s="197">
        <f t="shared" si="5"/>
        <v>192</v>
      </c>
      <c r="B108" s="98">
        <f t="shared" si="17"/>
        <v>49</v>
      </c>
      <c r="C108" s="99">
        <f t="shared" ca="1" si="22"/>
        <v>47547</v>
      </c>
      <c r="D108" s="100">
        <f t="shared" ca="1" si="23"/>
        <v>998366.93643360445</v>
      </c>
      <c r="E108" s="100">
        <f t="shared" ca="1" si="24"/>
        <v>12878.933479993497</v>
      </c>
      <c r="F108" s="100">
        <f t="shared" ca="1" si="25"/>
        <v>1011245.8699135979</v>
      </c>
      <c r="G108" s="100">
        <f t="shared" ca="1" si="20"/>
        <v>1201.8345543896612</v>
      </c>
      <c r="H108" s="100">
        <f t="shared" ca="1" si="9"/>
        <v>14080.768034383158</v>
      </c>
      <c r="I108" s="100">
        <f t="shared" ca="1" si="26"/>
        <v>170.72074613014638</v>
      </c>
      <c r="J108" s="100">
        <f t="shared" ca="1" si="11"/>
        <v>111</v>
      </c>
      <c r="K108" s="100">
        <f t="shared" ca="1" si="27"/>
        <v>14362.488780513304</v>
      </c>
      <c r="L108" s="101">
        <f t="shared" ca="1" si="28"/>
        <v>997165.10187921475</v>
      </c>
      <c r="M108" s="12"/>
      <c r="N108" s="12"/>
      <c r="O108" s="12"/>
      <c r="Q108" s="118">
        <f t="shared" ca="1" si="29"/>
        <v>36.055036631689838</v>
      </c>
      <c r="R108" s="119">
        <f t="shared" ca="1" si="3"/>
        <v>28</v>
      </c>
      <c r="S108" s="120">
        <v>365</v>
      </c>
      <c r="U108" s="123">
        <v>21</v>
      </c>
      <c r="V108" s="137">
        <v>1.284E-4</v>
      </c>
      <c r="W108" s="137" t="s">
        <v>75</v>
      </c>
      <c r="AC108" s="224">
        <v>1470</v>
      </c>
      <c r="AD108" s="225">
        <f t="shared" ca="1" si="13"/>
        <v>14080.768034383158</v>
      </c>
      <c r="AE108" s="226">
        <f t="shared" ca="1" si="14"/>
        <v>47547</v>
      </c>
      <c r="AF108" s="227">
        <f t="shared" ca="1" si="15"/>
        <v>14080.768034383158</v>
      </c>
      <c r="AG108" s="225">
        <f t="shared" ca="1" si="16"/>
        <v>14362.488780513304</v>
      </c>
      <c r="AH108" s="220"/>
      <c r="AI108" s="97"/>
      <c r="AJ108" s="97"/>
      <c r="AK108" s="97"/>
      <c r="AL108" s="97"/>
      <c r="AM108" s="97"/>
      <c r="AP108" s="157"/>
      <c r="AQ108" s="186"/>
      <c r="AR108" s="186"/>
      <c r="AS108" s="187"/>
      <c r="AT108" s="188"/>
      <c r="AU108" s="189"/>
      <c r="AV108" s="189"/>
      <c r="AW108" s="188"/>
      <c r="AX108" s="189"/>
      <c r="AY108" s="188"/>
      <c r="AZ108" s="190"/>
    </row>
    <row r="109" spans="1:52" ht="15.5" x14ac:dyDescent="0.35">
      <c r="A109" s="197">
        <f t="shared" si="5"/>
        <v>191</v>
      </c>
      <c r="B109" s="98">
        <f t="shared" si="17"/>
        <v>50</v>
      </c>
      <c r="C109" s="99">
        <f t="shared" ca="1" si="22"/>
        <v>47578</v>
      </c>
      <c r="D109" s="100">
        <f t="shared" ca="1" si="23"/>
        <v>997165.10187921475</v>
      </c>
      <c r="E109" s="100">
        <f t="shared" ca="1" si="24"/>
        <v>12863.42981424187</v>
      </c>
      <c r="F109" s="100">
        <f t="shared" ca="1" si="25"/>
        <v>1010028.5316934566</v>
      </c>
      <c r="G109" s="100">
        <f t="shared" ca="1" si="20"/>
        <v>1217.3382201412842</v>
      </c>
      <c r="H109" s="100">
        <f t="shared" ca="1" si="9"/>
        <v>14080.768034383154</v>
      </c>
      <c r="I109" s="100">
        <f t="shared" ca="1" si="26"/>
        <v>170.51523242134573</v>
      </c>
      <c r="J109" s="100">
        <f t="shared" ca="1" si="11"/>
        <v>111</v>
      </c>
      <c r="K109" s="100">
        <f t="shared" ca="1" si="27"/>
        <v>14362.283266804499</v>
      </c>
      <c r="L109" s="101">
        <f t="shared" ca="1" si="28"/>
        <v>995947.76365907351</v>
      </c>
      <c r="M109" s="12"/>
      <c r="N109" s="12"/>
      <c r="O109" s="12"/>
      <c r="Q109" s="118">
        <f t="shared" ca="1" si="29"/>
        <v>36.520146604238526</v>
      </c>
      <c r="R109" s="119">
        <f t="shared" ca="1" si="3"/>
        <v>31</v>
      </c>
      <c r="S109" s="120">
        <v>365</v>
      </c>
      <c r="U109" s="123">
        <v>22</v>
      </c>
      <c r="V109" s="137">
        <v>1.284E-4</v>
      </c>
      <c r="W109" s="137" t="s">
        <v>75</v>
      </c>
      <c r="AC109" s="224">
        <v>1500</v>
      </c>
      <c r="AD109" s="225">
        <f t="shared" ca="1" si="13"/>
        <v>14080.768034383154</v>
      </c>
      <c r="AE109" s="226">
        <f t="shared" ca="1" si="14"/>
        <v>47578</v>
      </c>
      <c r="AF109" s="227">
        <f t="shared" ca="1" si="15"/>
        <v>14080.768034383154</v>
      </c>
      <c r="AG109" s="225">
        <f t="shared" ca="1" si="16"/>
        <v>14362.283266804499</v>
      </c>
      <c r="AH109" s="220"/>
      <c r="AI109" s="97"/>
      <c r="AJ109" s="97"/>
      <c r="AK109" s="97"/>
      <c r="AL109" s="97"/>
      <c r="AM109" s="97"/>
      <c r="AP109" s="157"/>
      <c r="AQ109" s="191"/>
      <c r="AR109" s="191"/>
      <c r="AS109" s="192"/>
      <c r="AT109" s="193"/>
      <c r="AU109" s="194"/>
      <c r="AV109" s="194"/>
      <c r="AW109" s="193"/>
      <c r="AX109" s="194"/>
      <c r="AY109" s="193"/>
      <c r="AZ109" s="195"/>
    </row>
    <row r="110" spans="1:52" ht="15.5" x14ac:dyDescent="0.35">
      <c r="A110" s="197">
        <f t="shared" si="5"/>
        <v>190</v>
      </c>
      <c r="B110" s="98">
        <f t="shared" si="17"/>
        <v>51</v>
      </c>
      <c r="C110" s="99">
        <f t="shared" ca="1" si="22"/>
        <v>47608</v>
      </c>
      <c r="D110" s="100">
        <f t="shared" ca="1" si="23"/>
        <v>995947.76365907351</v>
      </c>
      <c r="E110" s="100">
        <f t="shared" ca="1" si="24"/>
        <v>12847.726151202049</v>
      </c>
      <c r="F110" s="100">
        <f t="shared" ca="1" si="25"/>
        <v>1008795.4898102756</v>
      </c>
      <c r="G110" s="100">
        <f t="shared" ca="1" si="20"/>
        <v>1233.0418831811057</v>
      </c>
      <c r="H110" s="100">
        <f t="shared" ca="1" si="9"/>
        <v>14080.768034383154</v>
      </c>
      <c r="I110" s="100">
        <f t="shared" ca="1" si="26"/>
        <v>170.30706758570159</v>
      </c>
      <c r="J110" s="100">
        <f t="shared" ca="1" si="11"/>
        <v>111</v>
      </c>
      <c r="K110" s="100">
        <f t="shared" ca="1" si="27"/>
        <v>14362.075101968856</v>
      </c>
      <c r="L110" s="101">
        <f t="shared" ca="1" si="28"/>
        <v>994714.72177589242</v>
      </c>
      <c r="M110" s="12"/>
      <c r="N110" s="12"/>
      <c r="O110" s="12"/>
      <c r="Q110" s="118">
        <f t="shared" ca="1" si="29"/>
        <v>36.99125649543317</v>
      </c>
      <c r="R110" s="119">
        <f t="shared" ca="1" si="3"/>
        <v>30</v>
      </c>
      <c r="S110" s="120">
        <v>365</v>
      </c>
      <c r="U110" s="123">
        <v>23</v>
      </c>
      <c r="V110" s="137">
        <v>1.284E-4</v>
      </c>
      <c r="W110" s="137" t="s">
        <v>75</v>
      </c>
      <c r="AC110" s="224">
        <v>1530</v>
      </c>
      <c r="AD110" s="225">
        <f t="shared" ca="1" si="13"/>
        <v>14080.768034383154</v>
      </c>
      <c r="AE110" s="226">
        <f t="shared" ca="1" si="14"/>
        <v>47608</v>
      </c>
      <c r="AF110" s="227">
        <f t="shared" ca="1" si="15"/>
        <v>14080.768034383154</v>
      </c>
      <c r="AG110" s="225">
        <f t="shared" ca="1" si="16"/>
        <v>14362.075101968856</v>
      </c>
      <c r="AH110" s="220"/>
      <c r="AI110" s="97"/>
      <c r="AJ110" s="97"/>
      <c r="AK110" s="97"/>
      <c r="AL110" s="97"/>
      <c r="AM110" s="97"/>
      <c r="AP110" s="157"/>
      <c r="AQ110" s="186"/>
      <c r="AR110" s="186"/>
      <c r="AS110" s="187"/>
      <c r="AT110" s="188"/>
      <c r="AU110" s="189"/>
      <c r="AV110" s="189"/>
      <c r="AW110" s="188"/>
      <c r="AX110" s="189"/>
      <c r="AY110" s="188"/>
      <c r="AZ110" s="190"/>
    </row>
    <row r="111" spans="1:52" ht="15.5" x14ac:dyDescent="0.35">
      <c r="A111" s="197">
        <f t="shared" si="5"/>
        <v>189</v>
      </c>
      <c r="B111" s="98">
        <f t="shared" si="17"/>
        <v>52</v>
      </c>
      <c r="C111" s="99">
        <f t="shared" ca="1" si="22"/>
        <v>47639</v>
      </c>
      <c r="D111" s="100">
        <f t="shared" ca="1" si="23"/>
        <v>994714.72177589242</v>
      </c>
      <c r="E111" s="100">
        <f t="shared" ca="1" si="24"/>
        <v>12831.819910909013</v>
      </c>
      <c r="F111" s="100">
        <f t="shared" ca="1" si="25"/>
        <v>1007546.5416868015</v>
      </c>
      <c r="G111" s="100">
        <f t="shared" ca="1" si="20"/>
        <v>1248.9481234741452</v>
      </c>
      <c r="H111" s="100">
        <f t="shared" ca="1" si="9"/>
        <v>14080.768034383158</v>
      </c>
      <c r="I111" s="100">
        <f t="shared" ca="1" si="26"/>
        <v>170.09621742367761</v>
      </c>
      <c r="J111" s="100">
        <f t="shared" ca="1" si="11"/>
        <v>111</v>
      </c>
      <c r="K111" s="100">
        <f t="shared" ca="1" si="27"/>
        <v>14361.864251806835</v>
      </c>
      <c r="L111" s="101">
        <f t="shared" ca="1" si="28"/>
        <v>993465.77365241828</v>
      </c>
      <c r="M111" s="12"/>
      <c r="N111" s="12"/>
      <c r="O111" s="12"/>
      <c r="Q111" s="118">
        <f t="shared" ca="1" si="29"/>
        <v>37.468443704224356</v>
      </c>
      <c r="R111" s="119">
        <f t="shared" ca="1" si="3"/>
        <v>31</v>
      </c>
      <c r="S111" s="120">
        <v>365</v>
      </c>
      <c r="U111" s="123">
        <v>24</v>
      </c>
      <c r="V111" s="137">
        <v>1.284E-4</v>
      </c>
      <c r="W111" s="137" t="s">
        <v>75</v>
      </c>
      <c r="AC111" s="224">
        <v>1560</v>
      </c>
      <c r="AD111" s="225">
        <f t="shared" ca="1" si="13"/>
        <v>14080.768034383158</v>
      </c>
      <c r="AE111" s="226">
        <f t="shared" ca="1" si="14"/>
        <v>47639</v>
      </c>
      <c r="AF111" s="227">
        <f t="shared" ca="1" si="15"/>
        <v>14080.768034383158</v>
      </c>
      <c r="AG111" s="225">
        <f t="shared" ca="1" si="16"/>
        <v>14361.864251806835</v>
      </c>
      <c r="AH111" s="220"/>
      <c r="AI111" s="97"/>
      <c r="AJ111" s="97"/>
      <c r="AK111" s="97"/>
      <c r="AL111" s="97"/>
      <c r="AM111" s="97"/>
      <c r="AP111" s="157"/>
      <c r="AQ111" s="191"/>
      <c r="AR111" s="191"/>
      <c r="AS111" s="192"/>
      <c r="AT111" s="193"/>
      <c r="AU111" s="194"/>
      <c r="AV111" s="194"/>
      <c r="AW111" s="193"/>
      <c r="AX111" s="194"/>
      <c r="AY111" s="193"/>
      <c r="AZ111" s="195"/>
    </row>
    <row r="112" spans="1:52" ht="15.5" x14ac:dyDescent="0.35">
      <c r="A112" s="197">
        <f t="shared" si="5"/>
        <v>188</v>
      </c>
      <c r="B112" s="98">
        <f t="shared" si="17"/>
        <v>53</v>
      </c>
      <c r="C112" s="99">
        <f t="shared" ca="1" si="22"/>
        <v>47669</v>
      </c>
      <c r="D112" s="100">
        <f t="shared" ca="1" si="23"/>
        <v>993465.77365241828</v>
      </c>
      <c r="E112" s="100">
        <f t="shared" ca="1" si="24"/>
        <v>12815.708480116196</v>
      </c>
      <c r="F112" s="100">
        <f t="shared" ca="1" si="25"/>
        <v>1006281.4821325345</v>
      </c>
      <c r="G112" s="100">
        <f t="shared" ca="1" si="20"/>
        <v>1265.0595542669616</v>
      </c>
      <c r="H112" s="100">
        <f t="shared" ca="1" si="9"/>
        <v>14080.768034383158</v>
      </c>
      <c r="I112" s="100">
        <f t="shared" ca="1" si="26"/>
        <v>169.88264729456353</v>
      </c>
      <c r="J112" s="100">
        <f t="shared" ca="1" si="11"/>
        <v>111</v>
      </c>
      <c r="K112" s="100">
        <f t="shared" ca="1" si="27"/>
        <v>14361.650681677722</v>
      </c>
      <c r="L112" s="101">
        <f t="shared" ca="1" si="28"/>
        <v>992200.71409815131</v>
      </c>
      <c r="M112" s="12"/>
      <c r="N112" s="12"/>
      <c r="O112" s="12"/>
      <c r="Q112" s="118">
        <f t="shared" ca="1" si="29"/>
        <v>37.951786628008847</v>
      </c>
      <c r="R112" s="119">
        <f t="shared" ca="1" si="3"/>
        <v>30</v>
      </c>
      <c r="S112" s="120">
        <v>365</v>
      </c>
      <c r="U112" s="123">
        <v>25</v>
      </c>
      <c r="V112" s="137">
        <v>1.284E-4</v>
      </c>
      <c r="W112" s="137" t="s">
        <v>75</v>
      </c>
      <c r="AC112" s="224">
        <v>1590</v>
      </c>
      <c r="AD112" s="225">
        <f t="shared" ca="1" si="13"/>
        <v>14080.768034383158</v>
      </c>
      <c r="AE112" s="226">
        <f t="shared" ca="1" si="14"/>
        <v>47669</v>
      </c>
      <c r="AF112" s="227">
        <f t="shared" ca="1" si="15"/>
        <v>14080.768034383158</v>
      </c>
      <c r="AG112" s="225">
        <f t="shared" ca="1" si="16"/>
        <v>14361.650681677722</v>
      </c>
      <c r="AH112" s="220"/>
      <c r="AI112" s="97"/>
      <c r="AJ112" s="97"/>
      <c r="AK112" s="97"/>
      <c r="AL112" s="97"/>
      <c r="AM112" s="97"/>
      <c r="AP112" s="157"/>
      <c r="AQ112" s="186"/>
      <c r="AR112" s="186"/>
      <c r="AS112" s="187"/>
      <c r="AT112" s="188"/>
      <c r="AU112" s="189"/>
      <c r="AV112" s="189"/>
      <c r="AW112" s="188"/>
      <c r="AX112" s="189"/>
      <c r="AY112" s="188"/>
      <c r="AZ112" s="190"/>
    </row>
    <row r="113" spans="1:52" ht="15.5" x14ac:dyDescent="0.35">
      <c r="A113" s="197">
        <f t="shared" si="5"/>
        <v>187</v>
      </c>
      <c r="B113" s="98">
        <f t="shared" si="17"/>
        <v>54</v>
      </c>
      <c r="C113" s="99">
        <f t="shared" ca="1" si="22"/>
        <v>47700</v>
      </c>
      <c r="D113" s="100">
        <f t="shared" ca="1" si="23"/>
        <v>992200.71409815131</v>
      </c>
      <c r="E113" s="100">
        <f t="shared" ca="1" si="24"/>
        <v>12799.389211866152</v>
      </c>
      <c r="F113" s="100">
        <f t="shared" ca="1" si="25"/>
        <v>1005000.1033100175</v>
      </c>
      <c r="G113" s="100">
        <f t="shared" ca="1" si="20"/>
        <v>1281.3788225170028</v>
      </c>
      <c r="H113" s="100">
        <f t="shared" ca="1" si="9"/>
        <v>14080.768034383154</v>
      </c>
      <c r="I113" s="100">
        <f t="shared" ca="1" si="26"/>
        <v>169.66632211078388</v>
      </c>
      <c r="J113" s="100">
        <f t="shared" ca="1" si="11"/>
        <v>111</v>
      </c>
      <c r="K113" s="100">
        <f t="shared" ca="1" si="27"/>
        <v>14361.434356493939</v>
      </c>
      <c r="L113" s="101">
        <f t="shared" ca="1" si="28"/>
        <v>990919.33527563431</v>
      </c>
      <c r="M113" s="12"/>
      <c r="N113" s="12"/>
      <c r="O113" s="12"/>
      <c r="Q113" s="118">
        <f t="shared" ca="1" si="29"/>
        <v>38.441364675510087</v>
      </c>
      <c r="R113" s="119">
        <f t="shared" ca="1" si="3"/>
        <v>31</v>
      </c>
      <c r="S113" s="120">
        <v>365</v>
      </c>
      <c r="U113" s="123">
        <v>26</v>
      </c>
      <c r="V113" s="137">
        <v>1.284E-4</v>
      </c>
      <c r="W113" s="137" t="s">
        <v>76</v>
      </c>
      <c r="AC113" s="224">
        <v>1620</v>
      </c>
      <c r="AD113" s="225">
        <f t="shared" ca="1" si="13"/>
        <v>14080.768034383154</v>
      </c>
      <c r="AE113" s="226">
        <f t="shared" ca="1" si="14"/>
        <v>47700</v>
      </c>
      <c r="AF113" s="227">
        <f t="shared" ca="1" si="15"/>
        <v>14080.768034383154</v>
      </c>
      <c r="AG113" s="225">
        <f t="shared" ca="1" si="16"/>
        <v>14361.434356493939</v>
      </c>
      <c r="AH113" s="220"/>
      <c r="AI113" s="97"/>
      <c r="AJ113" s="97"/>
      <c r="AK113" s="97"/>
      <c r="AL113" s="97"/>
      <c r="AM113" s="97"/>
      <c r="AP113" s="157"/>
      <c r="AQ113" s="191"/>
      <c r="AR113" s="191"/>
      <c r="AS113" s="192"/>
      <c r="AT113" s="193"/>
      <c r="AU113" s="194"/>
      <c r="AV113" s="194"/>
      <c r="AW113" s="193"/>
      <c r="AX113" s="194"/>
      <c r="AY113" s="193"/>
      <c r="AZ113" s="195"/>
    </row>
    <row r="114" spans="1:52" ht="15.5" x14ac:dyDescent="0.35">
      <c r="A114" s="197">
        <f t="shared" si="5"/>
        <v>186</v>
      </c>
      <c r="B114" s="98">
        <f t="shared" si="17"/>
        <v>55</v>
      </c>
      <c r="C114" s="99">
        <f t="shared" ca="1" si="22"/>
        <v>47731</v>
      </c>
      <c r="D114" s="100">
        <f t="shared" ca="1" si="23"/>
        <v>990919.33527563431</v>
      </c>
      <c r="E114" s="100">
        <f t="shared" ca="1" si="24"/>
        <v>12782.859425055683</v>
      </c>
      <c r="F114" s="100">
        <f t="shared" ca="1" si="25"/>
        <v>1003702.19470069</v>
      </c>
      <c r="G114" s="100">
        <f t="shared" ca="1" si="20"/>
        <v>1297.9086093274709</v>
      </c>
      <c r="H114" s="100">
        <f t="shared" ca="1" si="9"/>
        <v>14080.768034383154</v>
      </c>
      <c r="I114" s="100">
        <f t="shared" ca="1" si="26"/>
        <v>169.44720633213348</v>
      </c>
      <c r="J114" s="100">
        <f t="shared" ca="1" si="11"/>
        <v>111</v>
      </c>
      <c r="K114" s="100">
        <f t="shared" ca="1" si="27"/>
        <v>14361.215240715288</v>
      </c>
      <c r="L114" s="101">
        <f t="shared" ca="1" si="28"/>
        <v>989621.4266663068</v>
      </c>
      <c r="M114" s="12"/>
      <c r="N114" s="12"/>
      <c r="O114" s="12"/>
      <c r="Q114" s="118">
        <f t="shared" ca="1" si="29"/>
        <v>38.937258279824128</v>
      </c>
      <c r="R114" s="119">
        <f t="shared" ca="1" si="3"/>
        <v>31</v>
      </c>
      <c r="S114" s="120">
        <v>365</v>
      </c>
      <c r="U114" s="123">
        <v>27</v>
      </c>
      <c r="V114" s="137">
        <v>1.284E-4</v>
      </c>
      <c r="W114" s="137" t="s">
        <v>76</v>
      </c>
      <c r="AC114" s="224">
        <v>1650</v>
      </c>
      <c r="AD114" s="225">
        <f t="shared" ca="1" si="13"/>
        <v>14080.768034383154</v>
      </c>
      <c r="AE114" s="226">
        <f t="shared" ca="1" si="14"/>
        <v>47731</v>
      </c>
      <c r="AF114" s="227">
        <f t="shared" ca="1" si="15"/>
        <v>14080.768034383154</v>
      </c>
      <c r="AG114" s="225">
        <f t="shared" ca="1" si="16"/>
        <v>14361.215240715288</v>
      </c>
      <c r="AH114" s="220"/>
      <c r="AI114" s="97"/>
      <c r="AJ114" s="97"/>
      <c r="AK114" s="97"/>
      <c r="AL114" s="97"/>
      <c r="AM114" s="97"/>
      <c r="AP114" s="157"/>
      <c r="AQ114" s="186"/>
      <c r="AR114" s="186"/>
      <c r="AS114" s="187"/>
      <c r="AT114" s="188"/>
      <c r="AU114" s="189"/>
      <c r="AV114" s="189"/>
      <c r="AW114" s="188"/>
      <c r="AX114" s="189"/>
      <c r="AY114" s="188"/>
      <c r="AZ114" s="190"/>
    </row>
    <row r="115" spans="1:52" ht="15.5" x14ac:dyDescent="0.35">
      <c r="A115" s="197">
        <f t="shared" si="5"/>
        <v>185</v>
      </c>
      <c r="B115" s="98">
        <f t="shared" si="17"/>
        <v>56</v>
      </c>
      <c r="C115" s="99">
        <f t="shared" ca="1" si="22"/>
        <v>47761</v>
      </c>
      <c r="D115" s="100">
        <f t="shared" ca="1" si="23"/>
        <v>989621.4266663068</v>
      </c>
      <c r="E115" s="100">
        <f t="shared" ca="1" si="24"/>
        <v>12766.116403995358</v>
      </c>
      <c r="F115" s="100">
        <f t="shared" ca="1" si="25"/>
        <v>1002387.5430703021</v>
      </c>
      <c r="G115" s="100">
        <f t="shared" ca="1" si="20"/>
        <v>1314.6516303877961</v>
      </c>
      <c r="H115" s="100">
        <f t="shared" ca="1" si="9"/>
        <v>14080.768034383154</v>
      </c>
      <c r="I115" s="100">
        <f t="shared" ca="1" si="26"/>
        <v>169.22526395993847</v>
      </c>
      <c r="J115" s="100">
        <f t="shared" ca="1" si="11"/>
        <v>111</v>
      </c>
      <c r="K115" s="100">
        <f t="shared" ca="1" si="27"/>
        <v>14360.993298343094</v>
      </c>
      <c r="L115" s="101">
        <f t="shared" ca="1" si="28"/>
        <v>988306.77503591904</v>
      </c>
      <c r="M115" s="12"/>
      <c r="N115" s="12"/>
      <c r="O115" s="12"/>
      <c r="Q115" s="118">
        <f t="shared" ca="1" si="29"/>
        <v>39.439548911633885</v>
      </c>
      <c r="R115" s="119">
        <f t="shared" ca="1" si="3"/>
        <v>30</v>
      </c>
      <c r="S115" s="120">
        <v>365</v>
      </c>
      <c r="U115" s="123">
        <v>28</v>
      </c>
      <c r="V115" s="137">
        <v>1.284E-4</v>
      </c>
      <c r="W115" s="137" t="s">
        <v>76</v>
      </c>
      <c r="AC115" s="224">
        <v>1680</v>
      </c>
      <c r="AD115" s="225">
        <f t="shared" ca="1" si="13"/>
        <v>14080.768034383154</v>
      </c>
      <c r="AE115" s="226">
        <f t="shared" ca="1" si="14"/>
        <v>47761</v>
      </c>
      <c r="AF115" s="227">
        <f t="shared" ca="1" si="15"/>
        <v>14080.768034383154</v>
      </c>
      <c r="AG115" s="225">
        <f t="shared" ca="1" si="16"/>
        <v>14360.993298343094</v>
      </c>
      <c r="AH115" s="220"/>
      <c r="AI115" s="97"/>
      <c r="AJ115" s="97"/>
      <c r="AK115" s="97"/>
      <c r="AL115" s="97"/>
      <c r="AM115" s="97"/>
      <c r="AP115" s="157"/>
      <c r="AQ115" s="191"/>
      <c r="AR115" s="191"/>
      <c r="AS115" s="192"/>
      <c r="AT115" s="193"/>
      <c r="AU115" s="194"/>
      <c r="AV115" s="194"/>
      <c r="AW115" s="193"/>
      <c r="AX115" s="194"/>
      <c r="AY115" s="193"/>
      <c r="AZ115" s="195"/>
    </row>
    <row r="116" spans="1:52" ht="15.5" x14ac:dyDescent="0.35">
      <c r="A116" s="197">
        <f t="shared" si="5"/>
        <v>184</v>
      </c>
      <c r="B116" s="98">
        <f t="shared" si="17"/>
        <v>57</v>
      </c>
      <c r="C116" s="99">
        <f t="shared" ca="1" si="22"/>
        <v>47792</v>
      </c>
      <c r="D116" s="100">
        <f t="shared" ca="1" si="23"/>
        <v>988306.77503591904</v>
      </c>
      <c r="E116" s="100">
        <f t="shared" ca="1" si="24"/>
        <v>12749.157397963356</v>
      </c>
      <c r="F116" s="100">
        <f t="shared" ca="1" si="25"/>
        <v>1001055.9324338824</v>
      </c>
      <c r="G116" s="100">
        <f t="shared" ca="1" si="20"/>
        <v>1331.6106364197985</v>
      </c>
      <c r="H116" s="100">
        <f t="shared" ca="1" si="9"/>
        <v>14080.768034383154</v>
      </c>
      <c r="I116" s="100">
        <f t="shared" ca="1" si="26"/>
        <v>169.00045853114216</v>
      </c>
      <c r="J116" s="100">
        <f t="shared" ca="1" si="11"/>
        <v>111</v>
      </c>
      <c r="K116" s="100">
        <f t="shared" ca="1" si="27"/>
        <v>14360.768492914296</v>
      </c>
      <c r="L116" s="101">
        <f t="shared" ca="1" si="28"/>
        <v>986975.16439949919</v>
      </c>
      <c r="M116" s="12"/>
      <c r="N116" s="12"/>
      <c r="O116" s="12"/>
      <c r="Q116" s="118">
        <f t="shared" ca="1" si="29"/>
        <v>39.948319092593955</v>
      </c>
      <c r="R116" s="119">
        <f t="shared" ca="1" si="3"/>
        <v>31</v>
      </c>
      <c r="S116" s="120">
        <v>365</v>
      </c>
      <c r="U116" s="123">
        <v>29</v>
      </c>
      <c r="V116" s="137">
        <v>1.284E-4</v>
      </c>
      <c r="W116" s="137" t="s">
        <v>76</v>
      </c>
      <c r="AC116" s="224">
        <v>1710</v>
      </c>
      <c r="AD116" s="225">
        <f t="shared" ca="1" si="13"/>
        <v>14080.768034383154</v>
      </c>
      <c r="AE116" s="226">
        <f t="shared" ca="1" si="14"/>
        <v>47792</v>
      </c>
      <c r="AF116" s="227">
        <f t="shared" ca="1" si="15"/>
        <v>14080.768034383154</v>
      </c>
      <c r="AG116" s="225">
        <f t="shared" ca="1" si="16"/>
        <v>14360.768492914296</v>
      </c>
      <c r="AH116" s="220"/>
      <c r="AI116" s="97"/>
      <c r="AJ116" s="97"/>
      <c r="AK116" s="97"/>
      <c r="AL116" s="97"/>
      <c r="AM116" s="97"/>
      <c r="AP116" s="157"/>
      <c r="AQ116" s="186"/>
      <c r="AR116" s="186"/>
      <c r="AS116" s="187"/>
      <c r="AT116" s="188"/>
      <c r="AU116" s="189"/>
      <c r="AV116" s="189"/>
      <c r="AW116" s="188"/>
      <c r="AX116" s="189"/>
      <c r="AY116" s="188"/>
      <c r="AZ116" s="190"/>
    </row>
    <row r="117" spans="1:52" ht="15.5" x14ac:dyDescent="0.35">
      <c r="A117" s="197">
        <f t="shared" si="5"/>
        <v>183</v>
      </c>
      <c r="B117" s="98">
        <f t="shared" si="17"/>
        <v>58</v>
      </c>
      <c r="C117" s="99">
        <f t="shared" ca="1" si="22"/>
        <v>47822</v>
      </c>
      <c r="D117" s="100">
        <f t="shared" ca="1" si="23"/>
        <v>986975.16439949919</v>
      </c>
      <c r="E117" s="100">
        <f t="shared" ca="1" si="24"/>
        <v>12731.97962075354</v>
      </c>
      <c r="F117" s="100">
        <f t="shared" ca="1" si="25"/>
        <v>999707.14402025274</v>
      </c>
      <c r="G117" s="100">
        <f t="shared" ca="1" si="20"/>
        <v>1348.7884136296143</v>
      </c>
      <c r="H117" s="100">
        <f t="shared" ca="1" si="9"/>
        <v>14080.768034383154</v>
      </c>
      <c r="I117" s="100">
        <f t="shared" ca="1" si="26"/>
        <v>168.77275311231438</v>
      </c>
      <c r="J117" s="100">
        <f t="shared" ca="1" si="11"/>
        <v>111</v>
      </c>
      <c r="K117" s="100">
        <f t="shared" ca="1" si="27"/>
        <v>14360.540787495469</v>
      </c>
      <c r="L117" s="101">
        <f t="shared" ca="1" si="28"/>
        <v>985626.37598586956</v>
      </c>
      <c r="M117" s="12"/>
      <c r="N117" s="12"/>
      <c r="O117" s="12"/>
      <c r="Q117" s="118">
        <f t="shared" ca="1" si="29"/>
        <v>40.463652408888429</v>
      </c>
      <c r="R117" s="119">
        <f t="shared" ca="1" si="3"/>
        <v>30</v>
      </c>
      <c r="S117" s="120">
        <v>365</v>
      </c>
      <c r="U117" s="123">
        <v>30</v>
      </c>
      <c r="V117" s="137">
        <v>1.284E-4</v>
      </c>
      <c r="W117" s="137" t="s">
        <v>76</v>
      </c>
      <c r="AC117" s="224">
        <v>1740</v>
      </c>
      <c r="AD117" s="225">
        <f t="shared" ca="1" si="13"/>
        <v>14080.768034383154</v>
      </c>
      <c r="AE117" s="226">
        <f t="shared" ca="1" si="14"/>
        <v>47822</v>
      </c>
      <c r="AF117" s="227">
        <f t="shared" ca="1" si="15"/>
        <v>14080.768034383154</v>
      </c>
      <c r="AG117" s="225">
        <f t="shared" ca="1" si="16"/>
        <v>14360.540787495469</v>
      </c>
      <c r="AH117" s="220"/>
      <c r="AI117" s="97"/>
      <c r="AJ117" s="97"/>
      <c r="AK117" s="97"/>
      <c r="AL117" s="97"/>
      <c r="AM117" s="97"/>
      <c r="AP117" s="157"/>
      <c r="AQ117" s="191"/>
      <c r="AR117" s="191"/>
      <c r="AS117" s="192"/>
      <c r="AT117" s="193"/>
      <c r="AU117" s="194"/>
      <c r="AV117" s="194"/>
      <c r="AW117" s="193"/>
      <c r="AX117" s="194"/>
      <c r="AY117" s="193"/>
      <c r="AZ117" s="195"/>
    </row>
    <row r="118" spans="1:52" ht="15.5" x14ac:dyDescent="0.35">
      <c r="A118" s="197">
        <f t="shared" si="5"/>
        <v>182</v>
      </c>
      <c r="B118" s="98">
        <f t="shared" si="17"/>
        <v>59</v>
      </c>
      <c r="C118" s="99">
        <f t="shared" ca="1" si="22"/>
        <v>47853</v>
      </c>
      <c r="D118" s="100">
        <f t="shared" ca="1" si="23"/>
        <v>985626.37598586956</v>
      </c>
      <c r="E118" s="100">
        <f t="shared" ca="1" si="24"/>
        <v>12714.580250217718</v>
      </c>
      <c r="F118" s="100">
        <f t="shared" ca="1" si="25"/>
        <v>998340.95623608725</v>
      </c>
      <c r="G118" s="100">
        <f t="shared" ca="1" si="20"/>
        <v>1366.1877841654368</v>
      </c>
      <c r="H118" s="100">
        <f t="shared" ca="1" si="9"/>
        <v>14080.768034383154</v>
      </c>
      <c r="I118" s="100">
        <f t="shared" ca="1" si="26"/>
        <v>168.5421102935837</v>
      </c>
      <c r="J118" s="100">
        <f t="shared" ca="1" si="11"/>
        <v>111</v>
      </c>
      <c r="K118" s="100">
        <f t="shared" ca="1" si="27"/>
        <v>14360.310144676738</v>
      </c>
      <c r="L118" s="101">
        <f t="shared" ca="1" si="28"/>
        <v>984260.18820170406</v>
      </c>
      <c r="M118" s="12"/>
      <c r="N118" s="12"/>
      <c r="O118" s="12"/>
      <c r="Q118" s="118">
        <f t="shared" ca="1" si="29"/>
        <v>40.985633524963106</v>
      </c>
      <c r="R118" s="119">
        <f t="shared" ca="1" si="3"/>
        <v>31</v>
      </c>
      <c r="S118" s="120">
        <v>365</v>
      </c>
      <c r="U118" s="123">
        <v>31</v>
      </c>
      <c r="V118" s="137">
        <v>1.284E-4</v>
      </c>
      <c r="W118" s="137" t="s">
        <v>76</v>
      </c>
      <c r="AC118" s="224">
        <v>1770</v>
      </c>
      <c r="AD118" s="225">
        <f t="shared" ca="1" si="13"/>
        <v>14080.768034383154</v>
      </c>
      <c r="AE118" s="226">
        <f t="shared" ca="1" si="14"/>
        <v>47853</v>
      </c>
      <c r="AF118" s="227">
        <f t="shared" ca="1" si="15"/>
        <v>14080.768034383154</v>
      </c>
      <c r="AG118" s="225">
        <f t="shared" ca="1" si="16"/>
        <v>14360.310144676738</v>
      </c>
      <c r="AH118" s="220"/>
      <c r="AI118" s="97"/>
      <c r="AJ118" s="97"/>
      <c r="AK118" s="97"/>
      <c r="AL118" s="97"/>
      <c r="AM118" s="97"/>
      <c r="AP118" s="157"/>
      <c r="AQ118" s="186"/>
      <c r="AR118" s="186"/>
      <c r="AS118" s="187"/>
      <c r="AT118" s="188"/>
      <c r="AU118" s="189"/>
      <c r="AV118" s="189"/>
      <c r="AW118" s="188"/>
      <c r="AX118" s="189"/>
      <c r="AY118" s="188"/>
      <c r="AZ118" s="190"/>
    </row>
    <row r="119" spans="1:52" ht="15.5" x14ac:dyDescent="0.35">
      <c r="A119" s="197">
        <f t="shared" si="5"/>
        <v>181</v>
      </c>
      <c r="B119" s="98">
        <f t="shared" si="17"/>
        <v>60</v>
      </c>
      <c r="C119" s="99">
        <f t="shared" ca="1" si="22"/>
        <v>47884</v>
      </c>
      <c r="D119" s="100">
        <f t="shared" ca="1" si="23"/>
        <v>984260.18820170406</v>
      </c>
      <c r="E119" s="100">
        <f t="shared" ca="1" si="24"/>
        <v>12696.956427801982</v>
      </c>
      <c r="F119" s="100">
        <f t="shared" ca="1" si="25"/>
        <v>996957.14462950605</v>
      </c>
      <c r="G119" s="100">
        <f t="shared" ca="1" si="20"/>
        <v>1383.8116065811719</v>
      </c>
      <c r="H119" s="100">
        <f t="shared" ca="1" si="9"/>
        <v>14080.768034383154</v>
      </c>
      <c r="I119" s="100">
        <f t="shared" ca="1" si="26"/>
        <v>168.30849218249139</v>
      </c>
      <c r="J119" s="100">
        <f t="shared" ca="1" si="11"/>
        <v>111</v>
      </c>
      <c r="K119" s="100">
        <f t="shared" ca="1" si="27"/>
        <v>14360.076526565646</v>
      </c>
      <c r="L119" s="101">
        <f t="shared" ca="1" si="28"/>
        <v>982876.37659512286</v>
      </c>
      <c r="M119" s="12"/>
      <c r="N119" s="12"/>
      <c r="O119" s="12"/>
      <c r="Q119" s="118">
        <f t="shared" ca="1" si="29"/>
        <v>41.514348197435154</v>
      </c>
      <c r="R119" s="119">
        <f t="shared" ca="1" si="3"/>
        <v>31</v>
      </c>
      <c r="S119" s="120">
        <v>365</v>
      </c>
      <c r="U119" s="123">
        <v>32</v>
      </c>
      <c r="V119" s="137">
        <v>1.284E-4</v>
      </c>
      <c r="W119" s="137" t="s">
        <v>76</v>
      </c>
      <c r="AC119" s="224">
        <v>1800</v>
      </c>
      <c r="AD119" s="225">
        <f t="shared" ca="1" si="13"/>
        <v>14080.768034383154</v>
      </c>
      <c r="AE119" s="226">
        <f t="shared" ca="1" si="14"/>
        <v>47884</v>
      </c>
      <c r="AF119" s="227">
        <f t="shared" ca="1" si="15"/>
        <v>14080.768034383154</v>
      </c>
      <c r="AG119" s="225">
        <f t="shared" ca="1" si="16"/>
        <v>14360.076526565646</v>
      </c>
      <c r="AH119" s="220"/>
      <c r="AI119" s="97"/>
      <c r="AJ119" s="97"/>
      <c r="AK119" s="97"/>
      <c r="AL119" s="97"/>
      <c r="AM119" s="97"/>
      <c r="AP119" s="157"/>
      <c r="AQ119" s="191"/>
      <c r="AR119" s="191"/>
      <c r="AS119" s="192"/>
      <c r="AT119" s="193"/>
      <c r="AU119" s="194"/>
      <c r="AV119" s="194"/>
      <c r="AW119" s="193"/>
      <c r="AX119" s="194"/>
      <c r="AY119" s="193"/>
      <c r="AZ119" s="195"/>
    </row>
    <row r="120" spans="1:52" ht="15.5" x14ac:dyDescent="0.35">
      <c r="A120" s="197">
        <f t="shared" si="5"/>
        <v>180</v>
      </c>
      <c r="B120" s="98">
        <f t="shared" si="17"/>
        <v>61</v>
      </c>
      <c r="C120" s="99">
        <f t="shared" ca="1" si="22"/>
        <v>47912</v>
      </c>
      <c r="D120" s="100">
        <f t="shared" ca="1" si="23"/>
        <v>982876.37659512286</v>
      </c>
      <c r="E120" s="100">
        <f t="shared" ca="1" si="24"/>
        <v>12679.105258077085</v>
      </c>
      <c r="F120" s="100">
        <f t="shared" ca="1" si="25"/>
        <v>995555.48185319989</v>
      </c>
      <c r="G120" s="100">
        <f t="shared" ca="1" si="20"/>
        <v>1401.662776306066</v>
      </c>
      <c r="H120" s="100">
        <f t="shared" ca="1" si="9"/>
        <v>14080.768034383151</v>
      </c>
      <c r="I120" s="100">
        <f t="shared" ca="1" si="26"/>
        <v>168.07186039776602</v>
      </c>
      <c r="J120" s="100">
        <f t="shared" ca="1" si="11"/>
        <v>111</v>
      </c>
      <c r="K120" s="100">
        <f t="shared" ca="1" si="27"/>
        <v>14359.839894780916</v>
      </c>
      <c r="L120" s="101">
        <f t="shared" ca="1" si="28"/>
        <v>981474.71381881682</v>
      </c>
      <c r="M120" s="12"/>
      <c r="N120" s="12"/>
      <c r="O120" s="12"/>
      <c r="Q120" s="118">
        <f t="shared" ca="1" si="29"/>
        <v>42.049883289181977</v>
      </c>
      <c r="R120" s="119">
        <f t="shared" ca="1" si="3"/>
        <v>28</v>
      </c>
      <c r="S120" s="120">
        <v>365</v>
      </c>
      <c r="U120" s="123">
        <v>33</v>
      </c>
      <c r="V120" s="137">
        <v>1.284E-4</v>
      </c>
      <c r="W120" s="137" t="s">
        <v>76</v>
      </c>
      <c r="AC120" s="224">
        <v>1830</v>
      </c>
      <c r="AD120" s="225">
        <f t="shared" ca="1" si="13"/>
        <v>14080.768034383151</v>
      </c>
      <c r="AE120" s="226">
        <f t="shared" ca="1" si="14"/>
        <v>47912</v>
      </c>
      <c r="AF120" s="227">
        <f t="shared" ca="1" si="15"/>
        <v>14080.768034383151</v>
      </c>
      <c r="AG120" s="225">
        <f t="shared" ca="1" si="16"/>
        <v>14359.839894780916</v>
      </c>
      <c r="AH120" s="220"/>
      <c r="AI120" s="97"/>
      <c r="AJ120" s="97"/>
      <c r="AK120" s="97"/>
      <c r="AL120" s="97"/>
      <c r="AM120" s="97"/>
      <c r="AP120" s="157"/>
      <c r="AQ120" s="186"/>
      <c r="AR120" s="186"/>
      <c r="AS120" s="187"/>
      <c r="AT120" s="188"/>
      <c r="AU120" s="189"/>
      <c r="AV120" s="189"/>
      <c r="AW120" s="188"/>
      <c r="AX120" s="189"/>
      <c r="AY120" s="188"/>
      <c r="AZ120" s="190"/>
    </row>
    <row r="121" spans="1:52" ht="15.5" x14ac:dyDescent="0.35">
      <c r="A121" s="197">
        <f t="shared" si="5"/>
        <v>179</v>
      </c>
      <c r="B121" s="98">
        <f t="shared" si="17"/>
        <v>62</v>
      </c>
      <c r="C121" s="99">
        <f t="shared" ca="1" si="22"/>
        <v>47943</v>
      </c>
      <c r="D121" s="100">
        <f t="shared" ca="1" si="23"/>
        <v>981474.71381881682</v>
      </c>
      <c r="E121" s="100">
        <f t="shared" ca="1" si="24"/>
        <v>12661.023808262737</v>
      </c>
      <c r="F121" s="100">
        <f t="shared" ca="1" si="25"/>
        <v>994135.73762707959</v>
      </c>
      <c r="G121" s="100">
        <f t="shared" ca="1" si="20"/>
        <v>1419.7442261204178</v>
      </c>
      <c r="H121" s="100">
        <f t="shared" ca="1" si="9"/>
        <v>14080.768034383154</v>
      </c>
      <c r="I121" s="100">
        <f t="shared" ca="1" si="26"/>
        <v>167.8321760630177</v>
      </c>
      <c r="J121" s="100">
        <f t="shared" ca="1" si="11"/>
        <v>111</v>
      </c>
      <c r="K121" s="100">
        <f t="shared" ca="1" si="27"/>
        <v>14359.600210446171</v>
      </c>
      <c r="L121" s="101">
        <f t="shared" ca="1" si="28"/>
        <v>980054.96959269641</v>
      </c>
      <c r="M121" s="12"/>
      <c r="N121" s="12"/>
      <c r="O121" s="12"/>
      <c r="Q121" s="118">
        <f t="shared" ca="1" si="29"/>
        <v>42.592326783612535</v>
      </c>
      <c r="R121" s="119">
        <f t="shared" ca="1" si="3"/>
        <v>31</v>
      </c>
      <c r="S121" s="120">
        <v>365</v>
      </c>
      <c r="U121" s="123">
        <v>34</v>
      </c>
      <c r="V121" s="137">
        <v>1.284E-4</v>
      </c>
      <c r="W121" s="137" t="s">
        <v>76</v>
      </c>
      <c r="AC121" s="224">
        <v>1860</v>
      </c>
      <c r="AD121" s="225">
        <f t="shared" ca="1" si="13"/>
        <v>14080.768034383154</v>
      </c>
      <c r="AE121" s="226">
        <f t="shared" ca="1" si="14"/>
        <v>47943</v>
      </c>
      <c r="AF121" s="227">
        <f t="shared" ca="1" si="15"/>
        <v>14080.768034383154</v>
      </c>
      <c r="AG121" s="225">
        <f t="shared" ca="1" si="16"/>
        <v>14359.600210446171</v>
      </c>
      <c r="AH121" s="220"/>
      <c r="AI121" s="97"/>
      <c r="AJ121" s="97"/>
      <c r="AK121" s="97"/>
      <c r="AL121" s="97"/>
      <c r="AM121" s="97"/>
      <c r="AP121" s="157"/>
      <c r="AQ121" s="191"/>
      <c r="AR121" s="191"/>
      <c r="AS121" s="192"/>
      <c r="AT121" s="193"/>
      <c r="AU121" s="194"/>
      <c r="AV121" s="194"/>
      <c r="AW121" s="193"/>
      <c r="AX121" s="194"/>
      <c r="AY121" s="193"/>
      <c r="AZ121" s="195"/>
    </row>
    <row r="122" spans="1:52" ht="15.5" x14ac:dyDescent="0.35">
      <c r="A122" s="197">
        <f t="shared" si="5"/>
        <v>178</v>
      </c>
      <c r="B122" s="98">
        <f t="shared" si="17"/>
        <v>63</v>
      </c>
      <c r="C122" s="99">
        <f t="shared" ca="1" si="22"/>
        <v>47973</v>
      </c>
      <c r="D122" s="100">
        <f t="shared" ca="1" si="23"/>
        <v>980054.96959269641</v>
      </c>
      <c r="E122" s="100">
        <f t="shared" ca="1" si="24"/>
        <v>12642.709107745784</v>
      </c>
      <c r="F122" s="100">
        <f t="shared" ca="1" si="25"/>
        <v>992697.67870044219</v>
      </c>
      <c r="G122" s="100">
        <f t="shared" ca="1" si="20"/>
        <v>1438.05892663737</v>
      </c>
      <c r="H122" s="100">
        <f t="shared" ca="1" si="9"/>
        <v>14080.768034383154</v>
      </c>
      <c r="I122" s="100">
        <f t="shared" ca="1" si="26"/>
        <v>167.58939980035109</v>
      </c>
      <c r="J122" s="100">
        <f t="shared" ca="1" si="11"/>
        <v>111</v>
      </c>
      <c r="K122" s="100">
        <f t="shared" ca="1" si="27"/>
        <v>14359.357434183505</v>
      </c>
      <c r="L122" s="101">
        <f t="shared" ca="1" si="28"/>
        <v>978616.910666059</v>
      </c>
      <c r="M122" s="12"/>
      <c r="N122" s="12"/>
      <c r="O122" s="12"/>
      <c r="Q122" s="118">
        <f t="shared" ca="1" si="29"/>
        <v>43.141767799121098</v>
      </c>
      <c r="R122" s="119">
        <f t="shared" ca="1" si="3"/>
        <v>30</v>
      </c>
      <c r="S122" s="120">
        <v>365</v>
      </c>
      <c r="U122" s="123">
        <v>35</v>
      </c>
      <c r="V122" s="137">
        <v>1.284E-4</v>
      </c>
      <c r="W122" s="137" t="s">
        <v>76</v>
      </c>
      <c r="AC122" s="224">
        <v>1890</v>
      </c>
      <c r="AD122" s="225">
        <f t="shared" ca="1" si="13"/>
        <v>14080.768034383154</v>
      </c>
      <c r="AE122" s="226">
        <f t="shared" ca="1" si="14"/>
        <v>47973</v>
      </c>
      <c r="AF122" s="227">
        <f t="shared" ca="1" si="15"/>
        <v>14080.768034383154</v>
      </c>
      <c r="AG122" s="225">
        <f t="shared" ca="1" si="16"/>
        <v>14359.357434183505</v>
      </c>
      <c r="AH122" s="220"/>
      <c r="AI122" s="97"/>
      <c r="AJ122" s="97"/>
      <c r="AK122" s="97"/>
      <c r="AL122" s="97"/>
      <c r="AM122" s="97"/>
      <c r="AP122" s="157"/>
      <c r="AQ122" s="186"/>
      <c r="AR122" s="186"/>
      <c r="AS122" s="187"/>
      <c r="AT122" s="188"/>
      <c r="AU122" s="189"/>
      <c r="AV122" s="189"/>
      <c r="AW122" s="188"/>
      <c r="AX122" s="189"/>
      <c r="AY122" s="188"/>
      <c r="AZ122" s="190"/>
    </row>
    <row r="123" spans="1:52" ht="15.5" x14ac:dyDescent="0.35">
      <c r="A123" s="197">
        <f t="shared" si="5"/>
        <v>177</v>
      </c>
      <c r="B123" s="98">
        <f t="shared" si="17"/>
        <v>64</v>
      </c>
      <c r="C123" s="99">
        <f t="shared" ca="1" si="22"/>
        <v>48004</v>
      </c>
      <c r="D123" s="100">
        <f t="shared" ca="1" si="23"/>
        <v>978616.910666059</v>
      </c>
      <c r="E123" s="100">
        <f t="shared" ca="1" si="24"/>
        <v>12624.158147592161</v>
      </c>
      <c r="F123" s="100">
        <f t="shared" ca="1" si="25"/>
        <v>991241.06881365122</v>
      </c>
      <c r="G123" s="100">
        <f t="shared" ca="1" si="20"/>
        <v>1456.6098867909932</v>
      </c>
      <c r="H123" s="100">
        <f t="shared" ca="1" si="9"/>
        <v>14080.768034383154</v>
      </c>
      <c r="I123" s="100">
        <f t="shared" ca="1" si="26"/>
        <v>167.34349172389611</v>
      </c>
      <c r="J123" s="100">
        <f t="shared" ca="1" si="11"/>
        <v>111</v>
      </c>
      <c r="K123" s="100">
        <f t="shared" ca="1" si="27"/>
        <v>14359.11152610705</v>
      </c>
      <c r="L123" s="101">
        <f t="shared" ca="1" si="28"/>
        <v>977160.30077926803</v>
      </c>
      <c r="M123" s="12"/>
      <c r="N123" s="12"/>
      <c r="O123" s="12"/>
      <c r="Q123" s="118">
        <f t="shared" ca="1" si="29"/>
        <v>43.698296603729794</v>
      </c>
      <c r="R123" s="119">
        <f t="shared" ca="1" si="3"/>
        <v>31</v>
      </c>
      <c r="S123" s="120">
        <v>365</v>
      </c>
      <c r="U123" s="123">
        <v>36</v>
      </c>
      <c r="V123" s="123">
        <v>2.2239999999999998E-4</v>
      </c>
      <c r="W123" s="123" t="s">
        <v>78</v>
      </c>
      <c r="AC123" s="224">
        <v>1920</v>
      </c>
      <c r="AD123" s="225">
        <f t="shared" ca="1" si="13"/>
        <v>14080.768034383154</v>
      </c>
      <c r="AE123" s="226">
        <f t="shared" ca="1" si="14"/>
        <v>48004</v>
      </c>
      <c r="AF123" s="227">
        <f t="shared" ca="1" si="15"/>
        <v>14080.768034383154</v>
      </c>
      <c r="AG123" s="225">
        <f t="shared" ca="1" si="16"/>
        <v>14359.11152610705</v>
      </c>
      <c r="AH123" s="220"/>
      <c r="AI123" s="97"/>
      <c r="AJ123" s="97"/>
      <c r="AK123" s="97"/>
      <c r="AL123" s="97"/>
      <c r="AM123" s="97"/>
      <c r="AP123" s="157"/>
      <c r="AQ123" s="191"/>
      <c r="AR123" s="191"/>
      <c r="AS123" s="192"/>
      <c r="AT123" s="193"/>
      <c r="AU123" s="194"/>
      <c r="AV123" s="194"/>
      <c r="AW123" s="193"/>
      <c r="AX123" s="194"/>
      <c r="AY123" s="193"/>
      <c r="AZ123" s="195"/>
    </row>
    <row r="124" spans="1:52" ht="15.5" x14ac:dyDescent="0.35">
      <c r="A124" s="197">
        <f t="shared" si="5"/>
        <v>176</v>
      </c>
      <c r="B124" s="98">
        <f t="shared" si="17"/>
        <v>65</v>
      </c>
      <c r="C124" s="99">
        <f t="shared" ca="1" si="22"/>
        <v>48034</v>
      </c>
      <c r="D124" s="100">
        <f t="shared" ca="1" si="23"/>
        <v>977160.30077926803</v>
      </c>
      <c r="E124" s="100">
        <f t="shared" ca="1" si="24"/>
        <v>12605.367880052558</v>
      </c>
      <c r="F124" s="100">
        <f t="shared" ca="1" si="25"/>
        <v>989765.66865932057</v>
      </c>
      <c r="G124" s="100">
        <f t="shared" ca="1" si="20"/>
        <v>1475.4001543305967</v>
      </c>
      <c r="H124" s="100">
        <f t="shared" ca="1" si="9"/>
        <v>14080.768034383154</v>
      </c>
      <c r="I124" s="100">
        <f t="shared" ca="1" si="26"/>
        <v>167.09441143325483</v>
      </c>
      <c r="J124" s="100">
        <f t="shared" ca="1" si="11"/>
        <v>111</v>
      </c>
      <c r="K124" s="100">
        <f t="shared" ca="1" si="27"/>
        <v>14358.862445816409</v>
      </c>
      <c r="L124" s="101">
        <f t="shared" ca="1" si="28"/>
        <v>975684.90062493738</v>
      </c>
      <c r="M124" s="12"/>
      <c r="N124" s="12"/>
      <c r="O124" s="12"/>
      <c r="Q124" s="118">
        <f t="shared" ca="1" si="29"/>
        <v>44.262004629917897</v>
      </c>
      <c r="R124" s="119">
        <f t="shared" ref="R124:R187" ca="1" si="30">IF($B124&lt;=$J$21,C124-C123,)</f>
        <v>30</v>
      </c>
      <c r="S124" s="120">
        <v>365</v>
      </c>
      <c r="U124" s="123">
        <v>37</v>
      </c>
      <c r="V124" s="123">
        <v>2.2239999999999998E-4</v>
      </c>
      <c r="W124" s="123" t="s">
        <v>78</v>
      </c>
      <c r="AC124" s="224">
        <v>1950</v>
      </c>
      <c r="AD124" s="225">
        <f t="shared" ca="1" si="13"/>
        <v>14080.768034383154</v>
      </c>
      <c r="AE124" s="226">
        <f t="shared" ca="1" si="14"/>
        <v>48034</v>
      </c>
      <c r="AF124" s="227">
        <f t="shared" ca="1" si="15"/>
        <v>14080.768034383154</v>
      </c>
      <c r="AG124" s="225">
        <f t="shared" ca="1" si="16"/>
        <v>14358.862445816409</v>
      </c>
      <c r="AH124" s="220"/>
      <c r="AI124" s="97"/>
      <c r="AJ124" s="97"/>
      <c r="AK124" s="97"/>
      <c r="AL124" s="97"/>
      <c r="AM124" s="97"/>
      <c r="AP124" s="157"/>
      <c r="AQ124" s="186"/>
      <c r="AR124" s="186"/>
      <c r="AS124" s="187"/>
      <c r="AT124" s="188"/>
      <c r="AU124" s="189"/>
      <c r="AV124" s="189"/>
      <c r="AW124" s="188"/>
      <c r="AX124" s="189"/>
      <c r="AY124" s="188"/>
      <c r="AZ124" s="190"/>
    </row>
    <row r="125" spans="1:52" ht="15.5" x14ac:dyDescent="0.35">
      <c r="A125" s="197">
        <f t="shared" ref="A125:A188" si="31">IFERROR(IF(A124-1&lt;1,"",A124-1),"")</f>
        <v>175</v>
      </c>
      <c r="B125" s="98">
        <f t="shared" si="17"/>
        <v>66</v>
      </c>
      <c r="C125" s="99">
        <f t="shared" ca="1" si="22"/>
        <v>48065</v>
      </c>
      <c r="D125" s="100">
        <f t="shared" ca="1" si="23"/>
        <v>975684.90062493738</v>
      </c>
      <c r="E125" s="100">
        <f t="shared" ca="1" si="24"/>
        <v>12586.335218061693</v>
      </c>
      <c r="F125" s="100">
        <f t="shared" ca="1" si="25"/>
        <v>988271.23584299907</v>
      </c>
      <c r="G125" s="100">
        <f t="shared" ca="1" si="20"/>
        <v>1494.4328163214614</v>
      </c>
      <c r="H125" s="100">
        <f t="shared" ref="H125:H188" ca="1" si="32">IF($D$9&gt;=B125,0,IF(D125="","",
IF(SISTEMA_AMORTIZAÇÃO=PRICE_PRE,(PMT(TAXA,A125,$D125,)*-1),
IF(SISTEMA_AMORTIZAÇÃO=SAC_POS,(D125/A125)+(D125*TAXA)))))</f>
        <v>14080.768034383154</v>
      </c>
      <c r="I125" s="100">
        <f t="shared" ca="1" si="26"/>
        <v>166.8421180068643</v>
      </c>
      <c r="J125" s="100">
        <f t="shared" ref="J125:J188" ca="1" si="33">IF(B125="","",IF(L124="","",IF(L124=0,"",$K$33*$J$17)))</f>
        <v>111</v>
      </c>
      <c r="K125" s="100">
        <f t="shared" ca="1" si="27"/>
        <v>14358.610152390018</v>
      </c>
      <c r="L125" s="101">
        <f t="shared" ca="1" si="28"/>
        <v>974190.46780861588</v>
      </c>
      <c r="M125" s="12"/>
      <c r="N125" s="12"/>
      <c r="O125" s="12"/>
      <c r="Q125" s="118">
        <f t="shared" ca="1" si="29"/>
        <v>44.832984489643842</v>
      </c>
      <c r="R125" s="119">
        <f t="shared" ca="1" si="30"/>
        <v>31</v>
      </c>
      <c r="S125" s="120">
        <v>365</v>
      </c>
      <c r="U125" s="123">
        <v>38</v>
      </c>
      <c r="V125" s="123">
        <v>2.2239999999999998E-4</v>
      </c>
      <c r="W125" s="123" t="s">
        <v>78</v>
      </c>
      <c r="AC125" s="224">
        <v>1980</v>
      </c>
      <c r="AD125" s="225">
        <f t="shared" ref="AD125:AD188" ca="1" si="34">IF(H125="",0,H125)</f>
        <v>14080.768034383154</v>
      </c>
      <c r="AE125" s="226">
        <f t="shared" ref="AE125:AE188" ca="1" si="35">IF(C125="",0,C125)</f>
        <v>48065</v>
      </c>
      <c r="AF125" s="227">
        <f t="shared" ref="AF125:AF188" ca="1" si="36">IF(AD125="",0,AD125)</f>
        <v>14080.768034383154</v>
      </c>
      <c r="AG125" s="225">
        <f t="shared" ref="AG125:AG188" ca="1" si="37">IF(K125="",0,K125)</f>
        <v>14358.610152390018</v>
      </c>
      <c r="AH125" s="220"/>
      <c r="AI125" s="97"/>
      <c r="AJ125" s="97"/>
      <c r="AK125" s="97"/>
      <c r="AL125" s="97"/>
      <c r="AM125" s="97"/>
      <c r="AP125" s="157"/>
      <c r="AQ125" s="191"/>
      <c r="AR125" s="191"/>
      <c r="AS125" s="192"/>
      <c r="AT125" s="193"/>
      <c r="AU125" s="194"/>
      <c r="AV125" s="194"/>
      <c r="AW125" s="193"/>
      <c r="AX125" s="194"/>
      <c r="AY125" s="193"/>
      <c r="AZ125" s="195"/>
    </row>
    <row r="126" spans="1:52" ht="15.5" x14ac:dyDescent="0.35">
      <c r="A126" s="197">
        <f t="shared" si="31"/>
        <v>174</v>
      </c>
      <c r="B126" s="98">
        <f t="shared" ref="B126:B189" si="38">IF(IF(AND(B125&gt;0,B125&lt;$J$21),B125+1,0)=0,"",IF(AND(B125&gt;0,B125&lt;$J$21),B125+1,0))</f>
        <v>67</v>
      </c>
      <c r="C126" s="99">
        <f t="shared" ca="1" si="22"/>
        <v>48096</v>
      </c>
      <c r="D126" s="100">
        <f t="shared" ca="1" si="23"/>
        <v>974190.46780861588</v>
      </c>
      <c r="E126" s="100">
        <f t="shared" ca="1" si="24"/>
        <v>12567.057034731144</v>
      </c>
      <c r="F126" s="100">
        <f t="shared" ca="1" si="25"/>
        <v>986757.52484334703</v>
      </c>
      <c r="G126" s="100">
        <f t="shared" ca="1" si="20"/>
        <v>1513.7109996520066</v>
      </c>
      <c r="H126" s="100">
        <f t="shared" ca="1" si="32"/>
        <v>14080.768034383151</v>
      </c>
      <c r="I126" s="100">
        <f t="shared" ca="1" si="26"/>
        <v>166.58656999527332</v>
      </c>
      <c r="J126" s="100">
        <f t="shared" ca="1" si="33"/>
        <v>111</v>
      </c>
      <c r="K126" s="100">
        <f t="shared" ca="1" si="27"/>
        <v>14358.354604378424</v>
      </c>
      <c r="L126" s="101">
        <f t="shared" ca="1" si="28"/>
        <v>972676.75680896384</v>
      </c>
      <c r="M126" s="12"/>
      <c r="N126" s="12"/>
      <c r="O126" s="12"/>
      <c r="Q126" s="118">
        <f t="shared" ca="1" si="29"/>
        <v>45.411329989560201</v>
      </c>
      <c r="R126" s="119">
        <f t="shared" ca="1" si="30"/>
        <v>31</v>
      </c>
      <c r="S126" s="120">
        <v>365</v>
      </c>
      <c r="U126" s="123">
        <v>39</v>
      </c>
      <c r="V126" s="123">
        <v>2.2239999999999998E-4</v>
      </c>
      <c r="W126" s="123" t="s">
        <v>78</v>
      </c>
      <c r="AC126" s="224">
        <v>2010</v>
      </c>
      <c r="AD126" s="225">
        <f t="shared" ca="1" si="34"/>
        <v>14080.768034383151</v>
      </c>
      <c r="AE126" s="226">
        <f t="shared" ca="1" si="35"/>
        <v>48096</v>
      </c>
      <c r="AF126" s="227">
        <f t="shared" ca="1" si="36"/>
        <v>14080.768034383151</v>
      </c>
      <c r="AG126" s="225">
        <f t="shared" ca="1" si="37"/>
        <v>14358.354604378424</v>
      </c>
      <c r="AH126" s="220"/>
      <c r="AI126" s="97"/>
      <c r="AJ126" s="97"/>
      <c r="AK126" s="97"/>
      <c r="AL126" s="97"/>
      <c r="AM126" s="97"/>
      <c r="AP126" s="157"/>
      <c r="AQ126" s="186"/>
      <c r="AR126" s="186"/>
      <c r="AS126" s="187"/>
      <c r="AT126" s="188"/>
      <c r="AU126" s="189"/>
      <c r="AV126" s="189"/>
      <c r="AW126" s="188"/>
      <c r="AX126" s="189"/>
      <c r="AY126" s="188"/>
      <c r="AZ126" s="190"/>
    </row>
    <row r="127" spans="1:52" ht="15.5" x14ac:dyDescent="0.35">
      <c r="A127" s="197">
        <f t="shared" si="31"/>
        <v>173</v>
      </c>
      <c r="B127" s="98">
        <f t="shared" si="38"/>
        <v>68</v>
      </c>
      <c r="C127" s="99">
        <f t="shared" ca="1" si="22"/>
        <v>48126</v>
      </c>
      <c r="D127" s="100">
        <f t="shared" ca="1" si="23"/>
        <v>972676.75680896384</v>
      </c>
      <c r="E127" s="100">
        <f t="shared" ca="1" si="24"/>
        <v>12547.530162835634</v>
      </c>
      <c r="F127" s="100">
        <f t="shared" ca="1" si="25"/>
        <v>985224.28697179945</v>
      </c>
      <c r="G127" s="100">
        <f t="shared" ca="1" si="20"/>
        <v>1533.237871547517</v>
      </c>
      <c r="H127" s="100">
        <f t="shared" ca="1" si="32"/>
        <v>14080.768034383151</v>
      </c>
      <c r="I127" s="100">
        <f t="shared" ca="1" si="26"/>
        <v>166.32772541433283</v>
      </c>
      <c r="J127" s="100">
        <f t="shared" ca="1" si="33"/>
        <v>111</v>
      </c>
      <c r="K127" s="100">
        <f t="shared" ca="1" si="27"/>
        <v>14358.095759797483</v>
      </c>
      <c r="L127" s="101">
        <f t="shared" ca="1" si="28"/>
        <v>971143.51893741637</v>
      </c>
      <c r="M127" s="12"/>
      <c r="N127" s="12"/>
      <c r="O127" s="12"/>
      <c r="Q127" s="118">
        <f t="shared" ca="1" si="29"/>
        <v>45.997136146425511</v>
      </c>
      <c r="R127" s="119">
        <f t="shared" ca="1" si="30"/>
        <v>30</v>
      </c>
      <c r="S127" s="120">
        <v>365</v>
      </c>
      <c r="U127" s="123">
        <v>40</v>
      </c>
      <c r="V127" s="123">
        <v>2.2239999999999998E-4</v>
      </c>
      <c r="W127" s="123" t="s">
        <v>78</v>
      </c>
      <c r="AC127" s="224">
        <v>2040</v>
      </c>
      <c r="AD127" s="225">
        <f t="shared" ca="1" si="34"/>
        <v>14080.768034383151</v>
      </c>
      <c r="AE127" s="226">
        <f t="shared" ca="1" si="35"/>
        <v>48126</v>
      </c>
      <c r="AF127" s="227">
        <f t="shared" ca="1" si="36"/>
        <v>14080.768034383151</v>
      </c>
      <c r="AG127" s="225">
        <f t="shared" ca="1" si="37"/>
        <v>14358.095759797483</v>
      </c>
      <c r="AH127" s="220"/>
      <c r="AI127" s="97"/>
      <c r="AJ127" s="97"/>
      <c r="AK127" s="97"/>
      <c r="AL127" s="97"/>
      <c r="AM127" s="97"/>
      <c r="AP127" s="157"/>
      <c r="AQ127" s="191"/>
      <c r="AR127" s="191"/>
      <c r="AS127" s="192"/>
      <c r="AT127" s="193"/>
      <c r="AU127" s="194"/>
      <c r="AV127" s="194"/>
      <c r="AW127" s="193"/>
      <c r="AX127" s="194"/>
      <c r="AY127" s="193"/>
      <c r="AZ127" s="195"/>
    </row>
    <row r="128" spans="1:52" ht="15.5" x14ac:dyDescent="0.35">
      <c r="A128" s="197">
        <f t="shared" si="31"/>
        <v>172</v>
      </c>
      <c r="B128" s="98">
        <f t="shared" si="38"/>
        <v>69</v>
      </c>
      <c r="C128" s="99">
        <f t="shared" ca="1" si="22"/>
        <v>48157</v>
      </c>
      <c r="D128" s="100">
        <f t="shared" ca="1" si="23"/>
        <v>971143.51893741637</v>
      </c>
      <c r="E128" s="100">
        <f t="shared" ca="1" si="24"/>
        <v>12527.751394292671</v>
      </c>
      <c r="F128" s="100">
        <f t="shared" ca="1" si="25"/>
        <v>983671.27033170906</v>
      </c>
      <c r="G128" s="100">
        <f t="shared" ca="1" si="20"/>
        <v>1553.0166400904836</v>
      </c>
      <c r="H128" s="100">
        <f t="shared" ca="1" si="32"/>
        <v>14080.768034383154</v>
      </c>
      <c r="I128" s="100">
        <f t="shared" ca="1" si="26"/>
        <v>166.06554173829821</v>
      </c>
      <c r="J128" s="100">
        <f t="shared" ca="1" si="33"/>
        <v>111</v>
      </c>
      <c r="K128" s="100">
        <f t="shared" ca="1" si="27"/>
        <v>14357.833576121453</v>
      </c>
      <c r="L128" s="101">
        <f t="shared" ca="1" si="28"/>
        <v>969590.50229732587</v>
      </c>
      <c r="M128" s="12"/>
      <c r="N128" s="12"/>
      <c r="O128" s="12"/>
      <c r="Q128" s="118">
        <f t="shared" ca="1" si="29"/>
        <v>46.590499202714504</v>
      </c>
      <c r="R128" s="119">
        <f t="shared" ca="1" si="30"/>
        <v>31</v>
      </c>
      <c r="S128" s="120">
        <v>365</v>
      </c>
      <c r="U128" s="123">
        <v>41</v>
      </c>
      <c r="V128" s="123">
        <v>3.2539999999999999E-4</v>
      </c>
      <c r="W128" s="123" t="s">
        <v>79</v>
      </c>
      <c r="AC128" s="224">
        <v>2070</v>
      </c>
      <c r="AD128" s="225">
        <f t="shared" ca="1" si="34"/>
        <v>14080.768034383154</v>
      </c>
      <c r="AE128" s="226">
        <f t="shared" ca="1" si="35"/>
        <v>48157</v>
      </c>
      <c r="AF128" s="227">
        <f t="shared" ca="1" si="36"/>
        <v>14080.768034383154</v>
      </c>
      <c r="AG128" s="225">
        <f t="shared" ca="1" si="37"/>
        <v>14357.833576121453</v>
      </c>
      <c r="AH128" s="220"/>
      <c r="AI128" s="97"/>
      <c r="AJ128" s="97"/>
      <c r="AK128" s="97"/>
      <c r="AL128" s="97"/>
      <c r="AM128" s="97"/>
      <c r="AP128" s="157"/>
      <c r="AQ128" s="186"/>
      <c r="AR128" s="186"/>
      <c r="AS128" s="187"/>
      <c r="AT128" s="188"/>
      <c r="AU128" s="189"/>
      <c r="AV128" s="189"/>
      <c r="AW128" s="188"/>
      <c r="AX128" s="189"/>
      <c r="AY128" s="188"/>
      <c r="AZ128" s="190"/>
    </row>
    <row r="129" spans="1:52" ht="15.5" x14ac:dyDescent="0.35">
      <c r="A129" s="197">
        <f t="shared" si="31"/>
        <v>171</v>
      </c>
      <c r="B129" s="98">
        <f t="shared" si="38"/>
        <v>70</v>
      </c>
      <c r="C129" s="99">
        <f t="shared" ca="1" si="22"/>
        <v>48187</v>
      </c>
      <c r="D129" s="100">
        <f t="shared" ca="1" si="23"/>
        <v>969590.50229732587</v>
      </c>
      <c r="E129" s="100">
        <f t="shared" ca="1" si="24"/>
        <v>12507.717479635503</v>
      </c>
      <c r="F129" s="100">
        <f t="shared" ca="1" si="25"/>
        <v>982098.21977696137</v>
      </c>
      <c r="G129" s="100">
        <f t="shared" ca="1" si="20"/>
        <v>1573.0505547476478</v>
      </c>
      <c r="H129" s="100">
        <f t="shared" ca="1" si="32"/>
        <v>14080.768034383151</v>
      </c>
      <c r="I129" s="100">
        <f t="shared" ca="1" si="26"/>
        <v>165.79997589284272</v>
      </c>
      <c r="J129" s="100">
        <f t="shared" ca="1" si="33"/>
        <v>111</v>
      </c>
      <c r="K129" s="100">
        <f t="shared" ca="1" si="27"/>
        <v>14357.568010275994</v>
      </c>
      <c r="L129" s="101">
        <f t="shared" ca="1" si="28"/>
        <v>968017.45174257818</v>
      </c>
      <c r="M129" s="12"/>
      <c r="N129" s="12"/>
      <c r="O129" s="12"/>
      <c r="Q129" s="118">
        <f t="shared" ca="1" si="29"/>
        <v>47.191516642429434</v>
      </c>
      <c r="R129" s="119">
        <f t="shared" ca="1" si="30"/>
        <v>30</v>
      </c>
      <c r="S129" s="120">
        <v>365</v>
      </c>
      <c r="U129" s="123">
        <v>42</v>
      </c>
      <c r="V129" s="123">
        <v>3.2539999999999999E-4</v>
      </c>
      <c r="W129" s="123" t="s">
        <v>79</v>
      </c>
      <c r="AC129" s="224">
        <v>2100</v>
      </c>
      <c r="AD129" s="225">
        <f t="shared" ca="1" si="34"/>
        <v>14080.768034383151</v>
      </c>
      <c r="AE129" s="226">
        <f t="shared" ca="1" si="35"/>
        <v>48187</v>
      </c>
      <c r="AF129" s="227">
        <f t="shared" ca="1" si="36"/>
        <v>14080.768034383151</v>
      </c>
      <c r="AG129" s="225">
        <f t="shared" ca="1" si="37"/>
        <v>14357.568010275994</v>
      </c>
      <c r="AH129" s="220"/>
      <c r="AI129" s="97"/>
      <c r="AJ129" s="97"/>
      <c r="AK129" s="97"/>
      <c r="AL129" s="97"/>
      <c r="AM129" s="97"/>
      <c r="AP129" s="157"/>
      <c r="AQ129" s="191"/>
      <c r="AR129" s="191"/>
      <c r="AS129" s="192"/>
      <c r="AT129" s="193"/>
      <c r="AU129" s="194"/>
      <c r="AV129" s="194"/>
      <c r="AW129" s="193"/>
      <c r="AX129" s="194"/>
      <c r="AY129" s="193"/>
      <c r="AZ129" s="195"/>
    </row>
    <row r="130" spans="1:52" ht="15.5" x14ac:dyDescent="0.35">
      <c r="A130" s="197">
        <f t="shared" si="31"/>
        <v>170</v>
      </c>
      <c r="B130" s="98">
        <f t="shared" si="38"/>
        <v>71</v>
      </c>
      <c r="C130" s="99">
        <f t="shared" ca="1" si="22"/>
        <v>48218</v>
      </c>
      <c r="D130" s="100">
        <f t="shared" ca="1" si="23"/>
        <v>968017.45174257818</v>
      </c>
      <c r="E130" s="100">
        <f t="shared" ca="1" si="24"/>
        <v>12487.425127479259</v>
      </c>
      <c r="F130" s="100">
        <f t="shared" ca="1" si="25"/>
        <v>980504.87687005743</v>
      </c>
      <c r="G130" s="100">
        <f t="shared" ca="1" si="20"/>
        <v>1593.3429069038921</v>
      </c>
      <c r="H130" s="100">
        <f t="shared" ca="1" si="32"/>
        <v>14080.768034383151</v>
      </c>
      <c r="I130" s="100">
        <f t="shared" ca="1" si="26"/>
        <v>165.53098424798088</v>
      </c>
      <c r="J130" s="100">
        <f t="shared" ca="1" si="33"/>
        <v>111</v>
      </c>
      <c r="K130" s="100">
        <f t="shared" ca="1" si="27"/>
        <v>14357.299018631131</v>
      </c>
      <c r="L130" s="101">
        <f t="shared" ca="1" si="28"/>
        <v>966424.10883567424</v>
      </c>
      <c r="M130" s="12"/>
      <c r="N130" s="12"/>
      <c r="O130" s="12"/>
      <c r="Q130" s="118">
        <f t="shared" ca="1" si="29"/>
        <v>47.80028720711676</v>
      </c>
      <c r="R130" s="119">
        <f t="shared" ca="1" si="30"/>
        <v>31</v>
      </c>
      <c r="S130" s="120">
        <v>365</v>
      </c>
      <c r="U130" s="123">
        <v>43</v>
      </c>
      <c r="V130" s="123">
        <v>3.2539999999999999E-4</v>
      </c>
      <c r="W130" s="123" t="s">
        <v>79</v>
      </c>
      <c r="AC130" s="224">
        <v>2130</v>
      </c>
      <c r="AD130" s="225">
        <f t="shared" ca="1" si="34"/>
        <v>14080.768034383151</v>
      </c>
      <c r="AE130" s="226">
        <f t="shared" ca="1" si="35"/>
        <v>48218</v>
      </c>
      <c r="AF130" s="227">
        <f t="shared" ca="1" si="36"/>
        <v>14080.768034383151</v>
      </c>
      <c r="AG130" s="225">
        <f t="shared" ca="1" si="37"/>
        <v>14357.299018631131</v>
      </c>
      <c r="AH130" s="220"/>
      <c r="AI130" s="97"/>
      <c r="AJ130" s="97"/>
      <c r="AK130" s="97"/>
      <c r="AL130" s="97"/>
      <c r="AM130" s="97"/>
      <c r="AP130" s="157"/>
      <c r="AQ130" s="186"/>
      <c r="AR130" s="186"/>
      <c r="AS130" s="187"/>
      <c r="AT130" s="188"/>
      <c r="AU130" s="189"/>
      <c r="AV130" s="189"/>
      <c r="AW130" s="188"/>
      <c r="AX130" s="189"/>
      <c r="AY130" s="188"/>
      <c r="AZ130" s="190"/>
    </row>
    <row r="131" spans="1:52" ht="15.5" x14ac:dyDescent="0.35">
      <c r="A131" s="197">
        <f t="shared" si="31"/>
        <v>169</v>
      </c>
      <c r="B131" s="98">
        <f t="shared" si="38"/>
        <v>72</v>
      </c>
      <c r="C131" s="99">
        <f t="shared" ca="1" si="22"/>
        <v>48249</v>
      </c>
      <c r="D131" s="100">
        <f t="shared" ca="1" si="23"/>
        <v>966424.10883567424</v>
      </c>
      <c r="E131" s="100">
        <f t="shared" ca="1" si="24"/>
        <v>12466.871003980197</v>
      </c>
      <c r="F131" s="100">
        <f t="shared" ca="1" si="25"/>
        <v>978890.97983965441</v>
      </c>
      <c r="G131" s="100">
        <f t="shared" ca="1" si="20"/>
        <v>1613.8970304029535</v>
      </c>
      <c r="H131" s="100">
        <f t="shared" ca="1" si="32"/>
        <v>14080.768034383151</v>
      </c>
      <c r="I131" s="100">
        <f t="shared" ca="1" si="26"/>
        <v>165.25852261090031</v>
      </c>
      <c r="J131" s="100">
        <f t="shared" ca="1" si="33"/>
        <v>111</v>
      </c>
      <c r="K131" s="100">
        <f t="shared" ca="1" si="27"/>
        <v>14357.026556994051</v>
      </c>
      <c r="L131" s="101">
        <f t="shared" ca="1" si="28"/>
        <v>964810.21180527133</v>
      </c>
      <c r="M131" s="12"/>
      <c r="N131" s="12"/>
      <c r="O131" s="12"/>
      <c r="Q131" s="118">
        <f t="shared" ca="1" si="29"/>
        <v>48.416910912088603</v>
      </c>
      <c r="R131" s="119">
        <f t="shared" ca="1" si="30"/>
        <v>31</v>
      </c>
      <c r="S131" s="120">
        <v>365</v>
      </c>
      <c r="U131" s="123">
        <v>44</v>
      </c>
      <c r="V131" s="123">
        <v>3.2539999999999999E-4</v>
      </c>
      <c r="W131" s="123" t="s">
        <v>79</v>
      </c>
      <c r="AC131" s="224">
        <v>2160</v>
      </c>
      <c r="AD131" s="225">
        <f t="shared" ca="1" si="34"/>
        <v>14080.768034383151</v>
      </c>
      <c r="AE131" s="226">
        <f t="shared" ca="1" si="35"/>
        <v>48249</v>
      </c>
      <c r="AF131" s="227">
        <f t="shared" ca="1" si="36"/>
        <v>14080.768034383151</v>
      </c>
      <c r="AG131" s="225">
        <f t="shared" ca="1" si="37"/>
        <v>14357.026556994051</v>
      </c>
      <c r="AH131" s="220"/>
      <c r="AI131" s="97"/>
      <c r="AJ131" s="97"/>
      <c r="AK131" s="97"/>
      <c r="AL131" s="97"/>
      <c r="AM131" s="97"/>
      <c r="AP131" s="157"/>
      <c r="AQ131" s="191"/>
      <c r="AR131" s="191"/>
      <c r="AS131" s="192"/>
      <c r="AT131" s="193"/>
      <c r="AU131" s="194"/>
      <c r="AV131" s="194"/>
      <c r="AW131" s="193"/>
      <c r="AX131" s="194"/>
      <c r="AY131" s="193"/>
      <c r="AZ131" s="195"/>
    </row>
    <row r="132" spans="1:52" ht="15.5" x14ac:dyDescent="0.35">
      <c r="A132" s="197">
        <f t="shared" si="31"/>
        <v>168</v>
      </c>
      <c r="B132" s="98">
        <f t="shared" si="38"/>
        <v>73</v>
      </c>
      <c r="C132" s="99">
        <f t="shared" ca="1" si="22"/>
        <v>48278</v>
      </c>
      <c r="D132" s="100">
        <f t="shared" ca="1" si="23"/>
        <v>964810.21180527133</v>
      </c>
      <c r="E132" s="100">
        <f t="shared" ca="1" si="24"/>
        <v>12446.051732288</v>
      </c>
      <c r="F132" s="100">
        <f t="shared" ca="1" si="25"/>
        <v>977256.26353755931</v>
      </c>
      <c r="G132" s="100">
        <f t="shared" ca="1" si="20"/>
        <v>1634.7163020951502</v>
      </c>
      <c r="H132" s="100">
        <f t="shared" ca="1" si="32"/>
        <v>14080.768034383151</v>
      </c>
      <c r="I132" s="100">
        <f t="shared" ca="1" si="26"/>
        <v>164.9825462187014</v>
      </c>
      <c r="J132" s="100">
        <f t="shared" ca="1" si="33"/>
        <v>111</v>
      </c>
      <c r="K132" s="100">
        <f t="shared" ca="1" si="27"/>
        <v>14356.750580601853</v>
      </c>
      <c r="L132" s="101">
        <f t="shared" ca="1" si="28"/>
        <v>963175.49550317624</v>
      </c>
      <c r="M132" s="12"/>
      <c r="N132" s="12"/>
      <c r="O132" s="12"/>
      <c r="Q132" s="118">
        <f t="shared" ca="1" si="29"/>
        <v>49.041489062854502</v>
      </c>
      <c r="R132" s="119">
        <f t="shared" ca="1" si="30"/>
        <v>29</v>
      </c>
      <c r="S132" s="120">
        <v>365</v>
      </c>
      <c r="U132" s="123">
        <v>45</v>
      </c>
      <c r="V132" s="123">
        <v>3.2539999999999999E-4</v>
      </c>
      <c r="W132" s="123" t="s">
        <v>79</v>
      </c>
      <c r="AC132" s="224">
        <v>2190</v>
      </c>
      <c r="AD132" s="225">
        <f t="shared" ca="1" si="34"/>
        <v>14080.768034383151</v>
      </c>
      <c r="AE132" s="226">
        <f t="shared" ca="1" si="35"/>
        <v>48278</v>
      </c>
      <c r="AF132" s="227">
        <f t="shared" ca="1" si="36"/>
        <v>14080.768034383151</v>
      </c>
      <c r="AG132" s="225">
        <f t="shared" ca="1" si="37"/>
        <v>14356.750580601853</v>
      </c>
      <c r="AH132" s="220"/>
      <c r="AI132" s="97"/>
      <c r="AJ132" s="97"/>
      <c r="AK132" s="97"/>
      <c r="AL132" s="97"/>
      <c r="AM132" s="97"/>
      <c r="AP132" s="157"/>
      <c r="AQ132" s="186"/>
      <c r="AR132" s="186"/>
      <c r="AS132" s="187"/>
      <c r="AT132" s="188"/>
      <c r="AU132" s="189"/>
      <c r="AV132" s="189"/>
      <c r="AW132" s="188"/>
      <c r="AX132" s="189"/>
      <c r="AY132" s="188"/>
      <c r="AZ132" s="190"/>
    </row>
    <row r="133" spans="1:52" ht="15.5" x14ac:dyDescent="0.35">
      <c r="A133" s="197">
        <f t="shared" si="31"/>
        <v>167</v>
      </c>
      <c r="B133" s="98">
        <f t="shared" si="38"/>
        <v>74</v>
      </c>
      <c r="C133" s="99">
        <f t="shared" ca="1" si="22"/>
        <v>48309</v>
      </c>
      <c r="D133" s="100">
        <f t="shared" ca="1" si="23"/>
        <v>963175.49550317624</v>
      </c>
      <c r="E133" s="100">
        <f t="shared" ca="1" si="24"/>
        <v>12424.963891990974</v>
      </c>
      <c r="F133" s="100">
        <f t="shared" ca="1" si="25"/>
        <v>975600.45939516718</v>
      </c>
      <c r="G133" s="100">
        <f t="shared" ca="1" si="20"/>
        <v>1655.8041423921768</v>
      </c>
      <c r="H133" s="100">
        <f t="shared" ca="1" si="32"/>
        <v>14080.768034383151</v>
      </c>
      <c r="I133" s="100">
        <f t="shared" ca="1" si="26"/>
        <v>164.70300973104315</v>
      </c>
      <c r="J133" s="100">
        <f t="shared" ca="1" si="33"/>
        <v>111</v>
      </c>
      <c r="K133" s="100">
        <f t="shared" ca="1" si="27"/>
        <v>14356.471044114194</v>
      </c>
      <c r="L133" s="101">
        <f t="shared" ca="1" si="28"/>
        <v>961519.69136078411</v>
      </c>
      <c r="M133" s="12"/>
      <c r="N133" s="12"/>
      <c r="O133" s="12"/>
      <c r="Q133" s="118">
        <f t="shared" ca="1" si="29"/>
        <v>49.674124271765301</v>
      </c>
      <c r="R133" s="119">
        <f t="shared" ca="1" si="30"/>
        <v>31</v>
      </c>
      <c r="S133" s="120">
        <v>365</v>
      </c>
      <c r="U133" s="123">
        <v>46</v>
      </c>
      <c r="V133" s="123">
        <v>3.2539999999999999E-4</v>
      </c>
      <c r="W133" s="123" t="s">
        <v>79</v>
      </c>
      <c r="AC133" s="224">
        <v>2220</v>
      </c>
      <c r="AD133" s="225">
        <f t="shared" ca="1" si="34"/>
        <v>14080.768034383151</v>
      </c>
      <c r="AE133" s="226">
        <f t="shared" ca="1" si="35"/>
        <v>48309</v>
      </c>
      <c r="AF133" s="227">
        <f t="shared" ca="1" si="36"/>
        <v>14080.768034383151</v>
      </c>
      <c r="AG133" s="225">
        <f t="shared" ca="1" si="37"/>
        <v>14356.471044114194</v>
      </c>
      <c r="AH133" s="220"/>
      <c r="AI133" s="97"/>
      <c r="AJ133" s="97"/>
      <c r="AK133" s="97"/>
      <c r="AL133" s="97"/>
      <c r="AM133" s="97"/>
      <c r="AP133" s="157"/>
      <c r="AQ133" s="191"/>
      <c r="AR133" s="191"/>
      <c r="AS133" s="192"/>
      <c r="AT133" s="193"/>
      <c r="AU133" s="194"/>
      <c r="AV133" s="194"/>
      <c r="AW133" s="193"/>
      <c r="AX133" s="194"/>
      <c r="AY133" s="193"/>
      <c r="AZ133" s="195"/>
    </row>
    <row r="134" spans="1:52" ht="15.5" x14ac:dyDescent="0.35">
      <c r="A134" s="197">
        <f t="shared" si="31"/>
        <v>166</v>
      </c>
      <c r="B134" s="98">
        <f t="shared" si="38"/>
        <v>75</v>
      </c>
      <c r="C134" s="99">
        <f t="shared" ca="1" si="22"/>
        <v>48339</v>
      </c>
      <c r="D134" s="100">
        <f t="shared" ca="1" si="23"/>
        <v>961519.69136078411</v>
      </c>
      <c r="E134" s="100">
        <f t="shared" ca="1" si="24"/>
        <v>12403.604018554115</v>
      </c>
      <c r="F134" s="100">
        <f t="shared" ca="1" si="25"/>
        <v>973923.2953793382</v>
      </c>
      <c r="G134" s="100">
        <f t="shared" ca="1" si="20"/>
        <v>1677.1640158290393</v>
      </c>
      <c r="H134" s="100">
        <f t="shared" ca="1" si="32"/>
        <v>14080.768034383154</v>
      </c>
      <c r="I134" s="100">
        <f t="shared" ca="1" si="26"/>
        <v>164.41986722269408</v>
      </c>
      <c r="J134" s="100">
        <f t="shared" ca="1" si="33"/>
        <v>111</v>
      </c>
      <c r="K134" s="100">
        <f t="shared" ca="1" si="27"/>
        <v>14356.187901605848</v>
      </c>
      <c r="L134" s="101">
        <f t="shared" ca="1" si="28"/>
        <v>959842.52734495513</v>
      </c>
      <c r="M134" s="12"/>
      <c r="N134" s="12"/>
      <c r="O134" s="12"/>
      <c r="Q134" s="118">
        <f t="shared" ca="1" si="29"/>
        <v>50.31492047487118</v>
      </c>
      <c r="R134" s="119">
        <f t="shared" ca="1" si="30"/>
        <v>30</v>
      </c>
      <c r="S134" s="120">
        <v>365</v>
      </c>
      <c r="U134" s="123">
        <v>47</v>
      </c>
      <c r="V134" s="123">
        <v>3.2539999999999999E-4</v>
      </c>
      <c r="W134" s="123" t="s">
        <v>79</v>
      </c>
      <c r="AC134" s="224">
        <v>2250</v>
      </c>
      <c r="AD134" s="225">
        <f t="shared" ca="1" si="34"/>
        <v>14080.768034383154</v>
      </c>
      <c r="AE134" s="226">
        <f t="shared" ca="1" si="35"/>
        <v>48339</v>
      </c>
      <c r="AF134" s="227">
        <f t="shared" ca="1" si="36"/>
        <v>14080.768034383154</v>
      </c>
      <c r="AG134" s="225">
        <f t="shared" ca="1" si="37"/>
        <v>14356.187901605848</v>
      </c>
      <c r="AH134" s="220"/>
      <c r="AI134" s="97"/>
      <c r="AJ134" s="97"/>
      <c r="AK134" s="97"/>
      <c r="AL134" s="97"/>
      <c r="AM134" s="97"/>
      <c r="AP134" s="157"/>
      <c r="AQ134" s="186"/>
      <c r="AR134" s="186"/>
      <c r="AS134" s="187"/>
      <c r="AT134" s="188"/>
      <c r="AU134" s="189"/>
      <c r="AV134" s="189"/>
      <c r="AW134" s="188"/>
      <c r="AX134" s="189"/>
      <c r="AY134" s="188"/>
      <c r="AZ134" s="190"/>
    </row>
    <row r="135" spans="1:52" ht="15.5" x14ac:dyDescent="0.35">
      <c r="A135" s="197">
        <f t="shared" si="31"/>
        <v>165</v>
      </c>
      <c r="B135" s="98">
        <f t="shared" si="38"/>
        <v>76</v>
      </c>
      <c r="C135" s="99">
        <f t="shared" ca="1" si="22"/>
        <v>48370</v>
      </c>
      <c r="D135" s="100">
        <f t="shared" ca="1" si="23"/>
        <v>959842.52734495513</v>
      </c>
      <c r="E135" s="100">
        <f t="shared" ca="1" si="24"/>
        <v>12381.968602749921</v>
      </c>
      <c r="F135" s="100">
        <f t="shared" ca="1" si="25"/>
        <v>972224.495947705</v>
      </c>
      <c r="G135" s="100">
        <f t="shared" ca="1" si="20"/>
        <v>1698.7994316332333</v>
      </c>
      <c r="H135" s="100">
        <f t="shared" ca="1" si="32"/>
        <v>14080.768034383154</v>
      </c>
      <c r="I135" s="100">
        <f t="shared" ca="1" si="26"/>
        <v>164.13307217598734</v>
      </c>
      <c r="J135" s="100">
        <f t="shared" ca="1" si="33"/>
        <v>111</v>
      </c>
      <c r="K135" s="100">
        <f t="shared" ca="1" si="27"/>
        <v>14355.901106559142</v>
      </c>
      <c r="L135" s="101">
        <f t="shared" ca="1" si="28"/>
        <v>958143.72791332193</v>
      </c>
      <c r="M135" s="12"/>
      <c r="N135" s="12"/>
      <c r="O135" s="12"/>
      <c r="Q135" s="118">
        <f t="shared" ca="1" si="29"/>
        <v>50.963982948997</v>
      </c>
      <c r="R135" s="119">
        <f t="shared" ca="1" si="30"/>
        <v>31</v>
      </c>
      <c r="S135" s="120">
        <v>365</v>
      </c>
      <c r="U135" s="123">
        <v>48</v>
      </c>
      <c r="V135" s="123">
        <v>3.2539999999999999E-4</v>
      </c>
      <c r="W135" s="123" t="s">
        <v>79</v>
      </c>
      <c r="AC135" s="224">
        <v>2280</v>
      </c>
      <c r="AD135" s="225">
        <f t="shared" ca="1" si="34"/>
        <v>14080.768034383154</v>
      </c>
      <c r="AE135" s="226">
        <f t="shared" ca="1" si="35"/>
        <v>48370</v>
      </c>
      <c r="AF135" s="227">
        <f t="shared" ca="1" si="36"/>
        <v>14080.768034383154</v>
      </c>
      <c r="AG135" s="225">
        <f t="shared" ca="1" si="37"/>
        <v>14355.901106559142</v>
      </c>
      <c r="AH135" s="220"/>
      <c r="AI135" s="97"/>
      <c r="AJ135" s="97"/>
      <c r="AK135" s="97"/>
      <c r="AL135" s="97"/>
      <c r="AM135" s="97"/>
      <c r="AP135" s="157"/>
      <c r="AQ135" s="191"/>
      <c r="AR135" s="191"/>
      <c r="AS135" s="192"/>
      <c r="AT135" s="193"/>
      <c r="AU135" s="194"/>
      <c r="AV135" s="194"/>
      <c r="AW135" s="193"/>
      <c r="AX135" s="194"/>
      <c r="AY135" s="193"/>
      <c r="AZ135" s="195"/>
    </row>
    <row r="136" spans="1:52" ht="15.5" x14ac:dyDescent="0.35">
      <c r="A136" s="197">
        <f t="shared" si="31"/>
        <v>164</v>
      </c>
      <c r="B136" s="98">
        <f t="shared" si="38"/>
        <v>77</v>
      </c>
      <c r="C136" s="99">
        <f t="shared" ca="1" si="22"/>
        <v>48400</v>
      </c>
      <c r="D136" s="100">
        <f t="shared" ca="1" si="23"/>
        <v>958143.72791332193</v>
      </c>
      <c r="E136" s="100">
        <f t="shared" ca="1" si="24"/>
        <v>12360.054090081852</v>
      </c>
      <c r="F136" s="100">
        <f t="shared" ca="1" si="25"/>
        <v>970503.78200340376</v>
      </c>
      <c r="G136" s="100">
        <f t="shared" ref="G136:G199" ca="1" si="39">IF($D$9&gt;=B136,0,IFERROR(IF(C136="","",IF(SISTEMA_AMORTIZAÇÃO=PRICE_PRE,H136-E136,
IF(SISTEMA_AMORTIZAÇÃO=SAC_PRE,D136/A136,
IF(SISTEMA_AMORTIZAÇÃO=SAC_POS,D136/A136,)))),""))</f>
        <v>1720.713944301302</v>
      </c>
      <c r="H136" s="100">
        <f t="shared" ca="1" si="32"/>
        <v>14080.768034383154</v>
      </c>
      <c r="I136" s="100">
        <f t="shared" ca="1" si="26"/>
        <v>163.84257747317807</v>
      </c>
      <c r="J136" s="100">
        <f t="shared" ca="1" si="33"/>
        <v>111</v>
      </c>
      <c r="K136" s="100">
        <f t="shared" ca="1" si="27"/>
        <v>14355.610611856333</v>
      </c>
      <c r="L136" s="101">
        <f t="shared" ca="1" si="28"/>
        <v>956423.01396902057</v>
      </c>
      <c r="M136" s="12"/>
      <c r="N136" s="12"/>
      <c r="O136" s="12"/>
      <c r="Q136" s="118">
        <f t="shared" ref="Q136:Q199" ca="1" si="40">IFERROR(G136*$Q$44,0)</f>
        <v>51.621418329039059</v>
      </c>
      <c r="R136" s="119">
        <f t="shared" ca="1" si="30"/>
        <v>30</v>
      </c>
      <c r="S136" s="120">
        <v>365</v>
      </c>
      <c r="U136" s="123">
        <v>49</v>
      </c>
      <c r="V136" s="123">
        <v>3.2539999999999999E-4</v>
      </c>
      <c r="W136" s="123" t="s">
        <v>79</v>
      </c>
      <c r="AC136" s="224">
        <v>2310</v>
      </c>
      <c r="AD136" s="225">
        <f t="shared" ca="1" si="34"/>
        <v>14080.768034383154</v>
      </c>
      <c r="AE136" s="226">
        <f t="shared" ca="1" si="35"/>
        <v>48400</v>
      </c>
      <c r="AF136" s="227">
        <f t="shared" ca="1" si="36"/>
        <v>14080.768034383154</v>
      </c>
      <c r="AG136" s="225">
        <f t="shared" ca="1" si="37"/>
        <v>14355.610611856333</v>
      </c>
      <c r="AH136" s="220"/>
      <c r="AI136" s="97"/>
      <c r="AJ136" s="97"/>
      <c r="AK136" s="97"/>
      <c r="AL136" s="97"/>
      <c r="AM136" s="97"/>
      <c r="AP136" s="157"/>
      <c r="AQ136" s="186"/>
      <c r="AR136" s="186"/>
      <c r="AS136" s="187"/>
      <c r="AT136" s="188"/>
      <c r="AU136" s="189"/>
      <c r="AV136" s="189"/>
      <c r="AW136" s="188"/>
      <c r="AX136" s="189"/>
      <c r="AY136" s="188"/>
      <c r="AZ136" s="190"/>
    </row>
    <row r="137" spans="1:52" ht="15.5" x14ac:dyDescent="0.35">
      <c r="A137" s="197">
        <f t="shared" si="31"/>
        <v>163</v>
      </c>
      <c r="B137" s="98">
        <f t="shared" si="38"/>
        <v>78</v>
      </c>
      <c r="C137" s="99">
        <f t="shared" ref="C137:C200" ca="1" si="41">IFERROR(IF(B137&lt;=$J$21,DATE(YEAR(C136),MONTH(C136)+1,DAY(C136)),""),"")</f>
        <v>48431</v>
      </c>
      <c r="D137" s="100">
        <f t="shared" ref="D137:D200" ca="1" si="42">IF(B137="","",L136)</f>
        <v>956423.01396902057</v>
      </c>
      <c r="E137" s="100">
        <f t="shared" ref="E137:E200" ca="1" si="43">IFERROR(D137*TAXA,"")</f>
        <v>12337.856880200365</v>
      </c>
      <c r="F137" s="100">
        <f t="shared" ref="F137:F200" ca="1" si="44">IFERROR(D137+E137,"")</f>
        <v>968760.8708492209</v>
      </c>
      <c r="G137" s="100">
        <f t="shared" ca="1" si="39"/>
        <v>1742.9111541827897</v>
      </c>
      <c r="H137" s="100">
        <f t="shared" ca="1" si="32"/>
        <v>14080.768034383154</v>
      </c>
      <c r="I137" s="100">
        <f t="shared" ref="I137:I200" ca="1" si="45">IFERROR(D137*$K$32,"")</f>
        <v>163.54833538870253</v>
      </c>
      <c r="J137" s="100">
        <f t="shared" ca="1" si="33"/>
        <v>111</v>
      </c>
      <c r="K137" s="100">
        <f t="shared" ref="K137:K200" ca="1" si="46">IFERROR(SUM(J137+I137+H137),"")</f>
        <v>14355.316369771857</v>
      </c>
      <c r="L137" s="101">
        <f t="shared" ref="L137:L200" ca="1" si="47">IFERROR(D137-G137,"")</f>
        <v>954680.10281483782</v>
      </c>
      <c r="M137" s="12"/>
      <c r="N137" s="12"/>
      <c r="O137" s="12"/>
      <c r="Q137" s="118">
        <f t="shared" ca="1" si="40"/>
        <v>52.287334625483687</v>
      </c>
      <c r="R137" s="119">
        <f t="shared" ca="1" si="30"/>
        <v>31</v>
      </c>
      <c r="S137" s="120">
        <v>365</v>
      </c>
      <c r="U137" s="123">
        <v>50</v>
      </c>
      <c r="V137" s="123">
        <v>3.2539999999999999E-4</v>
      </c>
      <c r="W137" s="123" t="s">
        <v>79</v>
      </c>
      <c r="AC137" s="224">
        <v>2340</v>
      </c>
      <c r="AD137" s="225">
        <f t="shared" ca="1" si="34"/>
        <v>14080.768034383154</v>
      </c>
      <c r="AE137" s="226">
        <f t="shared" ca="1" si="35"/>
        <v>48431</v>
      </c>
      <c r="AF137" s="227">
        <f t="shared" ca="1" si="36"/>
        <v>14080.768034383154</v>
      </c>
      <c r="AG137" s="225">
        <f t="shared" ca="1" si="37"/>
        <v>14355.316369771857</v>
      </c>
      <c r="AH137" s="220"/>
      <c r="AI137" s="97"/>
      <c r="AJ137" s="97"/>
      <c r="AK137" s="97"/>
      <c r="AL137" s="97"/>
      <c r="AM137" s="97"/>
      <c r="AP137" s="157"/>
      <c r="AQ137" s="191"/>
      <c r="AR137" s="191"/>
      <c r="AS137" s="192"/>
      <c r="AT137" s="193"/>
      <c r="AU137" s="194"/>
      <c r="AV137" s="194"/>
      <c r="AW137" s="193"/>
      <c r="AX137" s="194"/>
      <c r="AY137" s="193"/>
      <c r="AZ137" s="195"/>
    </row>
    <row r="138" spans="1:52" ht="15.5" x14ac:dyDescent="0.35">
      <c r="A138" s="197">
        <f t="shared" si="31"/>
        <v>162</v>
      </c>
      <c r="B138" s="98">
        <f t="shared" si="38"/>
        <v>79</v>
      </c>
      <c r="C138" s="99">
        <f t="shared" ca="1" si="41"/>
        <v>48462</v>
      </c>
      <c r="D138" s="100">
        <f t="shared" ca="1" si="42"/>
        <v>954680.10281483782</v>
      </c>
      <c r="E138" s="100">
        <f t="shared" ca="1" si="43"/>
        <v>12315.373326311408</v>
      </c>
      <c r="F138" s="100">
        <f t="shared" ca="1" si="44"/>
        <v>966995.47614114918</v>
      </c>
      <c r="G138" s="100">
        <f t="shared" ca="1" si="39"/>
        <v>1765.3947080717462</v>
      </c>
      <c r="H138" s="100">
        <f t="shared" ca="1" si="32"/>
        <v>14080.768034383154</v>
      </c>
      <c r="I138" s="100">
        <f t="shared" ca="1" si="45"/>
        <v>163.25029758133726</v>
      </c>
      <c r="J138" s="100">
        <f t="shared" ca="1" si="33"/>
        <v>111</v>
      </c>
      <c r="K138" s="100">
        <f t="shared" ca="1" si="46"/>
        <v>14355.018331964491</v>
      </c>
      <c r="L138" s="101">
        <f t="shared" ca="1" si="47"/>
        <v>952914.70810676611</v>
      </c>
      <c r="M138" s="12"/>
      <c r="N138" s="12"/>
      <c r="O138" s="12"/>
      <c r="Q138" s="118">
        <f t="shared" ca="1" si="40"/>
        <v>52.961841242152381</v>
      </c>
      <c r="R138" s="119">
        <f t="shared" ca="1" si="30"/>
        <v>31</v>
      </c>
      <c r="S138" s="120">
        <v>365</v>
      </c>
      <c r="U138" s="123">
        <v>51</v>
      </c>
      <c r="V138" s="123">
        <v>1.2905E-3</v>
      </c>
      <c r="W138" s="123" t="s">
        <v>80</v>
      </c>
      <c r="AC138" s="224">
        <v>2370</v>
      </c>
      <c r="AD138" s="225">
        <f t="shared" ca="1" si="34"/>
        <v>14080.768034383154</v>
      </c>
      <c r="AE138" s="226">
        <f t="shared" ca="1" si="35"/>
        <v>48462</v>
      </c>
      <c r="AF138" s="227">
        <f t="shared" ca="1" si="36"/>
        <v>14080.768034383154</v>
      </c>
      <c r="AG138" s="225">
        <f t="shared" ca="1" si="37"/>
        <v>14355.018331964491</v>
      </c>
      <c r="AH138" s="220"/>
      <c r="AI138" s="97"/>
      <c r="AJ138" s="97"/>
      <c r="AK138" s="97"/>
      <c r="AL138" s="97"/>
      <c r="AM138" s="97"/>
      <c r="AP138" s="157"/>
      <c r="AQ138" s="186"/>
      <c r="AR138" s="186"/>
      <c r="AS138" s="187"/>
      <c r="AT138" s="188"/>
      <c r="AU138" s="189"/>
      <c r="AV138" s="189"/>
      <c r="AW138" s="188"/>
      <c r="AX138" s="189"/>
      <c r="AY138" s="188"/>
      <c r="AZ138" s="190"/>
    </row>
    <row r="139" spans="1:52" ht="15.5" x14ac:dyDescent="0.35">
      <c r="A139" s="197">
        <f t="shared" si="31"/>
        <v>161</v>
      </c>
      <c r="B139" s="98">
        <f t="shared" si="38"/>
        <v>80</v>
      </c>
      <c r="C139" s="99">
        <f t="shared" ca="1" si="41"/>
        <v>48492</v>
      </c>
      <c r="D139" s="100">
        <f t="shared" ca="1" si="42"/>
        <v>952914.70810676611</v>
      </c>
      <c r="E139" s="100">
        <f t="shared" ca="1" si="43"/>
        <v>12292.599734577283</v>
      </c>
      <c r="F139" s="100">
        <f t="shared" ca="1" si="44"/>
        <v>965207.30784134334</v>
      </c>
      <c r="G139" s="100">
        <f t="shared" ca="1" si="39"/>
        <v>1788.1682998058714</v>
      </c>
      <c r="H139" s="100">
        <f t="shared" ca="1" si="32"/>
        <v>14080.768034383154</v>
      </c>
      <c r="I139" s="100">
        <f t="shared" ca="1" si="45"/>
        <v>162.948415086257</v>
      </c>
      <c r="J139" s="100">
        <f t="shared" ca="1" si="33"/>
        <v>111</v>
      </c>
      <c r="K139" s="100">
        <f t="shared" ca="1" si="46"/>
        <v>14354.716449469412</v>
      </c>
      <c r="L139" s="101">
        <f t="shared" ca="1" si="47"/>
        <v>951126.53980696027</v>
      </c>
      <c r="M139" s="12"/>
      <c r="N139" s="12"/>
      <c r="O139" s="12"/>
      <c r="Q139" s="118">
        <f t="shared" ca="1" si="40"/>
        <v>53.645048994176136</v>
      </c>
      <c r="R139" s="119">
        <f t="shared" ca="1" si="30"/>
        <v>30</v>
      </c>
      <c r="S139" s="120">
        <v>365</v>
      </c>
      <c r="U139" s="123">
        <v>52</v>
      </c>
      <c r="V139" s="123">
        <v>1.2905E-3</v>
      </c>
      <c r="W139" s="123" t="s">
        <v>80</v>
      </c>
      <c r="AC139" s="224">
        <v>2400</v>
      </c>
      <c r="AD139" s="225">
        <f t="shared" ca="1" si="34"/>
        <v>14080.768034383154</v>
      </c>
      <c r="AE139" s="226">
        <f t="shared" ca="1" si="35"/>
        <v>48492</v>
      </c>
      <c r="AF139" s="227">
        <f t="shared" ca="1" si="36"/>
        <v>14080.768034383154</v>
      </c>
      <c r="AG139" s="225">
        <f t="shared" ca="1" si="37"/>
        <v>14354.716449469412</v>
      </c>
      <c r="AH139" s="220"/>
      <c r="AI139" s="97"/>
      <c r="AJ139" s="97"/>
      <c r="AK139" s="97"/>
      <c r="AL139" s="97"/>
      <c r="AM139" s="97"/>
      <c r="AP139" s="157"/>
      <c r="AQ139" s="191"/>
      <c r="AR139" s="191"/>
      <c r="AS139" s="192"/>
      <c r="AT139" s="193"/>
      <c r="AU139" s="194"/>
      <c r="AV139" s="194"/>
      <c r="AW139" s="193"/>
      <c r="AX139" s="194"/>
      <c r="AY139" s="193"/>
      <c r="AZ139" s="195"/>
    </row>
    <row r="140" spans="1:52" ht="15.5" x14ac:dyDescent="0.35">
      <c r="A140" s="197">
        <f t="shared" si="31"/>
        <v>160</v>
      </c>
      <c r="B140" s="98">
        <f t="shared" si="38"/>
        <v>81</v>
      </c>
      <c r="C140" s="99">
        <f t="shared" ca="1" si="41"/>
        <v>48523</v>
      </c>
      <c r="D140" s="100">
        <f t="shared" ca="1" si="42"/>
        <v>951126.53980696027</v>
      </c>
      <c r="E140" s="100">
        <f t="shared" ca="1" si="43"/>
        <v>12269.532363509787</v>
      </c>
      <c r="F140" s="100">
        <f t="shared" ca="1" si="44"/>
        <v>963396.07217047003</v>
      </c>
      <c r="G140" s="100">
        <f t="shared" ca="1" si="39"/>
        <v>1811.2356708733678</v>
      </c>
      <c r="H140" s="100">
        <f t="shared" ca="1" si="32"/>
        <v>14080.768034383154</v>
      </c>
      <c r="I140" s="100">
        <f t="shared" ca="1" si="45"/>
        <v>162.64263830699022</v>
      </c>
      <c r="J140" s="100">
        <f t="shared" ca="1" si="33"/>
        <v>111</v>
      </c>
      <c r="K140" s="100">
        <f t="shared" ca="1" si="46"/>
        <v>14354.410672690145</v>
      </c>
      <c r="L140" s="101">
        <f t="shared" ca="1" si="47"/>
        <v>949315.30413608695</v>
      </c>
      <c r="M140" s="12"/>
      <c r="N140" s="12"/>
      <c r="O140" s="12"/>
      <c r="Q140" s="118">
        <f t="shared" ca="1" si="40"/>
        <v>54.337070126201034</v>
      </c>
      <c r="R140" s="119">
        <f t="shared" ca="1" si="30"/>
        <v>31</v>
      </c>
      <c r="S140" s="120">
        <v>365</v>
      </c>
      <c r="U140" s="123">
        <v>53</v>
      </c>
      <c r="V140" s="123">
        <v>1.2905E-3</v>
      </c>
      <c r="W140" s="123" t="s">
        <v>80</v>
      </c>
      <c r="AC140" s="224">
        <v>2430</v>
      </c>
      <c r="AD140" s="225">
        <f t="shared" ca="1" si="34"/>
        <v>14080.768034383154</v>
      </c>
      <c r="AE140" s="226">
        <f t="shared" ca="1" si="35"/>
        <v>48523</v>
      </c>
      <c r="AF140" s="227">
        <f t="shared" ca="1" si="36"/>
        <v>14080.768034383154</v>
      </c>
      <c r="AG140" s="225">
        <f t="shared" ca="1" si="37"/>
        <v>14354.410672690145</v>
      </c>
      <c r="AH140" s="220"/>
      <c r="AI140" s="97"/>
      <c r="AJ140" s="97"/>
      <c r="AK140" s="97"/>
      <c r="AL140" s="97"/>
      <c r="AM140" s="97"/>
      <c r="AP140" s="157"/>
      <c r="AQ140" s="186"/>
      <c r="AR140" s="186"/>
      <c r="AS140" s="187"/>
      <c r="AT140" s="188"/>
      <c r="AU140" s="189"/>
      <c r="AV140" s="189"/>
      <c r="AW140" s="188"/>
      <c r="AX140" s="189"/>
      <c r="AY140" s="188"/>
      <c r="AZ140" s="190"/>
    </row>
    <row r="141" spans="1:52" ht="15.5" x14ac:dyDescent="0.35">
      <c r="A141" s="197">
        <f t="shared" si="31"/>
        <v>159</v>
      </c>
      <c r="B141" s="98">
        <f t="shared" si="38"/>
        <v>82</v>
      </c>
      <c r="C141" s="99">
        <f t="shared" ca="1" si="41"/>
        <v>48553</v>
      </c>
      <c r="D141" s="100">
        <f t="shared" ca="1" si="42"/>
        <v>949315.30413608695</v>
      </c>
      <c r="E141" s="100">
        <f t="shared" ca="1" si="43"/>
        <v>12246.167423355522</v>
      </c>
      <c r="F141" s="100">
        <f t="shared" ca="1" si="44"/>
        <v>961561.47155944246</v>
      </c>
      <c r="G141" s="100">
        <f t="shared" ca="1" si="39"/>
        <v>1834.6006110276321</v>
      </c>
      <c r="H141" s="100">
        <f t="shared" ca="1" si="32"/>
        <v>14080.768034383154</v>
      </c>
      <c r="I141" s="100">
        <f t="shared" ca="1" si="45"/>
        <v>162.33291700727088</v>
      </c>
      <c r="J141" s="100">
        <f t="shared" ca="1" si="33"/>
        <v>111</v>
      </c>
      <c r="K141" s="100">
        <f t="shared" ca="1" si="46"/>
        <v>14354.100951390425</v>
      </c>
      <c r="L141" s="101">
        <f t="shared" ca="1" si="47"/>
        <v>947480.70352505927</v>
      </c>
      <c r="M141" s="12"/>
      <c r="N141" s="12"/>
      <c r="O141" s="12"/>
      <c r="Q141" s="118">
        <f t="shared" ca="1" si="40"/>
        <v>55.038018330828962</v>
      </c>
      <c r="R141" s="119">
        <f t="shared" ca="1" si="30"/>
        <v>30</v>
      </c>
      <c r="S141" s="120">
        <v>365</v>
      </c>
      <c r="U141" s="123">
        <v>54</v>
      </c>
      <c r="V141" s="123">
        <v>1.2905E-3</v>
      </c>
      <c r="W141" s="123" t="s">
        <v>80</v>
      </c>
      <c r="AC141" s="224">
        <v>2460</v>
      </c>
      <c r="AD141" s="225">
        <f t="shared" ca="1" si="34"/>
        <v>14080.768034383154</v>
      </c>
      <c r="AE141" s="226">
        <f t="shared" ca="1" si="35"/>
        <v>48553</v>
      </c>
      <c r="AF141" s="227">
        <f t="shared" ca="1" si="36"/>
        <v>14080.768034383154</v>
      </c>
      <c r="AG141" s="225">
        <f t="shared" ca="1" si="37"/>
        <v>14354.100951390425</v>
      </c>
      <c r="AH141" s="220"/>
      <c r="AI141" s="97"/>
      <c r="AJ141" s="97"/>
      <c r="AK141" s="97"/>
      <c r="AL141" s="97"/>
      <c r="AM141" s="97"/>
      <c r="AP141" s="157"/>
      <c r="AQ141" s="191"/>
      <c r="AR141" s="191"/>
      <c r="AS141" s="192"/>
      <c r="AT141" s="193"/>
      <c r="AU141" s="194"/>
      <c r="AV141" s="194"/>
      <c r="AW141" s="193"/>
      <c r="AX141" s="194"/>
      <c r="AY141" s="193"/>
      <c r="AZ141" s="195"/>
    </row>
    <row r="142" spans="1:52" ht="15.5" x14ac:dyDescent="0.35">
      <c r="A142" s="197">
        <f t="shared" si="31"/>
        <v>158</v>
      </c>
      <c r="B142" s="98">
        <f t="shared" si="38"/>
        <v>83</v>
      </c>
      <c r="C142" s="99">
        <f t="shared" ca="1" si="41"/>
        <v>48584</v>
      </c>
      <c r="D142" s="100">
        <f t="shared" ca="1" si="42"/>
        <v>947480.70352505927</v>
      </c>
      <c r="E142" s="100">
        <f t="shared" ca="1" si="43"/>
        <v>12222.501075473265</v>
      </c>
      <c r="F142" s="100">
        <f t="shared" ca="1" si="44"/>
        <v>959703.20460053254</v>
      </c>
      <c r="G142" s="100">
        <f t="shared" ca="1" si="39"/>
        <v>1858.2669589098896</v>
      </c>
      <c r="H142" s="100">
        <f t="shared" ca="1" si="32"/>
        <v>14080.768034383154</v>
      </c>
      <c r="I142" s="100">
        <f t="shared" ca="1" si="45"/>
        <v>162.01920030278515</v>
      </c>
      <c r="J142" s="100">
        <f t="shared" ca="1" si="33"/>
        <v>111</v>
      </c>
      <c r="K142" s="100">
        <f t="shared" ca="1" si="46"/>
        <v>14353.78723468594</v>
      </c>
      <c r="L142" s="101">
        <f t="shared" ca="1" si="47"/>
        <v>945622.43656614935</v>
      </c>
      <c r="M142" s="12"/>
      <c r="N142" s="12"/>
      <c r="O142" s="12"/>
      <c r="Q142" s="118">
        <f t="shared" ca="1" si="40"/>
        <v>55.748008767296689</v>
      </c>
      <c r="R142" s="119">
        <f t="shared" ca="1" si="30"/>
        <v>31</v>
      </c>
      <c r="S142" s="120">
        <v>365</v>
      </c>
      <c r="U142" s="123">
        <v>55</v>
      </c>
      <c r="V142" s="123">
        <v>1.2905E-3</v>
      </c>
      <c r="W142" s="123" t="s">
        <v>80</v>
      </c>
      <c r="AC142" s="224">
        <v>2490</v>
      </c>
      <c r="AD142" s="225">
        <f t="shared" ca="1" si="34"/>
        <v>14080.768034383154</v>
      </c>
      <c r="AE142" s="226">
        <f t="shared" ca="1" si="35"/>
        <v>48584</v>
      </c>
      <c r="AF142" s="227">
        <f t="shared" ca="1" si="36"/>
        <v>14080.768034383154</v>
      </c>
      <c r="AG142" s="225">
        <f t="shared" ca="1" si="37"/>
        <v>14353.78723468594</v>
      </c>
      <c r="AH142" s="220"/>
      <c r="AI142" s="97"/>
      <c r="AJ142" s="97"/>
      <c r="AK142" s="97"/>
      <c r="AL142" s="97"/>
      <c r="AM142" s="97"/>
      <c r="AP142" s="157"/>
      <c r="AQ142" s="186"/>
      <c r="AR142" s="186"/>
      <c r="AS142" s="187"/>
      <c r="AT142" s="188"/>
      <c r="AU142" s="189"/>
      <c r="AV142" s="189"/>
      <c r="AW142" s="188"/>
      <c r="AX142" s="189"/>
      <c r="AY142" s="188"/>
      <c r="AZ142" s="190"/>
    </row>
    <row r="143" spans="1:52" ht="15.5" x14ac:dyDescent="0.35">
      <c r="A143" s="197">
        <f t="shared" si="31"/>
        <v>157</v>
      </c>
      <c r="B143" s="98">
        <f t="shared" si="38"/>
        <v>84</v>
      </c>
      <c r="C143" s="99">
        <f t="shared" ca="1" si="41"/>
        <v>48615</v>
      </c>
      <c r="D143" s="100">
        <f t="shared" ca="1" si="42"/>
        <v>945622.43656614935</v>
      </c>
      <c r="E143" s="100">
        <f t="shared" ca="1" si="43"/>
        <v>12198.529431703326</v>
      </c>
      <c r="F143" s="100">
        <f t="shared" ca="1" si="44"/>
        <v>957820.96599785262</v>
      </c>
      <c r="G143" s="100">
        <f t="shared" ca="1" si="39"/>
        <v>1882.2386026798285</v>
      </c>
      <c r="H143" s="100">
        <f t="shared" ca="1" si="32"/>
        <v>14080.768034383154</v>
      </c>
      <c r="I143" s="100">
        <f t="shared" ca="1" si="45"/>
        <v>161.70143665281154</v>
      </c>
      <c r="J143" s="100">
        <f t="shared" ca="1" si="33"/>
        <v>111</v>
      </c>
      <c r="K143" s="100">
        <f t="shared" ca="1" si="46"/>
        <v>14353.469471035965</v>
      </c>
      <c r="L143" s="101">
        <f t="shared" ca="1" si="47"/>
        <v>943740.19796346955</v>
      </c>
      <c r="M143" s="12"/>
      <c r="N143" s="12"/>
      <c r="O143" s="12"/>
      <c r="Q143" s="118">
        <f t="shared" ca="1" si="40"/>
        <v>56.467158080394853</v>
      </c>
      <c r="R143" s="119">
        <f t="shared" ca="1" si="30"/>
        <v>31</v>
      </c>
      <c r="S143" s="120">
        <v>365</v>
      </c>
      <c r="U143" s="123">
        <v>56</v>
      </c>
      <c r="V143" s="123">
        <v>1.2905E-3</v>
      </c>
      <c r="W143" s="123" t="s">
        <v>80</v>
      </c>
      <c r="AC143" s="224">
        <v>2520</v>
      </c>
      <c r="AD143" s="225">
        <f t="shared" ca="1" si="34"/>
        <v>14080.768034383154</v>
      </c>
      <c r="AE143" s="226">
        <f t="shared" ca="1" si="35"/>
        <v>48615</v>
      </c>
      <c r="AF143" s="227">
        <f t="shared" ca="1" si="36"/>
        <v>14080.768034383154</v>
      </c>
      <c r="AG143" s="225">
        <f t="shared" ca="1" si="37"/>
        <v>14353.469471035965</v>
      </c>
      <c r="AH143" s="220"/>
      <c r="AI143" s="97"/>
      <c r="AJ143" s="97"/>
      <c r="AK143" s="97"/>
      <c r="AL143" s="97"/>
      <c r="AM143" s="97"/>
      <c r="AP143" s="157"/>
      <c r="AQ143" s="191"/>
      <c r="AR143" s="191"/>
      <c r="AS143" s="192"/>
      <c r="AT143" s="193"/>
      <c r="AU143" s="194"/>
      <c r="AV143" s="194"/>
      <c r="AW143" s="193"/>
      <c r="AX143" s="194"/>
      <c r="AY143" s="193"/>
      <c r="AZ143" s="195"/>
    </row>
    <row r="144" spans="1:52" ht="15.5" x14ac:dyDescent="0.35">
      <c r="A144" s="197">
        <f t="shared" si="31"/>
        <v>156</v>
      </c>
      <c r="B144" s="98">
        <f t="shared" si="38"/>
        <v>85</v>
      </c>
      <c r="C144" s="99">
        <f t="shared" ca="1" si="41"/>
        <v>48643</v>
      </c>
      <c r="D144" s="100">
        <f t="shared" ca="1" si="42"/>
        <v>943740.19796346955</v>
      </c>
      <c r="E144" s="100">
        <f t="shared" ca="1" si="43"/>
        <v>12174.248553728758</v>
      </c>
      <c r="F144" s="100">
        <f t="shared" ca="1" si="44"/>
        <v>955914.44651719835</v>
      </c>
      <c r="G144" s="100">
        <f t="shared" ca="1" si="39"/>
        <v>1906.5194806543968</v>
      </c>
      <c r="H144" s="100">
        <f t="shared" ca="1" si="32"/>
        <v>14080.768034383154</v>
      </c>
      <c r="I144" s="100">
        <f t="shared" ca="1" si="45"/>
        <v>161.37957385175329</v>
      </c>
      <c r="J144" s="100">
        <f t="shared" ca="1" si="33"/>
        <v>111</v>
      </c>
      <c r="K144" s="100">
        <f t="shared" ca="1" si="46"/>
        <v>14353.147608234907</v>
      </c>
      <c r="L144" s="101">
        <f t="shared" ca="1" si="47"/>
        <v>941833.67848281516</v>
      </c>
      <c r="M144" s="12"/>
      <c r="N144" s="12"/>
      <c r="O144" s="12"/>
      <c r="Q144" s="118">
        <f t="shared" ca="1" si="40"/>
        <v>57.195584419631906</v>
      </c>
      <c r="R144" s="119">
        <f t="shared" ca="1" si="30"/>
        <v>28</v>
      </c>
      <c r="S144" s="120">
        <v>365</v>
      </c>
      <c r="U144" s="123">
        <v>57</v>
      </c>
      <c r="V144" s="123">
        <v>1.2905E-3</v>
      </c>
      <c r="W144" s="123" t="s">
        <v>80</v>
      </c>
      <c r="AC144" s="224">
        <v>2550</v>
      </c>
      <c r="AD144" s="225">
        <f t="shared" ca="1" si="34"/>
        <v>14080.768034383154</v>
      </c>
      <c r="AE144" s="226">
        <f t="shared" ca="1" si="35"/>
        <v>48643</v>
      </c>
      <c r="AF144" s="227">
        <f t="shared" ca="1" si="36"/>
        <v>14080.768034383154</v>
      </c>
      <c r="AG144" s="225">
        <f t="shared" ca="1" si="37"/>
        <v>14353.147608234907</v>
      </c>
      <c r="AH144" s="220"/>
      <c r="AI144" s="97"/>
      <c r="AJ144" s="97"/>
      <c r="AK144" s="97"/>
      <c r="AL144" s="97"/>
      <c r="AM144" s="97"/>
      <c r="AP144" s="157"/>
      <c r="AQ144" s="186"/>
      <c r="AR144" s="186"/>
      <c r="AS144" s="187"/>
      <c r="AT144" s="188"/>
      <c r="AU144" s="189"/>
      <c r="AV144" s="189"/>
      <c r="AW144" s="188"/>
      <c r="AX144" s="189"/>
      <c r="AY144" s="188"/>
      <c r="AZ144" s="190"/>
    </row>
    <row r="145" spans="1:52" ht="15.5" x14ac:dyDescent="0.35">
      <c r="A145" s="197">
        <f t="shared" si="31"/>
        <v>155</v>
      </c>
      <c r="B145" s="98">
        <f t="shared" si="38"/>
        <v>86</v>
      </c>
      <c r="C145" s="99">
        <f t="shared" ca="1" si="41"/>
        <v>48674</v>
      </c>
      <c r="D145" s="100">
        <f t="shared" ca="1" si="42"/>
        <v>941833.67848281516</v>
      </c>
      <c r="E145" s="100">
        <f t="shared" ca="1" si="43"/>
        <v>12149.654452428316</v>
      </c>
      <c r="F145" s="100">
        <f t="shared" ca="1" si="44"/>
        <v>953983.3329352435</v>
      </c>
      <c r="G145" s="100">
        <f t="shared" ca="1" si="39"/>
        <v>1931.1135819548381</v>
      </c>
      <c r="H145" s="100">
        <f t="shared" ca="1" si="32"/>
        <v>14080.768034383154</v>
      </c>
      <c r="I145" s="100">
        <f t="shared" ca="1" si="45"/>
        <v>161.05355902056141</v>
      </c>
      <c r="J145" s="100">
        <f t="shared" ca="1" si="33"/>
        <v>111</v>
      </c>
      <c r="K145" s="100">
        <f t="shared" ca="1" si="46"/>
        <v>14352.821593403716</v>
      </c>
      <c r="L145" s="101">
        <f t="shared" ca="1" si="47"/>
        <v>939902.56490086031</v>
      </c>
      <c r="M145" s="12"/>
      <c r="N145" s="12"/>
      <c r="O145" s="12"/>
      <c r="Q145" s="118">
        <f t="shared" ca="1" si="40"/>
        <v>57.933407458645142</v>
      </c>
      <c r="R145" s="119">
        <f t="shared" ca="1" si="30"/>
        <v>31</v>
      </c>
      <c r="S145" s="120">
        <v>365</v>
      </c>
      <c r="U145" s="123">
        <v>58</v>
      </c>
      <c r="V145" s="123">
        <v>1.2905E-3</v>
      </c>
      <c r="W145" s="123" t="s">
        <v>80</v>
      </c>
      <c r="AC145" s="224">
        <v>2580</v>
      </c>
      <c r="AD145" s="225">
        <f t="shared" ca="1" si="34"/>
        <v>14080.768034383154</v>
      </c>
      <c r="AE145" s="226">
        <f t="shared" ca="1" si="35"/>
        <v>48674</v>
      </c>
      <c r="AF145" s="227">
        <f t="shared" ca="1" si="36"/>
        <v>14080.768034383154</v>
      </c>
      <c r="AG145" s="225">
        <f t="shared" ca="1" si="37"/>
        <v>14352.821593403716</v>
      </c>
      <c r="AH145" s="220"/>
      <c r="AI145" s="97"/>
      <c r="AJ145" s="97"/>
      <c r="AK145" s="97"/>
      <c r="AL145" s="97"/>
      <c r="AM145" s="97"/>
      <c r="AP145" s="157"/>
      <c r="AQ145" s="191"/>
      <c r="AR145" s="191"/>
      <c r="AS145" s="192"/>
      <c r="AT145" s="193"/>
      <c r="AU145" s="194"/>
      <c r="AV145" s="194"/>
      <c r="AW145" s="193"/>
      <c r="AX145" s="194"/>
      <c r="AY145" s="193"/>
      <c r="AZ145" s="195"/>
    </row>
    <row r="146" spans="1:52" ht="15.5" x14ac:dyDescent="0.35">
      <c r="A146" s="197">
        <f t="shared" si="31"/>
        <v>154</v>
      </c>
      <c r="B146" s="98">
        <f t="shared" si="38"/>
        <v>87</v>
      </c>
      <c r="C146" s="99">
        <f t="shared" ca="1" si="41"/>
        <v>48704</v>
      </c>
      <c r="D146" s="100">
        <f t="shared" ca="1" si="42"/>
        <v>939902.56490086031</v>
      </c>
      <c r="E146" s="100">
        <f t="shared" ca="1" si="43"/>
        <v>12124.743087221097</v>
      </c>
      <c r="F146" s="100">
        <f t="shared" ca="1" si="44"/>
        <v>952027.30798808136</v>
      </c>
      <c r="G146" s="100">
        <f t="shared" ca="1" si="39"/>
        <v>1956.0249471620609</v>
      </c>
      <c r="H146" s="100">
        <f t="shared" ca="1" si="32"/>
        <v>14080.768034383158</v>
      </c>
      <c r="I146" s="100">
        <f t="shared" ca="1" si="45"/>
        <v>160.72333859804712</v>
      </c>
      <c r="J146" s="100">
        <f t="shared" ca="1" si="33"/>
        <v>111</v>
      </c>
      <c r="K146" s="100">
        <f t="shared" ca="1" si="46"/>
        <v>14352.491372981205</v>
      </c>
      <c r="L146" s="101">
        <f t="shared" ca="1" si="47"/>
        <v>937946.53995369829</v>
      </c>
      <c r="M146" s="12"/>
      <c r="N146" s="12"/>
      <c r="O146" s="12"/>
      <c r="Q146" s="118">
        <f t="shared" ca="1" si="40"/>
        <v>58.680748414861824</v>
      </c>
      <c r="R146" s="119">
        <f t="shared" ca="1" si="30"/>
        <v>30</v>
      </c>
      <c r="S146" s="120">
        <v>365</v>
      </c>
      <c r="U146" s="123">
        <v>59</v>
      </c>
      <c r="V146" s="123">
        <v>1.2905E-3</v>
      </c>
      <c r="W146" s="123" t="s">
        <v>80</v>
      </c>
      <c r="AC146" s="224">
        <v>2610</v>
      </c>
      <c r="AD146" s="225">
        <f t="shared" ca="1" si="34"/>
        <v>14080.768034383158</v>
      </c>
      <c r="AE146" s="226">
        <f t="shared" ca="1" si="35"/>
        <v>48704</v>
      </c>
      <c r="AF146" s="227">
        <f t="shared" ca="1" si="36"/>
        <v>14080.768034383158</v>
      </c>
      <c r="AG146" s="225">
        <f t="shared" ca="1" si="37"/>
        <v>14352.491372981205</v>
      </c>
      <c r="AH146" s="220"/>
      <c r="AI146" s="97"/>
      <c r="AJ146" s="97"/>
      <c r="AK146" s="97"/>
      <c r="AL146" s="97"/>
      <c r="AM146" s="97"/>
      <c r="AP146" s="157"/>
      <c r="AQ146" s="186"/>
      <c r="AR146" s="186"/>
      <c r="AS146" s="187"/>
      <c r="AT146" s="188"/>
      <c r="AU146" s="189"/>
      <c r="AV146" s="189"/>
      <c r="AW146" s="188"/>
      <c r="AX146" s="189"/>
      <c r="AY146" s="188"/>
      <c r="AZ146" s="190"/>
    </row>
    <row r="147" spans="1:52" ht="15.5" x14ac:dyDescent="0.35">
      <c r="A147" s="197">
        <f t="shared" si="31"/>
        <v>153</v>
      </c>
      <c r="B147" s="98">
        <f t="shared" si="38"/>
        <v>88</v>
      </c>
      <c r="C147" s="99">
        <f t="shared" ca="1" si="41"/>
        <v>48735</v>
      </c>
      <c r="D147" s="100">
        <f t="shared" ca="1" si="42"/>
        <v>937946.53995369829</v>
      </c>
      <c r="E147" s="100">
        <f t="shared" ca="1" si="43"/>
        <v>12099.510365402708</v>
      </c>
      <c r="F147" s="100">
        <f t="shared" ca="1" si="44"/>
        <v>950046.05031910096</v>
      </c>
      <c r="G147" s="100">
        <f t="shared" ca="1" si="39"/>
        <v>1981.25766898045</v>
      </c>
      <c r="H147" s="100">
        <f t="shared" ca="1" si="32"/>
        <v>14080.768034383158</v>
      </c>
      <c r="I147" s="100">
        <f t="shared" ca="1" si="45"/>
        <v>160.38885833208241</v>
      </c>
      <c r="J147" s="100">
        <f t="shared" ca="1" si="33"/>
        <v>111</v>
      </c>
      <c r="K147" s="100">
        <f t="shared" ca="1" si="46"/>
        <v>14352.15689271524</v>
      </c>
      <c r="L147" s="101">
        <f t="shared" ca="1" si="47"/>
        <v>935965.28228471789</v>
      </c>
      <c r="M147" s="12"/>
      <c r="N147" s="12"/>
      <c r="O147" s="12"/>
      <c r="Q147" s="118">
        <f t="shared" ca="1" si="40"/>
        <v>59.437730069413497</v>
      </c>
      <c r="R147" s="119">
        <f t="shared" ca="1" si="30"/>
        <v>31</v>
      </c>
      <c r="S147" s="120">
        <v>365</v>
      </c>
      <c r="U147" s="123">
        <v>60</v>
      </c>
      <c r="V147" s="123">
        <v>1.2905E-3</v>
      </c>
      <c r="W147" s="123" t="s">
        <v>80</v>
      </c>
      <c r="AC147" s="224">
        <v>2640</v>
      </c>
      <c r="AD147" s="225">
        <f t="shared" ca="1" si="34"/>
        <v>14080.768034383158</v>
      </c>
      <c r="AE147" s="226">
        <f t="shared" ca="1" si="35"/>
        <v>48735</v>
      </c>
      <c r="AF147" s="227">
        <f t="shared" ca="1" si="36"/>
        <v>14080.768034383158</v>
      </c>
      <c r="AG147" s="225">
        <f t="shared" ca="1" si="37"/>
        <v>14352.15689271524</v>
      </c>
      <c r="AH147" s="220"/>
      <c r="AI147" s="97"/>
      <c r="AJ147" s="97"/>
      <c r="AK147" s="97"/>
      <c r="AL147" s="97"/>
      <c r="AM147" s="97"/>
      <c r="AP147" s="157"/>
      <c r="AQ147" s="191"/>
      <c r="AR147" s="191"/>
      <c r="AS147" s="192"/>
      <c r="AT147" s="193"/>
      <c r="AU147" s="194"/>
      <c r="AV147" s="194"/>
      <c r="AW147" s="193"/>
      <c r="AX147" s="194"/>
      <c r="AY147" s="193"/>
      <c r="AZ147" s="195"/>
    </row>
    <row r="148" spans="1:52" ht="15.5" x14ac:dyDescent="0.35">
      <c r="A148" s="197">
        <f t="shared" si="31"/>
        <v>152</v>
      </c>
      <c r="B148" s="98">
        <f t="shared" si="38"/>
        <v>89</v>
      </c>
      <c r="C148" s="99">
        <f t="shared" ca="1" si="41"/>
        <v>48765</v>
      </c>
      <c r="D148" s="100">
        <f t="shared" ca="1" si="42"/>
        <v>935965.28228471789</v>
      </c>
      <c r="E148" s="100">
        <f t="shared" ca="1" si="43"/>
        <v>12073.952141472861</v>
      </c>
      <c r="F148" s="100">
        <f t="shared" ca="1" si="44"/>
        <v>948039.23442619073</v>
      </c>
      <c r="G148" s="100">
        <f t="shared" ca="1" si="39"/>
        <v>2006.8158929102974</v>
      </c>
      <c r="H148" s="100">
        <f t="shared" ca="1" si="32"/>
        <v>14080.768034383158</v>
      </c>
      <c r="I148" s="100">
        <f t="shared" ca="1" si="45"/>
        <v>160.05006327068676</v>
      </c>
      <c r="J148" s="100">
        <f t="shared" ca="1" si="33"/>
        <v>111</v>
      </c>
      <c r="K148" s="100">
        <f t="shared" ca="1" si="46"/>
        <v>14351.818097653844</v>
      </c>
      <c r="L148" s="101">
        <f t="shared" ca="1" si="47"/>
        <v>933958.46639180754</v>
      </c>
      <c r="M148" s="12"/>
      <c r="N148" s="12"/>
      <c r="O148" s="12"/>
      <c r="Q148" s="118">
        <f t="shared" ca="1" si="40"/>
        <v>60.20447678730892</v>
      </c>
      <c r="R148" s="119">
        <f t="shared" ca="1" si="30"/>
        <v>30</v>
      </c>
      <c r="S148" s="120">
        <v>365</v>
      </c>
      <c r="U148" s="123">
        <v>61</v>
      </c>
      <c r="V148" s="123">
        <v>3.8379999999999998E-3</v>
      </c>
      <c r="W148" s="123" t="s">
        <v>81</v>
      </c>
      <c r="AC148" s="224">
        <v>2670</v>
      </c>
      <c r="AD148" s="225">
        <f t="shared" ca="1" si="34"/>
        <v>14080.768034383158</v>
      </c>
      <c r="AE148" s="226">
        <f t="shared" ca="1" si="35"/>
        <v>48765</v>
      </c>
      <c r="AF148" s="227">
        <f t="shared" ca="1" si="36"/>
        <v>14080.768034383158</v>
      </c>
      <c r="AG148" s="225">
        <f t="shared" ca="1" si="37"/>
        <v>14351.818097653844</v>
      </c>
      <c r="AH148" s="220"/>
      <c r="AI148" s="97"/>
      <c r="AJ148" s="97"/>
      <c r="AK148" s="97"/>
      <c r="AL148" s="97"/>
      <c r="AM148" s="97"/>
      <c r="AP148" s="157"/>
      <c r="AQ148" s="186"/>
      <c r="AR148" s="186"/>
      <c r="AS148" s="187"/>
      <c r="AT148" s="188"/>
      <c r="AU148" s="189"/>
      <c r="AV148" s="189"/>
      <c r="AW148" s="188"/>
      <c r="AX148" s="189"/>
      <c r="AY148" s="188"/>
      <c r="AZ148" s="190"/>
    </row>
    <row r="149" spans="1:52" ht="15.5" x14ac:dyDescent="0.35">
      <c r="A149" s="197">
        <f t="shared" si="31"/>
        <v>151</v>
      </c>
      <c r="B149" s="98">
        <f t="shared" si="38"/>
        <v>90</v>
      </c>
      <c r="C149" s="99">
        <f t="shared" ca="1" si="41"/>
        <v>48796</v>
      </c>
      <c r="D149" s="100">
        <f t="shared" ca="1" si="42"/>
        <v>933958.46639180754</v>
      </c>
      <c r="E149" s="100">
        <f t="shared" ca="1" si="43"/>
        <v>12048.064216454317</v>
      </c>
      <c r="F149" s="100">
        <f t="shared" ca="1" si="44"/>
        <v>946006.53060826182</v>
      </c>
      <c r="G149" s="100">
        <f t="shared" ca="1" si="39"/>
        <v>2032.7038179288375</v>
      </c>
      <c r="H149" s="100">
        <f t="shared" ca="1" si="32"/>
        <v>14080.768034383154</v>
      </c>
      <c r="I149" s="100">
        <f t="shared" ca="1" si="45"/>
        <v>159.70689775299911</v>
      </c>
      <c r="J149" s="100">
        <f t="shared" ca="1" si="33"/>
        <v>111</v>
      </c>
      <c r="K149" s="100">
        <f t="shared" ca="1" si="46"/>
        <v>14351.474932136154</v>
      </c>
      <c r="L149" s="101">
        <f t="shared" ca="1" si="47"/>
        <v>931925.76257387875</v>
      </c>
      <c r="M149" s="12"/>
      <c r="N149" s="12"/>
      <c r="O149" s="12"/>
      <c r="Q149" s="118">
        <f t="shared" ca="1" si="40"/>
        <v>60.981114537865125</v>
      </c>
      <c r="R149" s="119">
        <f t="shared" ca="1" si="30"/>
        <v>31</v>
      </c>
      <c r="S149" s="120">
        <v>365</v>
      </c>
      <c r="U149" s="123">
        <v>62</v>
      </c>
      <c r="V149" s="123">
        <v>3.8379999999999998E-3</v>
      </c>
      <c r="W149" s="123" t="s">
        <v>81</v>
      </c>
      <c r="AC149" s="224">
        <v>2700</v>
      </c>
      <c r="AD149" s="225">
        <f t="shared" ca="1" si="34"/>
        <v>14080.768034383154</v>
      </c>
      <c r="AE149" s="226">
        <f t="shared" ca="1" si="35"/>
        <v>48796</v>
      </c>
      <c r="AF149" s="227">
        <f t="shared" ca="1" si="36"/>
        <v>14080.768034383154</v>
      </c>
      <c r="AG149" s="225">
        <f t="shared" ca="1" si="37"/>
        <v>14351.474932136154</v>
      </c>
      <c r="AH149" s="220"/>
      <c r="AI149" s="97"/>
      <c r="AJ149" s="97"/>
      <c r="AK149" s="97"/>
      <c r="AL149" s="97"/>
      <c r="AM149" s="97"/>
      <c r="AP149" s="157"/>
      <c r="AQ149" s="191"/>
      <c r="AR149" s="191"/>
      <c r="AS149" s="192"/>
      <c r="AT149" s="193"/>
      <c r="AU149" s="194"/>
      <c r="AV149" s="194"/>
      <c r="AW149" s="193"/>
      <c r="AX149" s="194"/>
      <c r="AY149" s="193"/>
      <c r="AZ149" s="195"/>
    </row>
    <row r="150" spans="1:52" ht="15.5" x14ac:dyDescent="0.35">
      <c r="A150" s="197">
        <f t="shared" si="31"/>
        <v>150</v>
      </c>
      <c r="B150" s="98">
        <f t="shared" si="38"/>
        <v>91</v>
      </c>
      <c r="C150" s="99">
        <f t="shared" ca="1" si="41"/>
        <v>48827</v>
      </c>
      <c r="D150" s="100">
        <f t="shared" ca="1" si="42"/>
        <v>931925.76257387875</v>
      </c>
      <c r="E150" s="100">
        <f t="shared" ca="1" si="43"/>
        <v>12021.842337203036</v>
      </c>
      <c r="F150" s="100">
        <f t="shared" ca="1" si="44"/>
        <v>943947.60491108173</v>
      </c>
      <c r="G150" s="100">
        <f t="shared" ca="1" si="39"/>
        <v>2058.9256971801224</v>
      </c>
      <c r="H150" s="100">
        <f t="shared" ca="1" si="32"/>
        <v>14080.768034383158</v>
      </c>
      <c r="I150" s="100">
        <f t="shared" ca="1" si="45"/>
        <v>159.35930540013328</v>
      </c>
      <c r="J150" s="100">
        <f t="shared" ca="1" si="33"/>
        <v>111</v>
      </c>
      <c r="K150" s="100">
        <f t="shared" ca="1" si="46"/>
        <v>14351.127339783292</v>
      </c>
      <c r="L150" s="101">
        <f t="shared" ca="1" si="47"/>
        <v>929866.83687669865</v>
      </c>
      <c r="M150" s="12"/>
      <c r="N150" s="12"/>
      <c r="O150" s="12"/>
      <c r="Q150" s="118">
        <f t="shared" ca="1" si="40"/>
        <v>61.767770915403666</v>
      </c>
      <c r="R150" s="119">
        <f t="shared" ca="1" si="30"/>
        <v>31</v>
      </c>
      <c r="S150" s="120">
        <v>365</v>
      </c>
      <c r="U150" s="123">
        <v>63</v>
      </c>
      <c r="V150" s="123">
        <v>3.8379999999999998E-3</v>
      </c>
      <c r="W150" s="123" t="s">
        <v>81</v>
      </c>
      <c r="AC150" s="224">
        <v>2730</v>
      </c>
      <c r="AD150" s="225">
        <f t="shared" ca="1" si="34"/>
        <v>14080.768034383158</v>
      </c>
      <c r="AE150" s="226">
        <f t="shared" ca="1" si="35"/>
        <v>48827</v>
      </c>
      <c r="AF150" s="227">
        <f t="shared" ca="1" si="36"/>
        <v>14080.768034383158</v>
      </c>
      <c r="AG150" s="225">
        <f t="shared" ca="1" si="37"/>
        <v>14351.127339783292</v>
      </c>
      <c r="AH150" s="220"/>
      <c r="AI150" s="97"/>
      <c r="AJ150" s="97"/>
      <c r="AK150" s="97"/>
      <c r="AL150" s="97"/>
      <c r="AM150" s="97"/>
      <c r="AP150" s="157"/>
      <c r="AQ150" s="186"/>
      <c r="AR150" s="186"/>
      <c r="AS150" s="187"/>
      <c r="AT150" s="188"/>
      <c r="AU150" s="189"/>
      <c r="AV150" s="189"/>
      <c r="AW150" s="188"/>
      <c r="AX150" s="189"/>
      <c r="AY150" s="188"/>
      <c r="AZ150" s="190"/>
    </row>
    <row r="151" spans="1:52" ht="15.5" x14ac:dyDescent="0.35">
      <c r="A151" s="197">
        <f t="shared" si="31"/>
        <v>149</v>
      </c>
      <c r="B151" s="98">
        <f t="shared" si="38"/>
        <v>92</v>
      </c>
      <c r="C151" s="99">
        <f t="shared" ca="1" si="41"/>
        <v>48857</v>
      </c>
      <c r="D151" s="100">
        <f t="shared" ca="1" si="42"/>
        <v>929866.83687669865</v>
      </c>
      <c r="E151" s="100">
        <f t="shared" ca="1" si="43"/>
        <v>11995.282195709413</v>
      </c>
      <c r="F151" s="100">
        <f t="shared" ca="1" si="44"/>
        <v>941862.11907240807</v>
      </c>
      <c r="G151" s="100">
        <f t="shared" ca="1" si="39"/>
        <v>2085.4858386737451</v>
      </c>
      <c r="H151" s="100">
        <f t="shared" ca="1" si="32"/>
        <v>14080.768034383158</v>
      </c>
      <c r="I151" s="100">
        <f t="shared" ca="1" si="45"/>
        <v>159.00722910591548</v>
      </c>
      <c r="J151" s="100">
        <f t="shared" ca="1" si="33"/>
        <v>111</v>
      </c>
      <c r="K151" s="100">
        <f t="shared" ca="1" si="46"/>
        <v>14350.775263489073</v>
      </c>
      <c r="L151" s="101">
        <f t="shared" ca="1" si="47"/>
        <v>927781.35103802488</v>
      </c>
      <c r="M151" s="12"/>
      <c r="N151" s="12"/>
      <c r="O151" s="12"/>
      <c r="Q151" s="118">
        <f t="shared" ca="1" si="40"/>
        <v>62.56457516021235</v>
      </c>
      <c r="R151" s="119">
        <f t="shared" ca="1" si="30"/>
        <v>30</v>
      </c>
      <c r="S151" s="120">
        <v>365</v>
      </c>
      <c r="U151" s="123">
        <v>64</v>
      </c>
      <c r="V151" s="123">
        <v>3.8379999999999998E-3</v>
      </c>
      <c r="W151" s="123" t="s">
        <v>81</v>
      </c>
      <c r="AC151" s="224">
        <v>2760</v>
      </c>
      <c r="AD151" s="225">
        <f t="shared" ca="1" si="34"/>
        <v>14080.768034383158</v>
      </c>
      <c r="AE151" s="226">
        <f t="shared" ca="1" si="35"/>
        <v>48857</v>
      </c>
      <c r="AF151" s="227">
        <f t="shared" ca="1" si="36"/>
        <v>14080.768034383158</v>
      </c>
      <c r="AG151" s="225">
        <f t="shared" ca="1" si="37"/>
        <v>14350.775263489073</v>
      </c>
      <c r="AH151" s="220"/>
      <c r="AI151" s="97"/>
      <c r="AJ151" s="97"/>
      <c r="AK151" s="97"/>
      <c r="AL151" s="97"/>
      <c r="AM151" s="97"/>
      <c r="AP151" s="157"/>
      <c r="AQ151" s="191"/>
      <c r="AR151" s="191"/>
      <c r="AS151" s="192"/>
      <c r="AT151" s="193"/>
      <c r="AU151" s="194"/>
      <c r="AV151" s="194"/>
      <c r="AW151" s="193"/>
      <c r="AX151" s="194"/>
      <c r="AY151" s="193"/>
      <c r="AZ151" s="195"/>
    </row>
    <row r="152" spans="1:52" ht="15.5" x14ac:dyDescent="0.35">
      <c r="A152" s="197">
        <f t="shared" si="31"/>
        <v>148</v>
      </c>
      <c r="B152" s="98">
        <f t="shared" si="38"/>
        <v>93</v>
      </c>
      <c r="C152" s="99">
        <f t="shared" ca="1" si="41"/>
        <v>48888</v>
      </c>
      <c r="D152" s="100">
        <f t="shared" ca="1" si="42"/>
        <v>927781.35103802488</v>
      </c>
      <c r="E152" s="100">
        <f t="shared" ca="1" si="43"/>
        <v>11968.379428390521</v>
      </c>
      <c r="F152" s="100">
        <f t="shared" ca="1" si="44"/>
        <v>939749.73046641541</v>
      </c>
      <c r="G152" s="100">
        <f t="shared" ca="1" si="39"/>
        <v>2112.3886059926372</v>
      </c>
      <c r="H152" s="100">
        <f t="shared" ca="1" si="32"/>
        <v>14080.768034383158</v>
      </c>
      <c r="I152" s="100">
        <f t="shared" ca="1" si="45"/>
        <v>158.65061102750226</v>
      </c>
      <c r="J152" s="100">
        <f t="shared" ca="1" si="33"/>
        <v>111</v>
      </c>
      <c r="K152" s="100">
        <f t="shared" ca="1" si="46"/>
        <v>14350.41864541066</v>
      </c>
      <c r="L152" s="101">
        <f t="shared" ca="1" si="47"/>
        <v>925668.96243203222</v>
      </c>
      <c r="M152" s="12"/>
      <c r="N152" s="12"/>
      <c r="O152" s="12"/>
      <c r="Q152" s="118">
        <f t="shared" ca="1" si="40"/>
        <v>63.371658179779111</v>
      </c>
      <c r="R152" s="119">
        <f t="shared" ca="1" si="30"/>
        <v>31</v>
      </c>
      <c r="S152" s="120">
        <v>365</v>
      </c>
      <c r="U152" s="123">
        <v>65</v>
      </c>
      <c r="V152" s="123">
        <v>3.8379999999999998E-3</v>
      </c>
      <c r="W152" s="123" t="s">
        <v>81</v>
      </c>
      <c r="AC152" s="224">
        <v>2790</v>
      </c>
      <c r="AD152" s="225">
        <f t="shared" ca="1" si="34"/>
        <v>14080.768034383158</v>
      </c>
      <c r="AE152" s="226">
        <f t="shared" ca="1" si="35"/>
        <v>48888</v>
      </c>
      <c r="AF152" s="227">
        <f t="shared" ca="1" si="36"/>
        <v>14080.768034383158</v>
      </c>
      <c r="AG152" s="225">
        <f t="shared" ca="1" si="37"/>
        <v>14350.41864541066</v>
      </c>
      <c r="AH152" s="220"/>
      <c r="AI152" s="97"/>
      <c r="AJ152" s="97"/>
      <c r="AK152" s="97"/>
      <c r="AL152" s="97"/>
      <c r="AM152" s="97"/>
      <c r="AP152" s="157"/>
      <c r="AQ152" s="186"/>
      <c r="AR152" s="186"/>
      <c r="AS152" s="187"/>
      <c r="AT152" s="188"/>
      <c r="AU152" s="189"/>
      <c r="AV152" s="189"/>
      <c r="AW152" s="188"/>
      <c r="AX152" s="189"/>
      <c r="AY152" s="188"/>
      <c r="AZ152" s="190"/>
    </row>
    <row r="153" spans="1:52" ht="15.5" x14ac:dyDescent="0.35">
      <c r="A153" s="197">
        <f t="shared" si="31"/>
        <v>147</v>
      </c>
      <c r="B153" s="98">
        <f t="shared" si="38"/>
        <v>94</v>
      </c>
      <c r="C153" s="99">
        <f t="shared" ca="1" si="41"/>
        <v>48918</v>
      </c>
      <c r="D153" s="100">
        <f t="shared" ca="1" si="42"/>
        <v>925668.96243203222</v>
      </c>
      <c r="E153" s="100">
        <f t="shared" ca="1" si="43"/>
        <v>11941.129615373216</v>
      </c>
      <c r="F153" s="100">
        <f t="shared" ca="1" si="44"/>
        <v>937610.09204740543</v>
      </c>
      <c r="G153" s="100">
        <f t="shared" ca="1" si="39"/>
        <v>2139.6384190099416</v>
      </c>
      <c r="H153" s="100">
        <f t="shared" ca="1" si="32"/>
        <v>14080.768034383158</v>
      </c>
      <c r="I153" s="100">
        <f t="shared" ca="1" si="45"/>
        <v>158.28939257587751</v>
      </c>
      <c r="J153" s="100">
        <f t="shared" ca="1" si="33"/>
        <v>111</v>
      </c>
      <c r="K153" s="100">
        <f t="shared" ca="1" si="46"/>
        <v>14350.057426959036</v>
      </c>
      <c r="L153" s="101">
        <f t="shared" ca="1" si="47"/>
        <v>923529.32401302224</v>
      </c>
      <c r="M153" s="12"/>
      <c r="N153" s="12"/>
      <c r="O153" s="12"/>
      <c r="Q153" s="118">
        <f t="shared" ca="1" si="40"/>
        <v>64.189152570298248</v>
      </c>
      <c r="R153" s="119">
        <f t="shared" ca="1" si="30"/>
        <v>30</v>
      </c>
      <c r="S153" s="120">
        <v>365</v>
      </c>
      <c r="U153" s="123">
        <v>66</v>
      </c>
      <c r="V153" s="123">
        <v>3.8379999999999998E-3</v>
      </c>
      <c r="W153" s="123" t="s">
        <v>81</v>
      </c>
      <c r="AC153" s="224">
        <v>2820</v>
      </c>
      <c r="AD153" s="225">
        <f t="shared" ca="1" si="34"/>
        <v>14080.768034383158</v>
      </c>
      <c r="AE153" s="226">
        <f t="shared" ca="1" si="35"/>
        <v>48918</v>
      </c>
      <c r="AF153" s="227">
        <f t="shared" ca="1" si="36"/>
        <v>14080.768034383158</v>
      </c>
      <c r="AG153" s="225">
        <f t="shared" ca="1" si="37"/>
        <v>14350.057426959036</v>
      </c>
      <c r="AH153" s="220"/>
      <c r="AI153" s="97"/>
      <c r="AJ153" s="97"/>
      <c r="AK153" s="97"/>
      <c r="AL153" s="97"/>
      <c r="AM153" s="97"/>
      <c r="AP153" s="157"/>
      <c r="AQ153" s="191"/>
      <c r="AR153" s="191"/>
      <c r="AS153" s="192"/>
      <c r="AT153" s="193"/>
      <c r="AU153" s="194"/>
      <c r="AV153" s="194"/>
      <c r="AW153" s="193"/>
      <c r="AX153" s="194"/>
      <c r="AY153" s="193"/>
      <c r="AZ153" s="195"/>
    </row>
    <row r="154" spans="1:52" ht="15.5" x14ac:dyDescent="0.35">
      <c r="A154" s="197">
        <f t="shared" si="31"/>
        <v>146</v>
      </c>
      <c r="B154" s="98">
        <f t="shared" si="38"/>
        <v>95</v>
      </c>
      <c r="C154" s="99">
        <f t="shared" ca="1" si="41"/>
        <v>48949</v>
      </c>
      <c r="D154" s="100">
        <f t="shared" ca="1" si="42"/>
        <v>923529.32401302224</v>
      </c>
      <c r="E154" s="100">
        <f t="shared" ca="1" si="43"/>
        <v>11913.528279767987</v>
      </c>
      <c r="F154" s="100">
        <f t="shared" ca="1" si="44"/>
        <v>935442.85229279019</v>
      </c>
      <c r="G154" s="100">
        <f t="shared" ca="1" si="39"/>
        <v>2167.2397546151678</v>
      </c>
      <c r="H154" s="100">
        <f t="shared" ca="1" si="32"/>
        <v>14080.768034383154</v>
      </c>
      <c r="I154" s="100">
        <f t="shared" ca="1" si="45"/>
        <v>157.92351440622681</v>
      </c>
      <c r="J154" s="100">
        <f t="shared" ca="1" si="33"/>
        <v>111</v>
      </c>
      <c r="K154" s="100">
        <f t="shared" ca="1" si="46"/>
        <v>14349.691548789382</v>
      </c>
      <c r="L154" s="101">
        <f t="shared" ca="1" si="47"/>
        <v>921362.08425840712</v>
      </c>
      <c r="M154" s="12"/>
      <c r="N154" s="12"/>
      <c r="O154" s="12"/>
      <c r="Q154" s="118">
        <f t="shared" ca="1" si="40"/>
        <v>65.017192638455029</v>
      </c>
      <c r="R154" s="119">
        <f t="shared" ca="1" si="30"/>
        <v>31</v>
      </c>
      <c r="S154" s="120">
        <v>365</v>
      </c>
      <c r="U154" s="123">
        <v>67</v>
      </c>
      <c r="V154" s="123">
        <v>3.8379999999999998E-3</v>
      </c>
      <c r="W154" s="123" t="s">
        <v>81</v>
      </c>
      <c r="AC154" s="224">
        <v>2850</v>
      </c>
      <c r="AD154" s="225">
        <f t="shared" ca="1" si="34"/>
        <v>14080.768034383154</v>
      </c>
      <c r="AE154" s="226">
        <f t="shared" ca="1" si="35"/>
        <v>48949</v>
      </c>
      <c r="AF154" s="227">
        <f t="shared" ca="1" si="36"/>
        <v>14080.768034383154</v>
      </c>
      <c r="AG154" s="225">
        <f t="shared" ca="1" si="37"/>
        <v>14349.691548789382</v>
      </c>
      <c r="AH154" s="220"/>
      <c r="AI154" s="97"/>
      <c r="AJ154" s="97"/>
      <c r="AK154" s="97"/>
      <c r="AL154" s="97"/>
      <c r="AM154" s="97"/>
      <c r="AP154" s="157"/>
      <c r="AQ154" s="186"/>
      <c r="AR154" s="186"/>
      <c r="AS154" s="187"/>
      <c r="AT154" s="188"/>
      <c r="AU154" s="189"/>
      <c r="AV154" s="189"/>
      <c r="AW154" s="188"/>
      <c r="AX154" s="189"/>
      <c r="AY154" s="188"/>
      <c r="AZ154" s="190"/>
    </row>
    <row r="155" spans="1:52" ht="15.5" x14ac:dyDescent="0.35">
      <c r="A155" s="197">
        <f t="shared" si="31"/>
        <v>145</v>
      </c>
      <c r="B155" s="98">
        <f t="shared" si="38"/>
        <v>96</v>
      </c>
      <c r="C155" s="99">
        <f t="shared" ca="1" si="41"/>
        <v>48980</v>
      </c>
      <c r="D155" s="100">
        <f t="shared" ca="1" si="42"/>
        <v>921362.08425840712</v>
      </c>
      <c r="E155" s="100">
        <f t="shared" ca="1" si="43"/>
        <v>11885.570886933452</v>
      </c>
      <c r="F155" s="100">
        <f t="shared" ca="1" si="44"/>
        <v>933247.6551453406</v>
      </c>
      <c r="G155" s="100">
        <f t="shared" ca="1" si="39"/>
        <v>2195.1971474497022</v>
      </c>
      <c r="H155" s="100">
        <f t="shared" ca="1" si="32"/>
        <v>14080.768034383154</v>
      </c>
      <c r="I155" s="100">
        <f t="shared" ca="1" si="45"/>
        <v>157.55291640818763</v>
      </c>
      <c r="J155" s="100">
        <f t="shared" ca="1" si="33"/>
        <v>111</v>
      </c>
      <c r="K155" s="100">
        <f t="shared" ca="1" si="46"/>
        <v>14349.320950791342</v>
      </c>
      <c r="L155" s="101">
        <f t="shared" ca="1" si="47"/>
        <v>919166.88711095741</v>
      </c>
      <c r="M155" s="12"/>
      <c r="N155" s="12"/>
      <c r="O155" s="12"/>
      <c r="Q155" s="118">
        <f t="shared" ca="1" si="40"/>
        <v>65.855914423491072</v>
      </c>
      <c r="R155" s="119">
        <f t="shared" ca="1" si="30"/>
        <v>31</v>
      </c>
      <c r="S155" s="120">
        <v>365</v>
      </c>
      <c r="U155" s="123">
        <v>68</v>
      </c>
      <c r="V155" s="123">
        <v>3.8379999999999998E-3</v>
      </c>
      <c r="W155" s="123" t="s">
        <v>81</v>
      </c>
      <c r="AC155" s="224">
        <v>2880</v>
      </c>
      <c r="AD155" s="225">
        <f t="shared" ca="1" si="34"/>
        <v>14080.768034383154</v>
      </c>
      <c r="AE155" s="226">
        <f t="shared" ca="1" si="35"/>
        <v>48980</v>
      </c>
      <c r="AF155" s="227">
        <f t="shared" ca="1" si="36"/>
        <v>14080.768034383154</v>
      </c>
      <c r="AG155" s="225">
        <f t="shared" ca="1" si="37"/>
        <v>14349.320950791342</v>
      </c>
      <c r="AH155" s="220"/>
      <c r="AI155" s="97"/>
      <c r="AJ155" s="97"/>
      <c r="AK155" s="97"/>
      <c r="AL155" s="97"/>
      <c r="AM155" s="97"/>
      <c r="AP155" s="157"/>
      <c r="AQ155" s="191"/>
      <c r="AR155" s="191"/>
      <c r="AS155" s="192"/>
      <c r="AT155" s="193"/>
      <c r="AU155" s="194"/>
      <c r="AV155" s="194"/>
      <c r="AW155" s="193"/>
      <c r="AX155" s="194"/>
      <c r="AY155" s="193"/>
      <c r="AZ155" s="195"/>
    </row>
    <row r="156" spans="1:52" ht="15.5" x14ac:dyDescent="0.35">
      <c r="A156" s="197">
        <f t="shared" si="31"/>
        <v>144</v>
      </c>
      <c r="B156" s="98">
        <f t="shared" si="38"/>
        <v>97</v>
      </c>
      <c r="C156" s="99">
        <f t="shared" ca="1" si="41"/>
        <v>49008</v>
      </c>
      <c r="D156" s="100">
        <f t="shared" ca="1" si="42"/>
        <v>919166.88711095741</v>
      </c>
      <c r="E156" s="100">
        <f t="shared" ca="1" si="43"/>
        <v>11857.25284373135</v>
      </c>
      <c r="F156" s="100">
        <f t="shared" ca="1" si="44"/>
        <v>931024.13995468873</v>
      </c>
      <c r="G156" s="100">
        <f t="shared" ca="1" si="39"/>
        <v>2223.515190651804</v>
      </c>
      <c r="H156" s="100">
        <f t="shared" ca="1" si="32"/>
        <v>14080.768034383154</v>
      </c>
      <c r="I156" s="100">
        <f t="shared" ca="1" si="45"/>
        <v>157.17753769597371</v>
      </c>
      <c r="J156" s="100">
        <f t="shared" ca="1" si="33"/>
        <v>111</v>
      </c>
      <c r="K156" s="100">
        <f t="shared" ca="1" si="46"/>
        <v>14348.945572079128</v>
      </c>
      <c r="L156" s="101">
        <f t="shared" ca="1" si="47"/>
        <v>916943.37192030565</v>
      </c>
      <c r="M156" s="12"/>
      <c r="N156" s="12"/>
      <c r="O156" s="12"/>
      <c r="Q156" s="118">
        <f t="shared" ca="1" si="40"/>
        <v>66.705455719554124</v>
      </c>
      <c r="R156" s="119">
        <f t="shared" ca="1" si="30"/>
        <v>28</v>
      </c>
      <c r="S156" s="120">
        <v>365</v>
      </c>
      <c r="U156" s="123">
        <v>69</v>
      </c>
      <c r="V156" s="123">
        <v>3.8379999999999998E-3</v>
      </c>
      <c r="W156" s="123" t="s">
        <v>81</v>
      </c>
      <c r="AC156" s="224">
        <v>2910</v>
      </c>
      <c r="AD156" s="225">
        <f t="shared" ca="1" si="34"/>
        <v>14080.768034383154</v>
      </c>
      <c r="AE156" s="226">
        <f t="shared" ca="1" si="35"/>
        <v>49008</v>
      </c>
      <c r="AF156" s="227">
        <f t="shared" ca="1" si="36"/>
        <v>14080.768034383154</v>
      </c>
      <c r="AG156" s="225">
        <f t="shared" ca="1" si="37"/>
        <v>14348.945572079128</v>
      </c>
      <c r="AH156" s="220"/>
      <c r="AI156" s="97"/>
      <c r="AJ156" s="97"/>
      <c r="AK156" s="97"/>
      <c r="AL156" s="97"/>
      <c r="AM156" s="97"/>
      <c r="AP156" s="157"/>
      <c r="AQ156" s="186"/>
      <c r="AR156" s="186"/>
      <c r="AS156" s="187"/>
      <c r="AT156" s="188"/>
      <c r="AU156" s="189"/>
      <c r="AV156" s="189"/>
      <c r="AW156" s="188"/>
      <c r="AX156" s="189"/>
      <c r="AY156" s="188"/>
      <c r="AZ156" s="190"/>
    </row>
    <row r="157" spans="1:52" ht="15.5" x14ac:dyDescent="0.35">
      <c r="A157" s="197">
        <f t="shared" si="31"/>
        <v>143</v>
      </c>
      <c r="B157" s="98">
        <f t="shared" si="38"/>
        <v>98</v>
      </c>
      <c r="C157" s="99">
        <f t="shared" ca="1" si="41"/>
        <v>49039</v>
      </c>
      <c r="D157" s="100">
        <f t="shared" ca="1" si="42"/>
        <v>916943.37192030565</v>
      </c>
      <c r="E157" s="100">
        <f t="shared" ca="1" si="43"/>
        <v>11828.569497771943</v>
      </c>
      <c r="F157" s="100">
        <f t="shared" ca="1" si="44"/>
        <v>928771.94141807756</v>
      </c>
      <c r="G157" s="100">
        <f t="shared" ca="1" si="39"/>
        <v>2252.1985366112149</v>
      </c>
      <c r="H157" s="100">
        <f t="shared" ca="1" si="32"/>
        <v>14080.768034383158</v>
      </c>
      <c r="I157" s="100">
        <f t="shared" ca="1" si="45"/>
        <v>156.79731659837228</v>
      </c>
      <c r="J157" s="100">
        <f t="shared" ca="1" si="33"/>
        <v>111</v>
      </c>
      <c r="K157" s="100">
        <f t="shared" ca="1" si="46"/>
        <v>14348.565350981531</v>
      </c>
      <c r="L157" s="101">
        <f t="shared" ca="1" si="47"/>
        <v>914691.17338369449</v>
      </c>
      <c r="M157" s="12"/>
      <c r="N157" s="12"/>
      <c r="O157" s="12"/>
      <c r="Q157" s="118">
        <f t="shared" ca="1" si="40"/>
        <v>67.565956098336443</v>
      </c>
      <c r="R157" s="119">
        <f t="shared" ca="1" si="30"/>
        <v>31</v>
      </c>
      <c r="S157" s="120">
        <v>365</v>
      </c>
      <c r="U157" s="123">
        <v>70</v>
      </c>
      <c r="V157" s="123">
        <v>3.8379999999999998E-3</v>
      </c>
      <c r="W157" s="123" t="s">
        <v>81</v>
      </c>
      <c r="AC157" s="224">
        <v>2940</v>
      </c>
      <c r="AD157" s="225">
        <f t="shared" ca="1" si="34"/>
        <v>14080.768034383158</v>
      </c>
      <c r="AE157" s="226">
        <f t="shared" ca="1" si="35"/>
        <v>49039</v>
      </c>
      <c r="AF157" s="227">
        <f t="shared" ca="1" si="36"/>
        <v>14080.768034383158</v>
      </c>
      <c r="AG157" s="225">
        <f t="shared" ca="1" si="37"/>
        <v>14348.565350981531</v>
      </c>
      <c r="AH157" s="220"/>
      <c r="AI157" s="97"/>
      <c r="AJ157" s="97"/>
      <c r="AK157" s="97"/>
      <c r="AL157" s="97"/>
      <c r="AM157" s="97"/>
      <c r="AP157" s="157"/>
      <c r="AQ157" s="191"/>
      <c r="AR157" s="191"/>
      <c r="AS157" s="192"/>
      <c r="AT157" s="193"/>
      <c r="AU157" s="194"/>
      <c r="AV157" s="194"/>
      <c r="AW157" s="193"/>
      <c r="AX157" s="194"/>
      <c r="AY157" s="193"/>
      <c r="AZ157" s="195"/>
    </row>
    <row r="158" spans="1:52" ht="15.5" x14ac:dyDescent="0.35">
      <c r="A158" s="197">
        <f t="shared" si="31"/>
        <v>142</v>
      </c>
      <c r="B158" s="98">
        <f t="shared" si="38"/>
        <v>99</v>
      </c>
      <c r="C158" s="99">
        <f t="shared" ca="1" si="41"/>
        <v>49069</v>
      </c>
      <c r="D158" s="100">
        <f t="shared" ca="1" si="42"/>
        <v>914691.17338369449</v>
      </c>
      <c r="E158" s="100">
        <f t="shared" ca="1" si="43"/>
        <v>11799.51613664966</v>
      </c>
      <c r="F158" s="100">
        <f t="shared" ca="1" si="44"/>
        <v>926490.68952034414</v>
      </c>
      <c r="G158" s="100">
        <f t="shared" ca="1" si="39"/>
        <v>2281.2518977334985</v>
      </c>
      <c r="H158" s="100">
        <f t="shared" ca="1" si="32"/>
        <v>14080.768034383158</v>
      </c>
      <c r="I158" s="100">
        <f t="shared" ca="1" si="45"/>
        <v>156.41219064861176</v>
      </c>
      <c r="J158" s="100">
        <f t="shared" ca="1" si="33"/>
        <v>111</v>
      </c>
      <c r="K158" s="100">
        <f t="shared" ca="1" si="46"/>
        <v>14348.180225031771</v>
      </c>
      <c r="L158" s="101">
        <f t="shared" ca="1" si="47"/>
        <v>912409.92148596095</v>
      </c>
      <c r="M158" s="12"/>
      <c r="N158" s="12"/>
      <c r="O158" s="12"/>
      <c r="Q158" s="118">
        <f t="shared" ca="1" si="40"/>
        <v>68.437556932004952</v>
      </c>
      <c r="R158" s="119">
        <f t="shared" ca="1" si="30"/>
        <v>30</v>
      </c>
      <c r="S158" s="120">
        <v>365</v>
      </c>
      <c r="U158" s="123">
        <v>71</v>
      </c>
      <c r="V158" s="123">
        <v>6.4554E-3</v>
      </c>
      <c r="W158" s="123" t="s">
        <v>82</v>
      </c>
      <c r="AC158" s="224">
        <v>2970</v>
      </c>
      <c r="AD158" s="225">
        <f t="shared" ca="1" si="34"/>
        <v>14080.768034383158</v>
      </c>
      <c r="AE158" s="226">
        <f t="shared" ca="1" si="35"/>
        <v>49069</v>
      </c>
      <c r="AF158" s="227">
        <f t="shared" ca="1" si="36"/>
        <v>14080.768034383158</v>
      </c>
      <c r="AG158" s="225">
        <f t="shared" ca="1" si="37"/>
        <v>14348.180225031771</v>
      </c>
      <c r="AH158" s="220"/>
      <c r="AI158" s="97"/>
      <c r="AJ158" s="97"/>
      <c r="AK158" s="97"/>
      <c r="AL158" s="97"/>
      <c r="AM158" s="97"/>
      <c r="AP158" s="157"/>
      <c r="AQ158" s="186"/>
      <c r="AR158" s="186"/>
      <c r="AS158" s="187"/>
      <c r="AT158" s="188"/>
      <c r="AU158" s="189"/>
      <c r="AV158" s="189"/>
      <c r="AW158" s="188"/>
      <c r="AX158" s="189"/>
      <c r="AY158" s="188"/>
      <c r="AZ158" s="190"/>
    </row>
    <row r="159" spans="1:52" ht="15.5" x14ac:dyDescent="0.35">
      <c r="A159" s="197">
        <f t="shared" si="31"/>
        <v>141</v>
      </c>
      <c r="B159" s="98">
        <f t="shared" si="38"/>
        <v>100</v>
      </c>
      <c r="C159" s="99">
        <f t="shared" ca="1" si="41"/>
        <v>49100</v>
      </c>
      <c r="D159" s="100">
        <f t="shared" ca="1" si="42"/>
        <v>912409.92148596095</v>
      </c>
      <c r="E159" s="100">
        <f t="shared" ca="1" si="43"/>
        <v>11770.087987168896</v>
      </c>
      <c r="F159" s="100">
        <f t="shared" ca="1" si="44"/>
        <v>924180.00947312987</v>
      </c>
      <c r="G159" s="100">
        <f t="shared" ca="1" si="39"/>
        <v>2310.6800472142622</v>
      </c>
      <c r="H159" s="100">
        <f t="shared" ca="1" si="32"/>
        <v>14080.768034383158</v>
      </c>
      <c r="I159" s="100">
        <f t="shared" ca="1" si="45"/>
        <v>156.02209657409932</v>
      </c>
      <c r="J159" s="100">
        <f t="shared" ca="1" si="33"/>
        <v>111</v>
      </c>
      <c r="K159" s="100">
        <f t="shared" ca="1" si="46"/>
        <v>14347.790130957257</v>
      </c>
      <c r="L159" s="101">
        <f t="shared" ca="1" si="47"/>
        <v>910099.24143874669</v>
      </c>
      <c r="M159" s="12"/>
      <c r="N159" s="12"/>
      <c r="O159" s="12"/>
      <c r="Q159" s="118">
        <f t="shared" ca="1" si="40"/>
        <v>69.32040141642787</v>
      </c>
      <c r="R159" s="119">
        <f t="shared" ca="1" si="30"/>
        <v>31</v>
      </c>
      <c r="S159" s="120">
        <v>365</v>
      </c>
      <c r="U159" s="123">
        <v>72</v>
      </c>
      <c r="V159" s="123">
        <v>6.4554E-3</v>
      </c>
      <c r="W159" s="123" t="s">
        <v>82</v>
      </c>
      <c r="AC159" s="224">
        <v>3000</v>
      </c>
      <c r="AD159" s="225">
        <f t="shared" ca="1" si="34"/>
        <v>14080.768034383158</v>
      </c>
      <c r="AE159" s="226">
        <f t="shared" ca="1" si="35"/>
        <v>49100</v>
      </c>
      <c r="AF159" s="227">
        <f t="shared" ca="1" si="36"/>
        <v>14080.768034383158</v>
      </c>
      <c r="AG159" s="225">
        <f t="shared" ca="1" si="37"/>
        <v>14347.790130957257</v>
      </c>
      <c r="AH159" s="220"/>
      <c r="AI159" s="97"/>
      <c r="AJ159" s="97"/>
      <c r="AK159" s="97"/>
      <c r="AL159" s="97"/>
      <c r="AM159" s="97"/>
      <c r="AP159" s="157"/>
      <c r="AQ159" s="191"/>
      <c r="AR159" s="191"/>
      <c r="AS159" s="192"/>
      <c r="AT159" s="193"/>
      <c r="AU159" s="194"/>
      <c r="AV159" s="194"/>
      <c r="AW159" s="193"/>
      <c r="AX159" s="194"/>
      <c r="AY159" s="193"/>
      <c r="AZ159" s="195"/>
    </row>
    <row r="160" spans="1:52" ht="15.5" x14ac:dyDescent="0.35">
      <c r="A160" s="197">
        <f t="shared" si="31"/>
        <v>140</v>
      </c>
      <c r="B160" s="98">
        <f t="shared" si="38"/>
        <v>101</v>
      </c>
      <c r="C160" s="99">
        <f t="shared" ca="1" si="41"/>
        <v>49130</v>
      </c>
      <c r="D160" s="100">
        <f t="shared" ca="1" si="42"/>
        <v>910099.24143874669</v>
      </c>
      <c r="E160" s="100">
        <f t="shared" ca="1" si="43"/>
        <v>11740.280214559833</v>
      </c>
      <c r="F160" s="100">
        <f t="shared" ca="1" si="44"/>
        <v>921839.52165330655</v>
      </c>
      <c r="G160" s="100">
        <f t="shared" ca="1" si="39"/>
        <v>2340.4878198233255</v>
      </c>
      <c r="H160" s="100">
        <f t="shared" ca="1" si="32"/>
        <v>14080.768034383158</v>
      </c>
      <c r="I160" s="100">
        <f t="shared" ca="1" si="45"/>
        <v>155.62697028602568</v>
      </c>
      <c r="J160" s="100">
        <f t="shared" ca="1" si="33"/>
        <v>111</v>
      </c>
      <c r="K160" s="100">
        <f t="shared" ca="1" si="46"/>
        <v>14347.395004669184</v>
      </c>
      <c r="L160" s="101">
        <f t="shared" ca="1" si="47"/>
        <v>907758.75361892337</v>
      </c>
      <c r="M160" s="12"/>
      <c r="N160" s="12"/>
      <c r="O160" s="12"/>
      <c r="Q160" s="118">
        <f t="shared" ca="1" si="40"/>
        <v>70.21463459469976</v>
      </c>
      <c r="R160" s="119">
        <f t="shared" ca="1" si="30"/>
        <v>30</v>
      </c>
      <c r="S160" s="120">
        <v>365</v>
      </c>
      <c r="U160" s="123">
        <v>73</v>
      </c>
      <c r="V160" s="123">
        <v>6.4554E-3</v>
      </c>
      <c r="W160" s="123" t="s">
        <v>82</v>
      </c>
      <c r="AC160" s="224">
        <v>3030</v>
      </c>
      <c r="AD160" s="225">
        <f t="shared" ca="1" si="34"/>
        <v>14080.768034383158</v>
      </c>
      <c r="AE160" s="226">
        <f t="shared" ca="1" si="35"/>
        <v>49130</v>
      </c>
      <c r="AF160" s="227">
        <f t="shared" ca="1" si="36"/>
        <v>14080.768034383158</v>
      </c>
      <c r="AG160" s="225">
        <f t="shared" ca="1" si="37"/>
        <v>14347.395004669184</v>
      </c>
      <c r="AH160" s="220"/>
      <c r="AI160" s="97"/>
      <c r="AJ160" s="97"/>
      <c r="AK160" s="97"/>
      <c r="AL160" s="97"/>
      <c r="AM160" s="97"/>
      <c r="AP160" s="157"/>
      <c r="AQ160" s="186"/>
      <c r="AR160" s="186"/>
      <c r="AS160" s="187"/>
      <c r="AT160" s="188"/>
      <c r="AU160" s="189"/>
      <c r="AV160" s="189"/>
      <c r="AW160" s="188"/>
      <c r="AX160" s="189"/>
      <c r="AY160" s="188"/>
      <c r="AZ160" s="190"/>
    </row>
    <row r="161" spans="1:52" ht="15.5" x14ac:dyDescent="0.35">
      <c r="A161" s="197">
        <f t="shared" si="31"/>
        <v>139</v>
      </c>
      <c r="B161" s="98">
        <f t="shared" si="38"/>
        <v>102</v>
      </c>
      <c r="C161" s="99">
        <f t="shared" ca="1" si="41"/>
        <v>49161</v>
      </c>
      <c r="D161" s="100">
        <f t="shared" ca="1" si="42"/>
        <v>907758.75361892337</v>
      </c>
      <c r="E161" s="100">
        <f t="shared" ca="1" si="43"/>
        <v>11710.087921684111</v>
      </c>
      <c r="F161" s="100">
        <f t="shared" ca="1" si="44"/>
        <v>919468.84154060751</v>
      </c>
      <c r="G161" s="100">
        <f t="shared" ca="1" si="39"/>
        <v>2370.6801126990467</v>
      </c>
      <c r="H161" s="100">
        <f t="shared" ca="1" si="32"/>
        <v>14080.768034383158</v>
      </c>
      <c r="I161" s="100">
        <f t="shared" ca="1" si="45"/>
        <v>155.2267468688359</v>
      </c>
      <c r="J161" s="100">
        <f t="shared" ca="1" si="33"/>
        <v>111</v>
      </c>
      <c r="K161" s="100">
        <f t="shared" ca="1" si="46"/>
        <v>14346.994781251993</v>
      </c>
      <c r="L161" s="101">
        <f t="shared" ca="1" si="47"/>
        <v>905388.07350622432</v>
      </c>
      <c r="M161" s="12"/>
      <c r="N161" s="12"/>
      <c r="O161" s="12"/>
      <c r="Q161" s="118">
        <f t="shared" ca="1" si="40"/>
        <v>71.120403380971396</v>
      </c>
      <c r="R161" s="119">
        <f t="shared" ca="1" si="30"/>
        <v>31</v>
      </c>
      <c r="S161" s="120">
        <v>365</v>
      </c>
      <c r="U161" s="123">
        <v>74</v>
      </c>
      <c r="V161" s="123">
        <v>6.4554E-3</v>
      </c>
      <c r="W161" s="123" t="s">
        <v>82</v>
      </c>
      <c r="AC161" s="224">
        <v>3060</v>
      </c>
      <c r="AD161" s="225">
        <f t="shared" ca="1" si="34"/>
        <v>14080.768034383158</v>
      </c>
      <c r="AE161" s="226">
        <f t="shared" ca="1" si="35"/>
        <v>49161</v>
      </c>
      <c r="AF161" s="227">
        <f t="shared" ca="1" si="36"/>
        <v>14080.768034383158</v>
      </c>
      <c r="AG161" s="225">
        <f t="shared" ca="1" si="37"/>
        <v>14346.994781251993</v>
      </c>
      <c r="AH161" s="220"/>
      <c r="AI161" s="97"/>
      <c r="AJ161" s="97"/>
      <c r="AK161" s="97"/>
      <c r="AL161" s="97"/>
      <c r="AM161" s="97"/>
      <c r="AP161" s="157"/>
      <c r="AQ161" s="191"/>
      <c r="AR161" s="191"/>
      <c r="AS161" s="192"/>
      <c r="AT161" s="193"/>
      <c r="AU161" s="194"/>
      <c r="AV161" s="194"/>
      <c r="AW161" s="193"/>
      <c r="AX161" s="194"/>
      <c r="AY161" s="193"/>
      <c r="AZ161" s="195"/>
    </row>
    <row r="162" spans="1:52" ht="15.5" x14ac:dyDescent="0.35">
      <c r="A162" s="197">
        <f t="shared" si="31"/>
        <v>138</v>
      </c>
      <c r="B162" s="98">
        <f t="shared" si="38"/>
        <v>103</v>
      </c>
      <c r="C162" s="99">
        <f t="shared" ca="1" si="41"/>
        <v>49192</v>
      </c>
      <c r="D162" s="100">
        <f t="shared" ca="1" si="42"/>
        <v>905388.07350622432</v>
      </c>
      <c r="E162" s="100">
        <f t="shared" ca="1" si="43"/>
        <v>11679.506148230294</v>
      </c>
      <c r="F162" s="100">
        <f t="shared" ca="1" si="44"/>
        <v>917067.5796544546</v>
      </c>
      <c r="G162" s="100">
        <f t="shared" ca="1" si="39"/>
        <v>2401.2618861528645</v>
      </c>
      <c r="H162" s="100">
        <f t="shared" ca="1" si="32"/>
        <v>14080.768034383158</v>
      </c>
      <c r="I162" s="100">
        <f t="shared" ca="1" si="45"/>
        <v>154.82136056956438</v>
      </c>
      <c r="J162" s="100">
        <f t="shared" ca="1" si="33"/>
        <v>111</v>
      </c>
      <c r="K162" s="100">
        <f t="shared" ca="1" si="46"/>
        <v>14346.589394952722</v>
      </c>
      <c r="L162" s="101">
        <f t="shared" ca="1" si="47"/>
        <v>902986.81162007141</v>
      </c>
      <c r="M162" s="12"/>
      <c r="N162" s="12"/>
      <c r="O162" s="12"/>
      <c r="Q162" s="118">
        <f t="shared" ca="1" si="40"/>
        <v>72.037856584585924</v>
      </c>
      <c r="R162" s="119">
        <f t="shared" ca="1" si="30"/>
        <v>31</v>
      </c>
      <c r="S162" s="120">
        <v>365</v>
      </c>
      <c r="U162" s="123">
        <v>75</v>
      </c>
      <c r="V162" s="123">
        <v>6.4554E-3</v>
      </c>
      <c r="W162" s="123" t="s">
        <v>82</v>
      </c>
      <c r="AC162" s="224">
        <v>3090</v>
      </c>
      <c r="AD162" s="225">
        <f t="shared" ca="1" si="34"/>
        <v>14080.768034383158</v>
      </c>
      <c r="AE162" s="226">
        <f t="shared" ca="1" si="35"/>
        <v>49192</v>
      </c>
      <c r="AF162" s="227">
        <f t="shared" ca="1" si="36"/>
        <v>14080.768034383158</v>
      </c>
      <c r="AG162" s="225">
        <f t="shared" ca="1" si="37"/>
        <v>14346.589394952722</v>
      </c>
      <c r="AH162" s="220"/>
      <c r="AI162" s="97"/>
      <c r="AJ162" s="97"/>
      <c r="AK162" s="97"/>
      <c r="AL162" s="97"/>
      <c r="AM162" s="97"/>
      <c r="AP162" s="157"/>
      <c r="AQ162" s="186"/>
      <c r="AR162" s="186"/>
      <c r="AS162" s="187"/>
      <c r="AT162" s="188"/>
      <c r="AU162" s="189"/>
      <c r="AV162" s="189"/>
      <c r="AW162" s="188"/>
      <c r="AX162" s="189"/>
      <c r="AY162" s="188"/>
      <c r="AZ162" s="190"/>
    </row>
    <row r="163" spans="1:52" ht="15.5" x14ac:dyDescent="0.35">
      <c r="A163" s="197">
        <f t="shared" si="31"/>
        <v>137</v>
      </c>
      <c r="B163" s="98">
        <f t="shared" si="38"/>
        <v>104</v>
      </c>
      <c r="C163" s="99">
        <f t="shared" ca="1" si="41"/>
        <v>49222</v>
      </c>
      <c r="D163" s="100">
        <f t="shared" ca="1" si="42"/>
        <v>902986.81162007141</v>
      </c>
      <c r="E163" s="100">
        <f t="shared" ca="1" si="43"/>
        <v>11648.529869898921</v>
      </c>
      <c r="F163" s="100">
        <f t="shared" ca="1" si="44"/>
        <v>914635.34148997033</v>
      </c>
      <c r="G163" s="100">
        <f t="shared" ca="1" si="39"/>
        <v>2432.2381644842371</v>
      </c>
      <c r="H163" s="100">
        <f t="shared" ca="1" si="32"/>
        <v>14080.768034383158</v>
      </c>
      <c r="I163" s="100">
        <f t="shared" ca="1" si="45"/>
        <v>154.41074478703223</v>
      </c>
      <c r="J163" s="100">
        <f t="shared" ca="1" si="33"/>
        <v>111</v>
      </c>
      <c r="K163" s="100">
        <f t="shared" ca="1" si="46"/>
        <v>14346.17877917019</v>
      </c>
      <c r="L163" s="101">
        <f t="shared" ca="1" si="47"/>
        <v>900554.57345558715</v>
      </c>
      <c r="M163" s="12"/>
      <c r="N163" s="12"/>
      <c r="O163" s="12"/>
      <c r="Q163" s="118">
        <f t="shared" ca="1" si="40"/>
        <v>72.967144934527113</v>
      </c>
      <c r="R163" s="119">
        <f t="shared" ca="1" si="30"/>
        <v>30</v>
      </c>
      <c r="S163" s="120">
        <v>365</v>
      </c>
      <c r="U163" s="123">
        <v>76</v>
      </c>
      <c r="V163" s="123">
        <v>1.1433E-2</v>
      </c>
      <c r="W163" s="123" t="s">
        <v>83</v>
      </c>
      <c r="AC163" s="224">
        <v>3120</v>
      </c>
      <c r="AD163" s="225">
        <f t="shared" ca="1" si="34"/>
        <v>14080.768034383158</v>
      </c>
      <c r="AE163" s="226">
        <f t="shared" ca="1" si="35"/>
        <v>49222</v>
      </c>
      <c r="AF163" s="227">
        <f t="shared" ca="1" si="36"/>
        <v>14080.768034383158</v>
      </c>
      <c r="AG163" s="225">
        <f t="shared" ca="1" si="37"/>
        <v>14346.17877917019</v>
      </c>
      <c r="AH163" s="220"/>
      <c r="AI163" s="97"/>
      <c r="AJ163" s="97"/>
      <c r="AK163" s="97"/>
      <c r="AL163" s="97"/>
      <c r="AM163" s="97"/>
      <c r="AP163" s="157"/>
      <c r="AQ163" s="191"/>
      <c r="AR163" s="191"/>
      <c r="AS163" s="192"/>
      <c r="AT163" s="193"/>
      <c r="AU163" s="194"/>
      <c r="AV163" s="194"/>
      <c r="AW163" s="193"/>
      <c r="AX163" s="194"/>
      <c r="AY163" s="193"/>
      <c r="AZ163" s="195"/>
    </row>
    <row r="164" spans="1:52" ht="15.5" x14ac:dyDescent="0.35">
      <c r="A164" s="197">
        <f t="shared" si="31"/>
        <v>136</v>
      </c>
      <c r="B164" s="98">
        <f t="shared" si="38"/>
        <v>105</v>
      </c>
      <c r="C164" s="99">
        <f t="shared" ca="1" si="41"/>
        <v>49253</v>
      </c>
      <c r="D164" s="100">
        <f t="shared" ca="1" si="42"/>
        <v>900554.57345558715</v>
      </c>
      <c r="E164" s="100">
        <f t="shared" ca="1" si="43"/>
        <v>11617.153997577074</v>
      </c>
      <c r="F164" s="100">
        <f t="shared" ca="1" si="44"/>
        <v>912171.72745316417</v>
      </c>
      <c r="G164" s="100">
        <f t="shared" ca="1" si="39"/>
        <v>2463.6140368060805</v>
      </c>
      <c r="H164" s="100">
        <f t="shared" ca="1" si="32"/>
        <v>14080.768034383154</v>
      </c>
      <c r="I164" s="100">
        <f t="shared" ca="1" si="45"/>
        <v>153.99483206090542</v>
      </c>
      <c r="J164" s="100">
        <f t="shared" ca="1" si="33"/>
        <v>111</v>
      </c>
      <c r="K164" s="100">
        <f t="shared" ca="1" si="46"/>
        <v>14345.76286644406</v>
      </c>
      <c r="L164" s="101">
        <f t="shared" ca="1" si="47"/>
        <v>898090.9594187811</v>
      </c>
      <c r="M164" s="12"/>
      <c r="N164" s="12"/>
      <c r="O164" s="12"/>
      <c r="Q164" s="118">
        <f t="shared" ca="1" si="40"/>
        <v>73.908421104182409</v>
      </c>
      <c r="R164" s="119">
        <f t="shared" ca="1" si="30"/>
        <v>31</v>
      </c>
      <c r="S164" s="120">
        <v>365</v>
      </c>
      <c r="U164" s="123">
        <v>77</v>
      </c>
      <c r="V164" s="123">
        <v>1.1433E-2</v>
      </c>
      <c r="W164" s="123" t="s">
        <v>83</v>
      </c>
      <c r="AC164" s="224">
        <v>3150</v>
      </c>
      <c r="AD164" s="225">
        <f t="shared" ca="1" si="34"/>
        <v>14080.768034383154</v>
      </c>
      <c r="AE164" s="226">
        <f t="shared" ca="1" si="35"/>
        <v>49253</v>
      </c>
      <c r="AF164" s="227">
        <f t="shared" ca="1" si="36"/>
        <v>14080.768034383154</v>
      </c>
      <c r="AG164" s="225">
        <f t="shared" ca="1" si="37"/>
        <v>14345.76286644406</v>
      </c>
      <c r="AH164" s="220"/>
      <c r="AI164" s="97"/>
      <c r="AJ164" s="97"/>
      <c r="AK164" s="97"/>
      <c r="AL164" s="97"/>
      <c r="AM164" s="97"/>
      <c r="AP164" s="157"/>
      <c r="AQ164" s="186"/>
      <c r="AR164" s="186"/>
      <c r="AS164" s="187"/>
      <c r="AT164" s="188"/>
      <c r="AU164" s="189"/>
      <c r="AV164" s="189"/>
      <c r="AW164" s="188"/>
      <c r="AX164" s="189"/>
      <c r="AY164" s="188"/>
      <c r="AZ164" s="190"/>
    </row>
    <row r="165" spans="1:52" ht="15.5" x14ac:dyDescent="0.35">
      <c r="A165" s="197">
        <f t="shared" si="31"/>
        <v>135</v>
      </c>
      <c r="B165" s="98">
        <f t="shared" si="38"/>
        <v>106</v>
      </c>
      <c r="C165" s="99">
        <f t="shared" ca="1" si="41"/>
        <v>49283</v>
      </c>
      <c r="D165" s="100">
        <f t="shared" ca="1" si="42"/>
        <v>898090.9594187811</v>
      </c>
      <c r="E165" s="100">
        <f t="shared" ca="1" si="43"/>
        <v>11585.373376502277</v>
      </c>
      <c r="F165" s="100">
        <f t="shared" ca="1" si="44"/>
        <v>909676.33279528341</v>
      </c>
      <c r="G165" s="100">
        <f t="shared" ca="1" si="39"/>
        <v>2495.3946578808809</v>
      </c>
      <c r="H165" s="100">
        <f t="shared" ca="1" si="32"/>
        <v>14080.768034383158</v>
      </c>
      <c r="I165" s="100">
        <f t="shared" ca="1" si="45"/>
        <v>153.57355406061157</v>
      </c>
      <c r="J165" s="100">
        <f t="shared" ca="1" si="33"/>
        <v>111</v>
      </c>
      <c r="K165" s="100">
        <f t="shared" ca="1" si="46"/>
        <v>14345.341588443769</v>
      </c>
      <c r="L165" s="101">
        <f t="shared" ca="1" si="47"/>
        <v>895595.56476090022</v>
      </c>
      <c r="M165" s="12"/>
      <c r="N165" s="12"/>
      <c r="O165" s="12"/>
      <c r="Q165" s="118">
        <f t="shared" ca="1" si="40"/>
        <v>74.861839736426418</v>
      </c>
      <c r="R165" s="119">
        <f t="shared" ca="1" si="30"/>
        <v>30</v>
      </c>
      <c r="S165" s="120">
        <v>365</v>
      </c>
      <c r="U165" s="123">
        <v>78</v>
      </c>
      <c r="V165" s="123">
        <v>1.1433E-2</v>
      </c>
      <c r="W165" s="123" t="s">
        <v>83</v>
      </c>
      <c r="AC165" s="224">
        <v>3180</v>
      </c>
      <c r="AD165" s="225">
        <f t="shared" ca="1" si="34"/>
        <v>14080.768034383158</v>
      </c>
      <c r="AE165" s="226">
        <f t="shared" ca="1" si="35"/>
        <v>49283</v>
      </c>
      <c r="AF165" s="227">
        <f t="shared" ca="1" si="36"/>
        <v>14080.768034383158</v>
      </c>
      <c r="AG165" s="225">
        <f t="shared" ca="1" si="37"/>
        <v>14345.341588443769</v>
      </c>
      <c r="AH165" s="220"/>
      <c r="AI165" s="97"/>
      <c r="AJ165" s="97"/>
      <c r="AK165" s="97"/>
      <c r="AL165" s="97"/>
      <c r="AM165" s="97"/>
      <c r="AP165" s="157"/>
      <c r="AQ165" s="191"/>
      <c r="AR165" s="191"/>
      <c r="AS165" s="192"/>
      <c r="AT165" s="193"/>
      <c r="AU165" s="194"/>
      <c r="AV165" s="194"/>
      <c r="AW165" s="193"/>
      <c r="AX165" s="194"/>
      <c r="AY165" s="193"/>
      <c r="AZ165" s="195"/>
    </row>
    <row r="166" spans="1:52" ht="15.5" x14ac:dyDescent="0.35">
      <c r="A166" s="197">
        <f t="shared" si="31"/>
        <v>134</v>
      </c>
      <c r="B166" s="98">
        <f t="shared" si="38"/>
        <v>107</v>
      </c>
      <c r="C166" s="99">
        <f t="shared" ca="1" si="41"/>
        <v>49314</v>
      </c>
      <c r="D166" s="100">
        <f t="shared" ca="1" si="42"/>
        <v>895595.56476090022</v>
      </c>
      <c r="E166" s="100">
        <f t="shared" ca="1" si="43"/>
        <v>11553.182785415613</v>
      </c>
      <c r="F166" s="100">
        <f t="shared" ca="1" si="44"/>
        <v>907148.74754631578</v>
      </c>
      <c r="G166" s="100">
        <f t="shared" ca="1" si="39"/>
        <v>2527.5852489675453</v>
      </c>
      <c r="H166" s="100">
        <f t="shared" ca="1" si="32"/>
        <v>14080.768034383158</v>
      </c>
      <c r="I166" s="100">
        <f t="shared" ca="1" si="45"/>
        <v>153.14684157411395</v>
      </c>
      <c r="J166" s="100">
        <f t="shared" ca="1" si="33"/>
        <v>111</v>
      </c>
      <c r="K166" s="100">
        <f t="shared" ca="1" si="46"/>
        <v>14344.914875957273</v>
      </c>
      <c r="L166" s="101">
        <f t="shared" ca="1" si="47"/>
        <v>893067.9795119327</v>
      </c>
      <c r="M166" s="12"/>
      <c r="N166" s="12"/>
      <c r="O166" s="12"/>
      <c r="Q166" s="118">
        <f t="shared" ca="1" si="40"/>
        <v>75.82755746902636</v>
      </c>
      <c r="R166" s="119">
        <f t="shared" ca="1" si="30"/>
        <v>31</v>
      </c>
      <c r="S166" s="120">
        <v>365</v>
      </c>
      <c r="U166" s="123">
        <v>79</v>
      </c>
      <c r="V166" s="123">
        <v>1.1433E-2</v>
      </c>
      <c r="W166" s="123" t="s">
        <v>83</v>
      </c>
      <c r="AC166" s="224">
        <v>3210</v>
      </c>
      <c r="AD166" s="225">
        <f t="shared" ca="1" si="34"/>
        <v>14080.768034383158</v>
      </c>
      <c r="AE166" s="226">
        <f t="shared" ca="1" si="35"/>
        <v>49314</v>
      </c>
      <c r="AF166" s="227">
        <f t="shared" ca="1" si="36"/>
        <v>14080.768034383158</v>
      </c>
      <c r="AG166" s="225">
        <f t="shared" ca="1" si="37"/>
        <v>14344.914875957273</v>
      </c>
      <c r="AH166" s="220"/>
      <c r="AI166" s="97"/>
      <c r="AJ166" s="97"/>
      <c r="AK166" s="97"/>
      <c r="AL166" s="97"/>
      <c r="AM166" s="97"/>
      <c r="AP166" s="157"/>
      <c r="AQ166" s="186"/>
      <c r="AR166" s="186"/>
      <c r="AS166" s="187"/>
      <c r="AT166" s="188"/>
      <c r="AU166" s="189"/>
      <c r="AV166" s="189"/>
      <c r="AW166" s="188"/>
      <c r="AX166" s="189"/>
      <c r="AY166" s="188"/>
      <c r="AZ166" s="190"/>
    </row>
    <row r="167" spans="1:52" ht="15.5" x14ac:dyDescent="0.35">
      <c r="A167" s="197">
        <f t="shared" si="31"/>
        <v>133</v>
      </c>
      <c r="B167" s="98">
        <f t="shared" si="38"/>
        <v>108</v>
      </c>
      <c r="C167" s="99">
        <f t="shared" ca="1" si="41"/>
        <v>49345</v>
      </c>
      <c r="D167" s="100">
        <f t="shared" ca="1" si="42"/>
        <v>893067.9795119327</v>
      </c>
      <c r="E167" s="100">
        <f t="shared" ca="1" si="43"/>
        <v>11520.576935703932</v>
      </c>
      <c r="F167" s="100">
        <f t="shared" ca="1" si="44"/>
        <v>904588.55644763669</v>
      </c>
      <c r="G167" s="100">
        <f t="shared" ca="1" si="39"/>
        <v>2560.1910986792263</v>
      </c>
      <c r="H167" s="100">
        <f t="shared" ca="1" si="32"/>
        <v>14080.768034383158</v>
      </c>
      <c r="I167" s="100">
        <f t="shared" ca="1" si="45"/>
        <v>152.71462449654049</v>
      </c>
      <c r="J167" s="100">
        <f t="shared" ca="1" si="33"/>
        <v>111</v>
      </c>
      <c r="K167" s="100">
        <f t="shared" ca="1" si="46"/>
        <v>14344.482658879699</v>
      </c>
      <c r="L167" s="101">
        <f t="shared" ca="1" si="47"/>
        <v>890507.7884132535</v>
      </c>
      <c r="M167" s="12"/>
      <c r="N167" s="12"/>
      <c r="O167" s="12"/>
      <c r="Q167" s="118">
        <f t="shared" ca="1" si="40"/>
        <v>76.805732960376787</v>
      </c>
      <c r="R167" s="119">
        <f t="shared" ca="1" si="30"/>
        <v>31</v>
      </c>
      <c r="S167" s="120">
        <v>365</v>
      </c>
      <c r="U167" s="123">
        <v>80</v>
      </c>
      <c r="V167" s="123">
        <v>1.1433E-2</v>
      </c>
      <c r="W167" s="123" t="s">
        <v>83</v>
      </c>
      <c r="AC167" s="224">
        <v>3240</v>
      </c>
      <c r="AD167" s="225">
        <f t="shared" ca="1" si="34"/>
        <v>14080.768034383158</v>
      </c>
      <c r="AE167" s="226">
        <f t="shared" ca="1" si="35"/>
        <v>49345</v>
      </c>
      <c r="AF167" s="227">
        <f t="shared" ca="1" si="36"/>
        <v>14080.768034383158</v>
      </c>
      <c r="AG167" s="225">
        <f t="shared" ca="1" si="37"/>
        <v>14344.482658879699</v>
      </c>
      <c r="AH167" s="220"/>
      <c r="AI167" s="97"/>
      <c r="AJ167" s="97"/>
      <c r="AK167" s="97"/>
      <c r="AL167" s="97"/>
      <c r="AM167" s="97"/>
      <c r="AP167" s="157"/>
      <c r="AQ167" s="191"/>
      <c r="AR167" s="191"/>
      <c r="AS167" s="192"/>
      <c r="AT167" s="193"/>
      <c r="AU167" s="194"/>
      <c r="AV167" s="194"/>
      <c r="AW167" s="193"/>
      <c r="AX167" s="194"/>
      <c r="AY167" s="193"/>
      <c r="AZ167" s="195"/>
    </row>
    <row r="168" spans="1:52" ht="15.5" x14ac:dyDescent="0.35">
      <c r="A168" s="197">
        <f t="shared" si="31"/>
        <v>132</v>
      </c>
      <c r="B168" s="98">
        <f t="shared" si="38"/>
        <v>109</v>
      </c>
      <c r="C168" s="99">
        <f t="shared" ca="1" si="41"/>
        <v>49373</v>
      </c>
      <c r="D168" s="100">
        <f t="shared" ca="1" si="42"/>
        <v>890507.7884132535</v>
      </c>
      <c r="E168" s="100">
        <f t="shared" ca="1" si="43"/>
        <v>11487.55047053097</v>
      </c>
      <c r="F168" s="100">
        <f t="shared" ca="1" si="44"/>
        <v>901995.33888378448</v>
      </c>
      <c r="G168" s="100">
        <f t="shared" ca="1" si="39"/>
        <v>2593.2175638521876</v>
      </c>
      <c r="H168" s="100">
        <f t="shared" ca="1" si="32"/>
        <v>14080.768034383158</v>
      </c>
      <c r="I168" s="100">
        <f t="shared" ca="1" si="45"/>
        <v>152.27683181866635</v>
      </c>
      <c r="J168" s="100">
        <f t="shared" ca="1" si="33"/>
        <v>111</v>
      </c>
      <c r="K168" s="100">
        <f t="shared" ca="1" si="46"/>
        <v>14344.044866201824</v>
      </c>
      <c r="L168" s="101">
        <f t="shared" ca="1" si="47"/>
        <v>887914.57084940129</v>
      </c>
      <c r="M168" s="12"/>
      <c r="N168" s="12"/>
      <c r="O168" s="12"/>
      <c r="Q168" s="118">
        <f t="shared" ca="1" si="40"/>
        <v>77.796526915565622</v>
      </c>
      <c r="R168" s="119">
        <f t="shared" ca="1" si="30"/>
        <v>28</v>
      </c>
      <c r="S168" s="120">
        <v>365</v>
      </c>
      <c r="AC168" s="224">
        <v>3270</v>
      </c>
      <c r="AD168" s="225">
        <f t="shared" ca="1" si="34"/>
        <v>14080.768034383158</v>
      </c>
      <c r="AE168" s="226">
        <f t="shared" ca="1" si="35"/>
        <v>49373</v>
      </c>
      <c r="AF168" s="227">
        <f t="shared" ca="1" si="36"/>
        <v>14080.768034383158</v>
      </c>
      <c r="AG168" s="225">
        <f t="shared" ca="1" si="37"/>
        <v>14344.044866201824</v>
      </c>
      <c r="AH168" s="220"/>
      <c r="AI168" s="97"/>
      <c r="AJ168" s="97"/>
      <c r="AK168" s="97"/>
      <c r="AL168" s="97"/>
      <c r="AM168" s="97"/>
      <c r="AP168" s="157"/>
      <c r="AQ168" s="186"/>
      <c r="AR168" s="186"/>
      <c r="AS168" s="187"/>
      <c r="AT168" s="188"/>
      <c r="AU168" s="189"/>
      <c r="AV168" s="189"/>
      <c r="AW168" s="188"/>
      <c r="AX168" s="189"/>
      <c r="AY168" s="188"/>
      <c r="AZ168" s="190"/>
    </row>
    <row r="169" spans="1:52" ht="15.5" x14ac:dyDescent="0.35">
      <c r="A169" s="197">
        <f t="shared" si="31"/>
        <v>131</v>
      </c>
      <c r="B169" s="98">
        <f t="shared" si="38"/>
        <v>110</v>
      </c>
      <c r="C169" s="99">
        <f t="shared" ca="1" si="41"/>
        <v>49404</v>
      </c>
      <c r="D169" s="100">
        <f t="shared" ca="1" si="42"/>
        <v>887914.57084940129</v>
      </c>
      <c r="E169" s="100">
        <f t="shared" ca="1" si="43"/>
        <v>11454.097963957276</v>
      </c>
      <c r="F169" s="100">
        <f t="shared" ca="1" si="44"/>
        <v>899368.66881335853</v>
      </c>
      <c r="G169" s="100">
        <f t="shared" ca="1" si="39"/>
        <v>2626.6700704258819</v>
      </c>
      <c r="H169" s="100">
        <f t="shared" ca="1" si="32"/>
        <v>14080.768034383158</v>
      </c>
      <c r="I169" s="100">
        <f t="shared" ca="1" si="45"/>
        <v>151.83339161524762</v>
      </c>
      <c r="J169" s="100">
        <f t="shared" ca="1" si="33"/>
        <v>111</v>
      </c>
      <c r="K169" s="100">
        <f t="shared" ca="1" si="46"/>
        <v>14343.601425998406</v>
      </c>
      <c r="L169" s="101">
        <f t="shared" ca="1" si="47"/>
        <v>885287.90077897545</v>
      </c>
      <c r="M169" s="12"/>
      <c r="N169" s="12"/>
      <c r="O169" s="12"/>
      <c r="Q169" s="118">
        <f t="shared" ca="1" si="40"/>
        <v>78.800102112776457</v>
      </c>
      <c r="R169" s="119">
        <f t="shared" ca="1" si="30"/>
        <v>31</v>
      </c>
      <c r="S169" s="120">
        <v>365</v>
      </c>
      <c r="AC169" s="224">
        <v>3300</v>
      </c>
      <c r="AD169" s="225">
        <f t="shared" ca="1" si="34"/>
        <v>14080.768034383158</v>
      </c>
      <c r="AE169" s="226">
        <f t="shared" ca="1" si="35"/>
        <v>49404</v>
      </c>
      <c r="AF169" s="227">
        <f t="shared" ca="1" si="36"/>
        <v>14080.768034383158</v>
      </c>
      <c r="AG169" s="225">
        <f t="shared" ca="1" si="37"/>
        <v>14343.601425998406</v>
      </c>
      <c r="AH169" s="220"/>
      <c r="AI169" s="97"/>
      <c r="AJ169" s="97"/>
      <c r="AK169" s="97"/>
      <c r="AL169" s="97"/>
      <c r="AM169" s="97"/>
      <c r="AP169" s="157"/>
      <c r="AQ169" s="191"/>
      <c r="AR169" s="191"/>
      <c r="AS169" s="192"/>
      <c r="AT169" s="193"/>
      <c r="AU169" s="194"/>
      <c r="AV169" s="194"/>
      <c r="AW169" s="193"/>
      <c r="AX169" s="194"/>
      <c r="AY169" s="193"/>
      <c r="AZ169" s="195"/>
    </row>
    <row r="170" spans="1:52" ht="15.5" x14ac:dyDescent="0.35">
      <c r="A170" s="197">
        <f t="shared" si="31"/>
        <v>130</v>
      </c>
      <c r="B170" s="98">
        <f t="shared" si="38"/>
        <v>111</v>
      </c>
      <c r="C170" s="99">
        <f t="shared" ca="1" si="41"/>
        <v>49434</v>
      </c>
      <c r="D170" s="100">
        <f t="shared" ca="1" si="42"/>
        <v>885287.90077897545</v>
      </c>
      <c r="E170" s="100">
        <f t="shared" ca="1" si="43"/>
        <v>11420.213920048784</v>
      </c>
      <c r="F170" s="100">
        <f t="shared" ca="1" si="44"/>
        <v>896708.11469902424</v>
      </c>
      <c r="G170" s="100">
        <f t="shared" ca="1" si="39"/>
        <v>2660.5541143343744</v>
      </c>
      <c r="H170" s="100">
        <f t="shared" ca="1" si="32"/>
        <v>14080.768034383158</v>
      </c>
      <c r="I170" s="100">
        <f t="shared" ca="1" si="45"/>
        <v>151.3842310332048</v>
      </c>
      <c r="J170" s="100">
        <f t="shared" ca="1" si="33"/>
        <v>111</v>
      </c>
      <c r="K170" s="100">
        <f t="shared" ca="1" si="46"/>
        <v>14343.152265416364</v>
      </c>
      <c r="L170" s="101">
        <f t="shared" ca="1" si="47"/>
        <v>882627.34666464105</v>
      </c>
      <c r="M170" s="12"/>
      <c r="N170" s="12"/>
      <c r="O170" s="12"/>
      <c r="Q170" s="118">
        <f t="shared" ca="1" si="40"/>
        <v>79.816623430031228</v>
      </c>
      <c r="R170" s="119">
        <f t="shared" ca="1" si="30"/>
        <v>30</v>
      </c>
      <c r="S170" s="120">
        <v>365</v>
      </c>
      <c r="AC170" s="224">
        <v>3330</v>
      </c>
      <c r="AD170" s="225">
        <f t="shared" ca="1" si="34"/>
        <v>14080.768034383158</v>
      </c>
      <c r="AE170" s="226">
        <f t="shared" ca="1" si="35"/>
        <v>49434</v>
      </c>
      <c r="AF170" s="227">
        <f t="shared" ca="1" si="36"/>
        <v>14080.768034383158</v>
      </c>
      <c r="AG170" s="225">
        <f t="shared" ca="1" si="37"/>
        <v>14343.152265416364</v>
      </c>
      <c r="AH170" s="220"/>
      <c r="AI170" s="97"/>
      <c r="AJ170" s="97"/>
      <c r="AK170" s="97"/>
      <c r="AL170" s="97"/>
      <c r="AM170" s="97"/>
      <c r="AP170" s="157"/>
      <c r="AQ170" s="186"/>
      <c r="AR170" s="186"/>
      <c r="AS170" s="187"/>
      <c r="AT170" s="188"/>
      <c r="AU170" s="189"/>
      <c r="AV170" s="189"/>
      <c r="AW170" s="188"/>
      <c r="AX170" s="189"/>
      <c r="AY170" s="188"/>
      <c r="AZ170" s="190"/>
    </row>
    <row r="171" spans="1:52" ht="15.5" x14ac:dyDescent="0.35">
      <c r="A171" s="197">
        <f t="shared" si="31"/>
        <v>129</v>
      </c>
      <c r="B171" s="98">
        <f t="shared" si="38"/>
        <v>112</v>
      </c>
      <c r="C171" s="99">
        <f t="shared" ca="1" si="41"/>
        <v>49465</v>
      </c>
      <c r="D171" s="100">
        <f t="shared" ca="1" si="42"/>
        <v>882627.34666464105</v>
      </c>
      <c r="E171" s="100">
        <f t="shared" ca="1" si="43"/>
        <v>11385.892771973869</v>
      </c>
      <c r="F171" s="100">
        <f t="shared" ca="1" si="44"/>
        <v>894013.23943661491</v>
      </c>
      <c r="G171" s="100">
        <f t="shared" ca="1" si="39"/>
        <v>2694.8752624092886</v>
      </c>
      <c r="H171" s="100">
        <f t="shared" ca="1" si="32"/>
        <v>14080.768034383158</v>
      </c>
      <c r="I171" s="100">
        <f t="shared" ca="1" si="45"/>
        <v>150.92927627965364</v>
      </c>
      <c r="J171" s="100">
        <f t="shared" ca="1" si="33"/>
        <v>111</v>
      </c>
      <c r="K171" s="100">
        <f t="shared" ca="1" si="46"/>
        <v>14342.697310662812</v>
      </c>
      <c r="L171" s="101">
        <f t="shared" ca="1" si="47"/>
        <v>879932.47140223172</v>
      </c>
      <c r="M171" s="12"/>
      <c r="N171" s="12"/>
      <c r="O171" s="12"/>
      <c r="Q171" s="118">
        <f t="shared" ca="1" si="40"/>
        <v>80.846257872278656</v>
      </c>
      <c r="R171" s="119">
        <f t="shared" ca="1" si="30"/>
        <v>31</v>
      </c>
      <c r="S171" s="120">
        <v>365</v>
      </c>
      <c r="AC171" s="224">
        <v>3360</v>
      </c>
      <c r="AD171" s="225">
        <f t="shared" ca="1" si="34"/>
        <v>14080.768034383158</v>
      </c>
      <c r="AE171" s="226">
        <f t="shared" ca="1" si="35"/>
        <v>49465</v>
      </c>
      <c r="AF171" s="227">
        <f t="shared" ca="1" si="36"/>
        <v>14080.768034383158</v>
      </c>
      <c r="AG171" s="225">
        <f t="shared" ca="1" si="37"/>
        <v>14342.697310662812</v>
      </c>
      <c r="AH171" s="220"/>
      <c r="AI171" s="97"/>
      <c r="AJ171" s="97"/>
      <c r="AK171" s="97"/>
      <c r="AL171" s="97"/>
      <c r="AM171" s="97"/>
      <c r="AP171" s="157"/>
      <c r="AQ171" s="191"/>
      <c r="AR171" s="191"/>
      <c r="AS171" s="192"/>
      <c r="AT171" s="193"/>
      <c r="AU171" s="194"/>
      <c r="AV171" s="194"/>
      <c r="AW171" s="193"/>
      <c r="AX171" s="194"/>
      <c r="AY171" s="193"/>
      <c r="AZ171" s="195"/>
    </row>
    <row r="172" spans="1:52" ht="15.5" x14ac:dyDescent="0.35">
      <c r="A172" s="197">
        <f t="shared" si="31"/>
        <v>128</v>
      </c>
      <c r="B172" s="98">
        <f t="shared" si="38"/>
        <v>113</v>
      </c>
      <c r="C172" s="99">
        <f t="shared" ca="1" si="41"/>
        <v>49495</v>
      </c>
      <c r="D172" s="100">
        <f t="shared" ca="1" si="42"/>
        <v>879932.47140223172</v>
      </c>
      <c r="E172" s="100">
        <f t="shared" ca="1" si="43"/>
        <v>11351.128881088789</v>
      </c>
      <c r="F172" s="100">
        <f t="shared" ca="1" si="44"/>
        <v>891283.60028332053</v>
      </c>
      <c r="G172" s="100">
        <f t="shared" ca="1" si="39"/>
        <v>2729.6391532943653</v>
      </c>
      <c r="H172" s="100">
        <f t="shared" ca="1" si="32"/>
        <v>14080.768034383154</v>
      </c>
      <c r="I172" s="100">
        <f t="shared" ca="1" si="45"/>
        <v>150.46845260978162</v>
      </c>
      <c r="J172" s="100">
        <f t="shared" ca="1" si="33"/>
        <v>111</v>
      </c>
      <c r="K172" s="100">
        <f t="shared" ca="1" si="46"/>
        <v>14342.236486992935</v>
      </c>
      <c r="L172" s="101">
        <f t="shared" ca="1" si="47"/>
        <v>877202.83224893734</v>
      </c>
      <c r="M172" s="12"/>
      <c r="N172" s="12"/>
      <c r="O172" s="12"/>
      <c r="Q172" s="118">
        <f t="shared" ca="1" si="40"/>
        <v>81.889174598830962</v>
      </c>
      <c r="R172" s="119">
        <f t="shared" ca="1" si="30"/>
        <v>30</v>
      </c>
      <c r="S172" s="120">
        <v>365</v>
      </c>
      <c r="AC172" s="224">
        <v>3390</v>
      </c>
      <c r="AD172" s="225">
        <f t="shared" ca="1" si="34"/>
        <v>14080.768034383154</v>
      </c>
      <c r="AE172" s="226">
        <f t="shared" ca="1" si="35"/>
        <v>49495</v>
      </c>
      <c r="AF172" s="227">
        <f t="shared" ca="1" si="36"/>
        <v>14080.768034383154</v>
      </c>
      <c r="AG172" s="225">
        <f t="shared" ca="1" si="37"/>
        <v>14342.236486992935</v>
      </c>
      <c r="AH172" s="220"/>
      <c r="AI172" s="97"/>
      <c r="AJ172" s="97"/>
      <c r="AK172" s="97"/>
      <c r="AL172" s="97"/>
      <c r="AM172" s="97"/>
      <c r="AP172" s="157"/>
      <c r="AQ172" s="186"/>
      <c r="AR172" s="186"/>
      <c r="AS172" s="187"/>
      <c r="AT172" s="188"/>
      <c r="AU172" s="189"/>
      <c r="AV172" s="189"/>
      <c r="AW172" s="188"/>
      <c r="AX172" s="189"/>
      <c r="AY172" s="188"/>
      <c r="AZ172" s="190"/>
    </row>
    <row r="173" spans="1:52" ht="15.5" x14ac:dyDescent="0.35">
      <c r="A173" s="197">
        <f t="shared" si="31"/>
        <v>127</v>
      </c>
      <c r="B173" s="98">
        <f t="shared" si="38"/>
        <v>114</v>
      </c>
      <c r="C173" s="99">
        <f t="shared" ca="1" si="41"/>
        <v>49526</v>
      </c>
      <c r="D173" s="100">
        <f t="shared" ca="1" si="42"/>
        <v>877202.83224893734</v>
      </c>
      <c r="E173" s="100">
        <f t="shared" ca="1" si="43"/>
        <v>11315.916536011291</v>
      </c>
      <c r="F173" s="100">
        <f t="shared" ca="1" si="44"/>
        <v>888518.74878494861</v>
      </c>
      <c r="G173" s="100">
        <f t="shared" ca="1" si="39"/>
        <v>2764.8514983718633</v>
      </c>
      <c r="H173" s="100">
        <f t="shared" ca="1" si="32"/>
        <v>14080.768034383154</v>
      </c>
      <c r="I173" s="100">
        <f t="shared" ca="1" si="45"/>
        <v>150.00168431456828</v>
      </c>
      <c r="J173" s="100">
        <f t="shared" ca="1" si="33"/>
        <v>111</v>
      </c>
      <c r="K173" s="100">
        <f t="shared" ca="1" si="46"/>
        <v>14341.769718697722</v>
      </c>
      <c r="L173" s="101">
        <f t="shared" ca="1" si="47"/>
        <v>874437.98075056542</v>
      </c>
      <c r="M173" s="12"/>
      <c r="N173" s="12"/>
      <c r="O173" s="12"/>
      <c r="Q173" s="118">
        <f t="shared" ca="1" si="40"/>
        <v>82.945544951155895</v>
      </c>
      <c r="R173" s="119">
        <f t="shared" ca="1" si="30"/>
        <v>31</v>
      </c>
      <c r="S173" s="120">
        <v>365</v>
      </c>
      <c r="AC173" s="224">
        <v>3420</v>
      </c>
      <c r="AD173" s="225">
        <f t="shared" ca="1" si="34"/>
        <v>14080.768034383154</v>
      </c>
      <c r="AE173" s="226">
        <f t="shared" ca="1" si="35"/>
        <v>49526</v>
      </c>
      <c r="AF173" s="227">
        <f t="shared" ca="1" si="36"/>
        <v>14080.768034383154</v>
      </c>
      <c r="AG173" s="225">
        <f t="shared" ca="1" si="37"/>
        <v>14341.769718697722</v>
      </c>
      <c r="AH173" s="220"/>
      <c r="AI173" s="97"/>
      <c r="AJ173" s="97"/>
      <c r="AK173" s="97"/>
      <c r="AL173" s="97"/>
      <c r="AM173" s="97"/>
      <c r="AP173" s="157"/>
      <c r="AQ173" s="191"/>
      <c r="AR173" s="191"/>
      <c r="AS173" s="192"/>
      <c r="AT173" s="193"/>
      <c r="AU173" s="194"/>
      <c r="AV173" s="194"/>
      <c r="AW173" s="193"/>
      <c r="AX173" s="194"/>
      <c r="AY173" s="193"/>
      <c r="AZ173" s="195"/>
    </row>
    <row r="174" spans="1:52" ht="15.5" x14ac:dyDescent="0.35">
      <c r="A174" s="197">
        <f t="shared" si="31"/>
        <v>126</v>
      </c>
      <c r="B174" s="98">
        <f t="shared" si="38"/>
        <v>115</v>
      </c>
      <c r="C174" s="99">
        <f t="shared" ca="1" si="41"/>
        <v>49557</v>
      </c>
      <c r="D174" s="100">
        <f t="shared" ca="1" si="42"/>
        <v>874437.98075056542</v>
      </c>
      <c r="E174" s="100">
        <f t="shared" ca="1" si="43"/>
        <v>11280.249951682294</v>
      </c>
      <c r="F174" s="100">
        <f t="shared" ca="1" si="44"/>
        <v>885718.2307022477</v>
      </c>
      <c r="G174" s="100">
        <f t="shared" ca="1" si="39"/>
        <v>2800.5180827008608</v>
      </c>
      <c r="H174" s="100">
        <f t="shared" ca="1" si="32"/>
        <v>14080.768034383154</v>
      </c>
      <c r="I174" s="100">
        <f t="shared" ca="1" si="45"/>
        <v>149.52889470834668</v>
      </c>
      <c r="J174" s="100">
        <f t="shared" ca="1" si="33"/>
        <v>111</v>
      </c>
      <c r="K174" s="100">
        <f t="shared" ca="1" si="46"/>
        <v>14341.296929091501</v>
      </c>
      <c r="L174" s="101">
        <f t="shared" ca="1" si="47"/>
        <v>871637.46266786451</v>
      </c>
      <c r="M174" s="12"/>
      <c r="N174" s="12"/>
      <c r="O174" s="12"/>
      <c r="Q174" s="118">
        <f t="shared" ca="1" si="40"/>
        <v>84.015542481025818</v>
      </c>
      <c r="R174" s="119">
        <f t="shared" ca="1" si="30"/>
        <v>31</v>
      </c>
      <c r="S174" s="120">
        <v>365</v>
      </c>
      <c r="AC174" s="224">
        <v>3450</v>
      </c>
      <c r="AD174" s="225">
        <f t="shared" ca="1" si="34"/>
        <v>14080.768034383154</v>
      </c>
      <c r="AE174" s="226">
        <f t="shared" ca="1" si="35"/>
        <v>49557</v>
      </c>
      <c r="AF174" s="227">
        <f t="shared" ca="1" si="36"/>
        <v>14080.768034383154</v>
      </c>
      <c r="AG174" s="225">
        <f t="shared" ca="1" si="37"/>
        <v>14341.296929091501</v>
      </c>
      <c r="AH174" s="220"/>
      <c r="AI174" s="97"/>
      <c r="AJ174" s="97"/>
      <c r="AK174" s="97"/>
      <c r="AL174" s="97"/>
      <c r="AM174" s="97"/>
      <c r="AP174" s="157"/>
      <c r="AQ174" s="186"/>
      <c r="AR174" s="186"/>
      <c r="AS174" s="187"/>
      <c r="AT174" s="188"/>
      <c r="AU174" s="189"/>
      <c r="AV174" s="189"/>
      <c r="AW174" s="188"/>
      <c r="AX174" s="189"/>
      <c r="AY174" s="188"/>
      <c r="AZ174" s="190"/>
    </row>
    <row r="175" spans="1:52" ht="15.5" x14ac:dyDescent="0.35">
      <c r="A175" s="197">
        <f t="shared" si="31"/>
        <v>125</v>
      </c>
      <c r="B175" s="98">
        <f t="shared" si="38"/>
        <v>116</v>
      </c>
      <c r="C175" s="99">
        <f t="shared" ca="1" si="41"/>
        <v>49587</v>
      </c>
      <c r="D175" s="100">
        <f t="shared" ca="1" si="42"/>
        <v>871637.46266786451</v>
      </c>
      <c r="E175" s="100">
        <f t="shared" ca="1" si="43"/>
        <v>11244.123268415453</v>
      </c>
      <c r="F175" s="100">
        <f t="shared" ca="1" si="44"/>
        <v>882881.58593627997</v>
      </c>
      <c r="G175" s="100">
        <f t="shared" ca="1" si="39"/>
        <v>2836.6447659677015</v>
      </c>
      <c r="H175" s="100">
        <f t="shared" ca="1" si="32"/>
        <v>14080.768034383154</v>
      </c>
      <c r="I175" s="100">
        <f t="shared" ca="1" si="45"/>
        <v>149.05000611620483</v>
      </c>
      <c r="J175" s="100">
        <f t="shared" ca="1" si="33"/>
        <v>111</v>
      </c>
      <c r="K175" s="100">
        <f t="shared" ca="1" si="46"/>
        <v>14340.81804049936</v>
      </c>
      <c r="L175" s="101">
        <f t="shared" ca="1" si="47"/>
        <v>868800.81790189678</v>
      </c>
      <c r="M175" s="12"/>
      <c r="N175" s="12"/>
      <c r="O175" s="12"/>
      <c r="Q175" s="118">
        <f t="shared" ca="1" si="40"/>
        <v>85.099342979031036</v>
      </c>
      <c r="R175" s="119">
        <f t="shared" ca="1" si="30"/>
        <v>30</v>
      </c>
      <c r="S175" s="120">
        <v>365</v>
      </c>
      <c r="AC175" s="224">
        <v>3480</v>
      </c>
      <c r="AD175" s="225">
        <f t="shared" ca="1" si="34"/>
        <v>14080.768034383154</v>
      </c>
      <c r="AE175" s="226">
        <f t="shared" ca="1" si="35"/>
        <v>49587</v>
      </c>
      <c r="AF175" s="227">
        <f t="shared" ca="1" si="36"/>
        <v>14080.768034383154</v>
      </c>
      <c r="AG175" s="225">
        <f t="shared" ca="1" si="37"/>
        <v>14340.81804049936</v>
      </c>
      <c r="AH175" s="220"/>
      <c r="AI175" s="97"/>
      <c r="AJ175" s="97"/>
      <c r="AK175" s="97"/>
      <c r="AL175" s="97"/>
      <c r="AM175" s="97"/>
      <c r="AP175" s="157"/>
      <c r="AQ175" s="191"/>
      <c r="AR175" s="191"/>
      <c r="AS175" s="192"/>
      <c r="AT175" s="193"/>
      <c r="AU175" s="194"/>
      <c r="AV175" s="194"/>
      <c r="AW175" s="193"/>
      <c r="AX175" s="194"/>
      <c r="AY175" s="193"/>
      <c r="AZ175" s="195"/>
    </row>
    <row r="176" spans="1:52" ht="15.5" x14ac:dyDescent="0.35">
      <c r="A176" s="197">
        <f t="shared" si="31"/>
        <v>124</v>
      </c>
      <c r="B176" s="98">
        <f t="shared" si="38"/>
        <v>117</v>
      </c>
      <c r="C176" s="99">
        <f t="shared" ca="1" si="41"/>
        <v>49618</v>
      </c>
      <c r="D176" s="100">
        <f t="shared" ca="1" si="42"/>
        <v>868800.81790189678</v>
      </c>
      <c r="E176" s="100">
        <f t="shared" ca="1" si="43"/>
        <v>11207.530550934469</v>
      </c>
      <c r="F176" s="100">
        <f t="shared" ca="1" si="44"/>
        <v>880008.34845283127</v>
      </c>
      <c r="G176" s="100">
        <f t="shared" ca="1" si="39"/>
        <v>2873.2374834486855</v>
      </c>
      <c r="H176" s="100">
        <f t="shared" ca="1" si="32"/>
        <v>14080.768034383154</v>
      </c>
      <c r="I176" s="100">
        <f t="shared" ca="1" si="45"/>
        <v>148.56493986122436</v>
      </c>
      <c r="J176" s="100">
        <f t="shared" ca="1" si="33"/>
        <v>111</v>
      </c>
      <c r="K176" s="100">
        <f t="shared" ca="1" si="46"/>
        <v>14340.332974244378</v>
      </c>
      <c r="L176" s="101">
        <f t="shared" ca="1" si="47"/>
        <v>865927.58041844808</v>
      </c>
      <c r="M176" s="12"/>
      <c r="N176" s="12"/>
      <c r="O176" s="12"/>
      <c r="Q176" s="118">
        <f t="shared" ca="1" si="40"/>
        <v>86.197124503460557</v>
      </c>
      <c r="R176" s="119">
        <f t="shared" ca="1" si="30"/>
        <v>31</v>
      </c>
      <c r="S176" s="120">
        <v>365</v>
      </c>
      <c r="AC176" s="224">
        <v>3510</v>
      </c>
      <c r="AD176" s="225">
        <f t="shared" ca="1" si="34"/>
        <v>14080.768034383154</v>
      </c>
      <c r="AE176" s="226">
        <f t="shared" ca="1" si="35"/>
        <v>49618</v>
      </c>
      <c r="AF176" s="227">
        <f t="shared" ca="1" si="36"/>
        <v>14080.768034383154</v>
      </c>
      <c r="AG176" s="225">
        <f t="shared" ca="1" si="37"/>
        <v>14340.332974244378</v>
      </c>
      <c r="AH176" s="220"/>
      <c r="AI176" s="97"/>
      <c r="AJ176" s="97"/>
      <c r="AK176" s="97"/>
      <c r="AL176" s="97"/>
      <c r="AM176" s="97"/>
      <c r="AP176" s="157"/>
      <c r="AQ176" s="186"/>
      <c r="AR176" s="186"/>
      <c r="AS176" s="187"/>
      <c r="AT176" s="188"/>
      <c r="AU176" s="189"/>
      <c r="AV176" s="189"/>
      <c r="AW176" s="188"/>
      <c r="AX176" s="189"/>
      <c r="AY176" s="188"/>
      <c r="AZ176" s="190"/>
    </row>
    <row r="177" spans="1:52" ht="15.5" x14ac:dyDescent="0.35">
      <c r="A177" s="197">
        <f t="shared" si="31"/>
        <v>123</v>
      </c>
      <c r="B177" s="98">
        <f t="shared" si="38"/>
        <v>118</v>
      </c>
      <c r="C177" s="99">
        <f t="shared" ca="1" si="41"/>
        <v>49648</v>
      </c>
      <c r="D177" s="100">
        <f t="shared" ca="1" si="42"/>
        <v>865927.58041844808</v>
      </c>
      <c r="E177" s="100">
        <f t="shared" ca="1" si="43"/>
        <v>11170.46578739798</v>
      </c>
      <c r="F177" s="100">
        <f t="shared" ca="1" si="44"/>
        <v>877098.04620584601</v>
      </c>
      <c r="G177" s="100">
        <f t="shared" ca="1" si="39"/>
        <v>2910.3022469851712</v>
      </c>
      <c r="H177" s="100">
        <f t="shared" ca="1" si="32"/>
        <v>14080.768034383151</v>
      </c>
      <c r="I177" s="100">
        <f t="shared" ca="1" si="45"/>
        <v>148.07361625155463</v>
      </c>
      <c r="J177" s="100">
        <f t="shared" ca="1" si="33"/>
        <v>111</v>
      </c>
      <c r="K177" s="100">
        <f t="shared" ca="1" si="46"/>
        <v>14339.841650634706</v>
      </c>
      <c r="L177" s="101">
        <f t="shared" ca="1" si="47"/>
        <v>863017.27817146294</v>
      </c>
      <c r="M177" s="12"/>
      <c r="N177" s="12"/>
      <c r="O177" s="12"/>
      <c r="Q177" s="118">
        <f t="shared" ca="1" si="40"/>
        <v>87.309067409555126</v>
      </c>
      <c r="R177" s="119">
        <f t="shared" ca="1" si="30"/>
        <v>30</v>
      </c>
      <c r="S177" s="120">
        <v>365</v>
      </c>
      <c r="AC177" s="224">
        <v>3540</v>
      </c>
      <c r="AD177" s="225">
        <f t="shared" ca="1" si="34"/>
        <v>14080.768034383151</v>
      </c>
      <c r="AE177" s="226">
        <f t="shared" ca="1" si="35"/>
        <v>49648</v>
      </c>
      <c r="AF177" s="227">
        <f t="shared" ca="1" si="36"/>
        <v>14080.768034383151</v>
      </c>
      <c r="AG177" s="225">
        <f t="shared" ca="1" si="37"/>
        <v>14339.841650634706</v>
      </c>
      <c r="AH177" s="220"/>
      <c r="AI177" s="97"/>
      <c r="AJ177" s="97"/>
      <c r="AK177" s="97"/>
      <c r="AL177" s="97"/>
      <c r="AM177" s="97"/>
      <c r="AP177" s="157"/>
      <c r="AQ177" s="191"/>
      <c r="AR177" s="191"/>
      <c r="AS177" s="192"/>
      <c r="AT177" s="193"/>
      <c r="AU177" s="194"/>
      <c r="AV177" s="194"/>
      <c r="AW177" s="193"/>
      <c r="AX177" s="194"/>
      <c r="AY177" s="193"/>
      <c r="AZ177" s="195"/>
    </row>
    <row r="178" spans="1:52" ht="15.5" x14ac:dyDescent="0.35">
      <c r="A178" s="197">
        <f t="shared" si="31"/>
        <v>122</v>
      </c>
      <c r="B178" s="98">
        <f t="shared" si="38"/>
        <v>119</v>
      </c>
      <c r="C178" s="99">
        <f t="shared" ca="1" si="41"/>
        <v>49679</v>
      </c>
      <c r="D178" s="100">
        <f t="shared" ca="1" si="42"/>
        <v>863017.27817146294</v>
      </c>
      <c r="E178" s="100">
        <f t="shared" ca="1" si="43"/>
        <v>11132.922888411871</v>
      </c>
      <c r="F178" s="100">
        <f t="shared" ca="1" si="44"/>
        <v>874150.20105987485</v>
      </c>
      <c r="G178" s="100">
        <f t="shared" ca="1" si="39"/>
        <v>2947.8451459712833</v>
      </c>
      <c r="H178" s="100">
        <f t="shared" ca="1" si="32"/>
        <v>14080.768034383154</v>
      </c>
      <c r="I178" s="100">
        <f t="shared" ca="1" si="45"/>
        <v>147.57595456732017</v>
      </c>
      <c r="J178" s="100">
        <f t="shared" ca="1" si="33"/>
        <v>111</v>
      </c>
      <c r="K178" s="100">
        <f t="shared" ca="1" si="46"/>
        <v>14339.343988950475</v>
      </c>
      <c r="L178" s="101">
        <f t="shared" ca="1" si="47"/>
        <v>860069.43302549166</v>
      </c>
      <c r="M178" s="12"/>
      <c r="N178" s="12"/>
      <c r="O178" s="12"/>
      <c r="Q178" s="118">
        <f t="shared" ca="1" si="40"/>
        <v>88.435354379138488</v>
      </c>
      <c r="R178" s="119">
        <f t="shared" ca="1" si="30"/>
        <v>31</v>
      </c>
      <c r="S178" s="120">
        <v>365</v>
      </c>
      <c r="AC178" s="224">
        <v>3570</v>
      </c>
      <c r="AD178" s="225">
        <f t="shared" ca="1" si="34"/>
        <v>14080.768034383154</v>
      </c>
      <c r="AE178" s="226">
        <f t="shared" ca="1" si="35"/>
        <v>49679</v>
      </c>
      <c r="AF178" s="227">
        <f t="shared" ca="1" si="36"/>
        <v>14080.768034383154</v>
      </c>
      <c r="AG178" s="225">
        <f t="shared" ca="1" si="37"/>
        <v>14339.343988950475</v>
      </c>
      <c r="AH178" s="220"/>
      <c r="AI178" s="97"/>
      <c r="AJ178" s="97"/>
      <c r="AK178" s="97"/>
      <c r="AL178" s="97"/>
      <c r="AM178" s="97"/>
      <c r="AP178" s="157"/>
      <c r="AQ178" s="186"/>
      <c r="AR178" s="186"/>
      <c r="AS178" s="187"/>
      <c r="AT178" s="188"/>
      <c r="AU178" s="189"/>
      <c r="AV178" s="189"/>
      <c r="AW178" s="188"/>
      <c r="AX178" s="189"/>
      <c r="AY178" s="188"/>
      <c r="AZ178" s="190"/>
    </row>
    <row r="179" spans="1:52" ht="15.5" x14ac:dyDescent="0.35">
      <c r="A179" s="197">
        <f t="shared" si="31"/>
        <v>121</v>
      </c>
      <c r="B179" s="98">
        <f t="shared" si="38"/>
        <v>120</v>
      </c>
      <c r="C179" s="99">
        <f t="shared" ca="1" si="41"/>
        <v>49710</v>
      </c>
      <c r="D179" s="100">
        <f t="shared" ca="1" si="42"/>
        <v>860069.43302549166</v>
      </c>
      <c r="E179" s="100">
        <f t="shared" ca="1" si="43"/>
        <v>11094.895686028842</v>
      </c>
      <c r="F179" s="100">
        <f t="shared" ca="1" si="44"/>
        <v>871164.32871152053</v>
      </c>
      <c r="G179" s="100">
        <f t="shared" ca="1" si="39"/>
        <v>2985.8723483543126</v>
      </c>
      <c r="H179" s="100">
        <f t="shared" ca="1" si="32"/>
        <v>14080.768034383154</v>
      </c>
      <c r="I179" s="100">
        <f t="shared" ca="1" si="45"/>
        <v>147.07187304735908</v>
      </c>
      <c r="J179" s="100">
        <f t="shared" ca="1" si="33"/>
        <v>111</v>
      </c>
      <c r="K179" s="100">
        <f t="shared" ca="1" si="46"/>
        <v>14338.839907430513</v>
      </c>
      <c r="L179" s="101">
        <f t="shared" ca="1" si="47"/>
        <v>857083.56067713734</v>
      </c>
      <c r="M179" s="12"/>
      <c r="N179" s="12"/>
      <c r="O179" s="12"/>
      <c r="Q179" s="118">
        <f t="shared" ca="1" si="40"/>
        <v>89.576170450629377</v>
      </c>
      <c r="R179" s="119">
        <f t="shared" ca="1" si="30"/>
        <v>31</v>
      </c>
      <c r="S179" s="120">
        <v>365</v>
      </c>
      <c r="AC179" s="224">
        <v>3600</v>
      </c>
      <c r="AD179" s="225">
        <f t="shared" ca="1" si="34"/>
        <v>14080.768034383154</v>
      </c>
      <c r="AE179" s="226">
        <f t="shared" ca="1" si="35"/>
        <v>49710</v>
      </c>
      <c r="AF179" s="227">
        <f t="shared" ca="1" si="36"/>
        <v>14080.768034383154</v>
      </c>
      <c r="AG179" s="225">
        <f t="shared" ca="1" si="37"/>
        <v>14338.839907430513</v>
      </c>
      <c r="AH179" s="220"/>
      <c r="AI179" s="97"/>
      <c r="AJ179" s="97"/>
      <c r="AK179" s="97"/>
      <c r="AL179" s="97"/>
      <c r="AM179" s="97"/>
      <c r="AP179" s="157"/>
      <c r="AQ179" s="191"/>
      <c r="AR179" s="191"/>
      <c r="AS179" s="192"/>
      <c r="AT179" s="193"/>
      <c r="AU179" s="194"/>
      <c r="AV179" s="194"/>
      <c r="AW179" s="193"/>
      <c r="AX179" s="194"/>
      <c r="AY179" s="193"/>
      <c r="AZ179" s="195"/>
    </row>
    <row r="180" spans="1:52" ht="15.5" x14ac:dyDescent="0.35">
      <c r="A180" s="197">
        <f t="shared" si="31"/>
        <v>120</v>
      </c>
      <c r="B180" s="98">
        <f t="shared" si="38"/>
        <v>121</v>
      </c>
      <c r="C180" s="99">
        <f t="shared" ca="1" si="41"/>
        <v>49739</v>
      </c>
      <c r="D180" s="100">
        <f t="shared" ca="1" si="42"/>
        <v>857083.56067713734</v>
      </c>
      <c r="E180" s="100">
        <f t="shared" ca="1" si="43"/>
        <v>11056.377932735071</v>
      </c>
      <c r="F180" s="100">
        <f t="shared" ca="1" si="44"/>
        <v>868139.93860987236</v>
      </c>
      <c r="G180" s="100">
        <f t="shared" ca="1" si="39"/>
        <v>3024.3901016480831</v>
      </c>
      <c r="H180" s="100">
        <f t="shared" ca="1" si="32"/>
        <v>14080.768034383154</v>
      </c>
      <c r="I180" s="100">
        <f t="shared" ca="1" si="45"/>
        <v>146.5612888757905</v>
      </c>
      <c r="J180" s="100">
        <f t="shared" ca="1" si="33"/>
        <v>111</v>
      </c>
      <c r="K180" s="100">
        <f t="shared" ca="1" si="46"/>
        <v>14338.329323258946</v>
      </c>
      <c r="L180" s="101">
        <f t="shared" ca="1" si="47"/>
        <v>854059.17057548929</v>
      </c>
      <c r="M180" s="12"/>
      <c r="N180" s="12"/>
      <c r="O180" s="12"/>
      <c r="Q180" s="118">
        <f t="shared" ca="1" si="40"/>
        <v>90.731703049442487</v>
      </c>
      <c r="R180" s="119">
        <f t="shared" ca="1" si="30"/>
        <v>29</v>
      </c>
      <c r="S180" s="120">
        <v>365</v>
      </c>
      <c r="AC180" s="224">
        <v>3630</v>
      </c>
      <c r="AD180" s="225">
        <f t="shared" ca="1" si="34"/>
        <v>14080.768034383154</v>
      </c>
      <c r="AE180" s="226">
        <f t="shared" ca="1" si="35"/>
        <v>49739</v>
      </c>
      <c r="AF180" s="227">
        <f t="shared" ca="1" si="36"/>
        <v>14080.768034383154</v>
      </c>
      <c r="AG180" s="225">
        <f t="shared" ca="1" si="37"/>
        <v>14338.329323258946</v>
      </c>
      <c r="AH180" s="220"/>
      <c r="AI180" s="97"/>
      <c r="AJ180" s="97"/>
      <c r="AK180" s="97"/>
      <c r="AL180" s="97"/>
      <c r="AM180" s="97"/>
      <c r="AP180" s="157"/>
      <c r="AQ180" s="186"/>
      <c r="AR180" s="186"/>
      <c r="AS180" s="187"/>
      <c r="AT180" s="188"/>
      <c r="AU180" s="189"/>
      <c r="AV180" s="189"/>
      <c r="AW180" s="188"/>
      <c r="AX180" s="189"/>
      <c r="AY180" s="188"/>
      <c r="AZ180" s="190"/>
    </row>
    <row r="181" spans="1:52" ht="15.5" x14ac:dyDescent="0.35">
      <c r="A181" s="197">
        <f t="shared" si="31"/>
        <v>119</v>
      </c>
      <c r="B181" s="98">
        <f t="shared" si="38"/>
        <v>122</v>
      </c>
      <c r="C181" s="99">
        <f t="shared" ca="1" si="41"/>
        <v>49770</v>
      </c>
      <c r="D181" s="100">
        <f t="shared" ca="1" si="42"/>
        <v>854059.17057548929</v>
      </c>
      <c r="E181" s="100">
        <f t="shared" ca="1" si="43"/>
        <v>11017.363300423813</v>
      </c>
      <c r="F181" s="100">
        <f t="shared" ca="1" si="44"/>
        <v>865076.53387591313</v>
      </c>
      <c r="G181" s="100">
        <f t="shared" ca="1" si="39"/>
        <v>3063.4047339593417</v>
      </c>
      <c r="H181" s="100">
        <f t="shared" ca="1" si="32"/>
        <v>14080.768034383154</v>
      </c>
      <c r="I181" s="100">
        <f t="shared" ca="1" si="45"/>
        <v>146.04411816840869</v>
      </c>
      <c r="J181" s="100">
        <f t="shared" ca="1" si="33"/>
        <v>111</v>
      </c>
      <c r="K181" s="100">
        <f t="shared" ca="1" si="46"/>
        <v>14337.812152551563</v>
      </c>
      <c r="L181" s="101">
        <f t="shared" ca="1" si="47"/>
        <v>850995.76584152994</v>
      </c>
      <c r="M181" s="12"/>
      <c r="N181" s="12"/>
      <c r="O181" s="12"/>
      <c r="Q181" s="118">
        <f t="shared" ca="1" si="40"/>
        <v>91.902142018780253</v>
      </c>
      <c r="R181" s="119">
        <f t="shared" ca="1" si="30"/>
        <v>31</v>
      </c>
      <c r="S181" s="120">
        <v>365</v>
      </c>
      <c r="AC181" s="224">
        <v>3660</v>
      </c>
      <c r="AD181" s="225">
        <f t="shared" ca="1" si="34"/>
        <v>14080.768034383154</v>
      </c>
      <c r="AE181" s="226">
        <f t="shared" ca="1" si="35"/>
        <v>49770</v>
      </c>
      <c r="AF181" s="227">
        <f t="shared" ca="1" si="36"/>
        <v>14080.768034383154</v>
      </c>
      <c r="AG181" s="225">
        <f t="shared" ca="1" si="37"/>
        <v>14337.812152551563</v>
      </c>
      <c r="AH181" s="220"/>
      <c r="AI181" s="97"/>
      <c r="AJ181" s="97"/>
      <c r="AK181" s="97"/>
      <c r="AL181" s="97"/>
      <c r="AM181" s="97"/>
      <c r="AP181" s="157"/>
      <c r="AQ181" s="191"/>
      <c r="AR181" s="191"/>
      <c r="AS181" s="192"/>
      <c r="AT181" s="193"/>
      <c r="AU181" s="194"/>
      <c r="AV181" s="194"/>
      <c r="AW181" s="193"/>
      <c r="AX181" s="194"/>
      <c r="AY181" s="193"/>
      <c r="AZ181" s="195"/>
    </row>
    <row r="182" spans="1:52" ht="15.5" x14ac:dyDescent="0.35">
      <c r="A182" s="197">
        <f t="shared" si="31"/>
        <v>118</v>
      </c>
      <c r="B182" s="98">
        <f t="shared" si="38"/>
        <v>123</v>
      </c>
      <c r="C182" s="99">
        <f t="shared" ca="1" si="41"/>
        <v>49800</v>
      </c>
      <c r="D182" s="100">
        <f t="shared" ca="1" si="42"/>
        <v>850995.76584152994</v>
      </c>
      <c r="E182" s="100">
        <f t="shared" ca="1" si="43"/>
        <v>10977.845379355736</v>
      </c>
      <c r="F182" s="100">
        <f t="shared" ca="1" si="44"/>
        <v>861973.61122088565</v>
      </c>
      <c r="G182" s="100">
        <f t="shared" ca="1" si="39"/>
        <v>3102.9226550274179</v>
      </c>
      <c r="H182" s="100">
        <f t="shared" ca="1" si="32"/>
        <v>14080.768034383154</v>
      </c>
      <c r="I182" s="100">
        <f t="shared" ca="1" si="45"/>
        <v>145.52027595890164</v>
      </c>
      <c r="J182" s="100">
        <f t="shared" ca="1" si="33"/>
        <v>111</v>
      </c>
      <c r="K182" s="100">
        <f t="shared" ca="1" si="46"/>
        <v>14337.288310342055</v>
      </c>
      <c r="L182" s="101">
        <f t="shared" ca="1" si="47"/>
        <v>847892.84318650258</v>
      </c>
      <c r="M182" s="12"/>
      <c r="N182" s="12"/>
      <c r="O182" s="12"/>
      <c r="Q182" s="118">
        <f t="shared" ca="1" si="40"/>
        <v>93.087679650822537</v>
      </c>
      <c r="R182" s="119">
        <f t="shared" ca="1" si="30"/>
        <v>30</v>
      </c>
      <c r="S182" s="120">
        <v>365</v>
      </c>
      <c r="AC182" s="224">
        <v>3690</v>
      </c>
      <c r="AD182" s="225">
        <f t="shared" ca="1" si="34"/>
        <v>14080.768034383154</v>
      </c>
      <c r="AE182" s="226">
        <f t="shared" ca="1" si="35"/>
        <v>49800</v>
      </c>
      <c r="AF182" s="227">
        <f t="shared" ca="1" si="36"/>
        <v>14080.768034383154</v>
      </c>
      <c r="AG182" s="225">
        <f t="shared" ca="1" si="37"/>
        <v>14337.288310342055</v>
      </c>
      <c r="AH182" s="220"/>
      <c r="AI182" s="97"/>
      <c r="AJ182" s="97"/>
      <c r="AK182" s="97"/>
      <c r="AL182" s="97"/>
      <c r="AM182" s="97"/>
      <c r="AP182" s="157"/>
      <c r="AQ182" s="186"/>
      <c r="AR182" s="186"/>
      <c r="AS182" s="187"/>
      <c r="AT182" s="188"/>
      <c r="AU182" s="189"/>
      <c r="AV182" s="189"/>
      <c r="AW182" s="188"/>
      <c r="AX182" s="189"/>
      <c r="AY182" s="188"/>
      <c r="AZ182" s="190"/>
    </row>
    <row r="183" spans="1:52" ht="15.5" x14ac:dyDescent="0.35">
      <c r="A183" s="197">
        <f t="shared" si="31"/>
        <v>117</v>
      </c>
      <c r="B183" s="98">
        <f t="shared" si="38"/>
        <v>124</v>
      </c>
      <c r="C183" s="99">
        <f t="shared" ca="1" si="41"/>
        <v>49831</v>
      </c>
      <c r="D183" s="100">
        <f t="shared" ca="1" si="42"/>
        <v>847892.84318650258</v>
      </c>
      <c r="E183" s="100">
        <f t="shared" ca="1" si="43"/>
        <v>10937.817677105882</v>
      </c>
      <c r="F183" s="100">
        <f t="shared" ca="1" si="44"/>
        <v>858830.66086360847</v>
      </c>
      <c r="G183" s="100">
        <f t="shared" ca="1" si="39"/>
        <v>3142.9503572772719</v>
      </c>
      <c r="H183" s="100">
        <f t="shared" ca="1" si="32"/>
        <v>14080.768034383154</v>
      </c>
      <c r="I183" s="100">
        <f t="shared" ca="1" si="45"/>
        <v>144.98967618489195</v>
      </c>
      <c r="J183" s="100">
        <f t="shared" ca="1" si="33"/>
        <v>111</v>
      </c>
      <c r="K183" s="100">
        <f t="shared" ca="1" si="46"/>
        <v>14336.757710568047</v>
      </c>
      <c r="L183" s="101">
        <f t="shared" ca="1" si="47"/>
        <v>844749.89282922528</v>
      </c>
      <c r="M183" s="12"/>
      <c r="N183" s="12"/>
      <c r="O183" s="12"/>
      <c r="Q183" s="118">
        <f t="shared" ca="1" si="40"/>
        <v>94.28851071831815</v>
      </c>
      <c r="R183" s="119">
        <f t="shared" ca="1" si="30"/>
        <v>31</v>
      </c>
      <c r="S183" s="120">
        <v>365</v>
      </c>
      <c r="AC183" s="224">
        <v>3720</v>
      </c>
      <c r="AD183" s="225">
        <f t="shared" ca="1" si="34"/>
        <v>14080.768034383154</v>
      </c>
      <c r="AE183" s="226">
        <f t="shared" ca="1" si="35"/>
        <v>49831</v>
      </c>
      <c r="AF183" s="227">
        <f t="shared" ca="1" si="36"/>
        <v>14080.768034383154</v>
      </c>
      <c r="AG183" s="225">
        <f t="shared" ca="1" si="37"/>
        <v>14336.757710568047</v>
      </c>
      <c r="AH183" s="220"/>
      <c r="AI183" s="97"/>
      <c r="AJ183" s="97"/>
      <c r="AK183" s="97"/>
      <c r="AL183" s="97"/>
      <c r="AM183" s="97"/>
      <c r="AP183" s="157"/>
      <c r="AQ183" s="191"/>
      <c r="AR183" s="191"/>
      <c r="AS183" s="192"/>
      <c r="AT183" s="193"/>
      <c r="AU183" s="194"/>
      <c r="AV183" s="194"/>
      <c r="AW183" s="193"/>
      <c r="AX183" s="194"/>
      <c r="AY183" s="193"/>
      <c r="AZ183" s="195"/>
    </row>
    <row r="184" spans="1:52" ht="15.5" x14ac:dyDescent="0.35">
      <c r="A184" s="197">
        <f t="shared" si="31"/>
        <v>116</v>
      </c>
      <c r="B184" s="98">
        <f t="shared" si="38"/>
        <v>125</v>
      </c>
      <c r="C184" s="99">
        <f t="shared" ca="1" si="41"/>
        <v>49861</v>
      </c>
      <c r="D184" s="100">
        <f t="shared" ca="1" si="42"/>
        <v>844749.89282922528</v>
      </c>
      <c r="E184" s="100">
        <f t="shared" ca="1" si="43"/>
        <v>10897.273617497007</v>
      </c>
      <c r="F184" s="100">
        <f t="shared" ca="1" si="44"/>
        <v>855647.16644672235</v>
      </c>
      <c r="G184" s="100">
        <f t="shared" ca="1" si="39"/>
        <v>3183.4944168861475</v>
      </c>
      <c r="H184" s="100">
        <f t="shared" ca="1" si="32"/>
        <v>14080.768034383154</v>
      </c>
      <c r="I184" s="100">
        <f t="shared" ca="1" si="45"/>
        <v>144.45223167379754</v>
      </c>
      <c r="J184" s="100">
        <f t="shared" ca="1" si="33"/>
        <v>111</v>
      </c>
      <c r="K184" s="100">
        <f t="shared" ca="1" si="46"/>
        <v>14336.220266056953</v>
      </c>
      <c r="L184" s="101">
        <f t="shared" ca="1" si="47"/>
        <v>841566.39841233916</v>
      </c>
      <c r="M184" s="12"/>
      <c r="N184" s="12"/>
      <c r="O184" s="12"/>
      <c r="Q184" s="118">
        <f t="shared" ca="1" si="40"/>
        <v>95.504832506584421</v>
      </c>
      <c r="R184" s="119">
        <f t="shared" ca="1" si="30"/>
        <v>30</v>
      </c>
      <c r="S184" s="120">
        <v>365</v>
      </c>
      <c r="AC184" s="224">
        <v>3750</v>
      </c>
      <c r="AD184" s="225">
        <f t="shared" ca="1" si="34"/>
        <v>14080.768034383154</v>
      </c>
      <c r="AE184" s="226">
        <f t="shared" ca="1" si="35"/>
        <v>49861</v>
      </c>
      <c r="AF184" s="227">
        <f t="shared" ca="1" si="36"/>
        <v>14080.768034383154</v>
      </c>
      <c r="AG184" s="225">
        <f t="shared" ca="1" si="37"/>
        <v>14336.220266056953</v>
      </c>
      <c r="AH184" s="220"/>
      <c r="AI184" s="97"/>
      <c r="AJ184" s="97"/>
      <c r="AK184" s="97"/>
      <c r="AL184" s="97"/>
      <c r="AM184" s="97"/>
      <c r="AP184" s="157"/>
      <c r="AQ184" s="186"/>
      <c r="AR184" s="186"/>
      <c r="AS184" s="187"/>
      <c r="AT184" s="188"/>
      <c r="AU184" s="189"/>
      <c r="AV184" s="189"/>
      <c r="AW184" s="188"/>
      <c r="AX184" s="189"/>
      <c r="AY184" s="188"/>
      <c r="AZ184" s="190"/>
    </row>
    <row r="185" spans="1:52" ht="15.5" x14ac:dyDescent="0.35">
      <c r="A185" s="197">
        <f t="shared" si="31"/>
        <v>115</v>
      </c>
      <c r="B185" s="98">
        <f t="shared" si="38"/>
        <v>126</v>
      </c>
      <c r="C185" s="99">
        <f t="shared" ca="1" si="41"/>
        <v>49892</v>
      </c>
      <c r="D185" s="100">
        <f t="shared" ca="1" si="42"/>
        <v>841566.39841233916</v>
      </c>
      <c r="E185" s="100">
        <f t="shared" ca="1" si="43"/>
        <v>10856.206539519175</v>
      </c>
      <c r="F185" s="100">
        <f t="shared" ca="1" si="44"/>
        <v>852422.60495185829</v>
      </c>
      <c r="G185" s="100">
        <f t="shared" ca="1" si="39"/>
        <v>3224.5614948639795</v>
      </c>
      <c r="H185" s="100">
        <f t="shared" ca="1" si="32"/>
        <v>14080.768034383154</v>
      </c>
      <c r="I185" s="100">
        <f t="shared" ca="1" si="45"/>
        <v>143.90785412851</v>
      </c>
      <c r="J185" s="100">
        <f t="shared" ca="1" si="33"/>
        <v>111</v>
      </c>
      <c r="K185" s="100">
        <f t="shared" ca="1" si="46"/>
        <v>14335.675888511665</v>
      </c>
      <c r="L185" s="101">
        <f t="shared" ca="1" si="47"/>
        <v>838341.83691747522</v>
      </c>
      <c r="M185" s="12"/>
      <c r="N185" s="12"/>
      <c r="O185" s="12"/>
      <c r="Q185" s="118">
        <f t="shared" ca="1" si="40"/>
        <v>96.736844845919379</v>
      </c>
      <c r="R185" s="119">
        <f t="shared" ca="1" si="30"/>
        <v>31</v>
      </c>
      <c r="S185" s="120">
        <v>365</v>
      </c>
      <c r="AC185" s="224">
        <v>3780</v>
      </c>
      <c r="AD185" s="225">
        <f t="shared" ca="1" si="34"/>
        <v>14080.768034383154</v>
      </c>
      <c r="AE185" s="226">
        <f t="shared" ca="1" si="35"/>
        <v>49892</v>
      </c>
      <c r="AF185" s="227">
        <f t="shared" ca="1" si="36"/>
        <v>14080.768034383154</v>
      </c>
      <c r="AG185" s="225">
        <f t="shared" ca="1" si="37"/>
        <v>14335.675888511665</v>
      </c>
      <c r="AH185" s="220"/>
      <c r="AI185" s="97"/>
      <c r="AJ185" s="97"/>
      <c r="AK185" s="97"/>
      <c r="AL185" s="97"/>
      <c r="AM185" s="97"/>
      <c r="AP185" s="157"/>
      <c r="AQ185" s="191"/>
      <c r="AR185" s="191"/>
      <c r="AS185" s="192"/>
      <c r="AT185" s="193"/>
      <c r="AU185" s="194"/>
      <c r="AV185" s="194"/>
      <c r="AW185" s="193"/>
      <c r="AX185" s="194"/>
      <c r="AY185" s="193"/>
      <c r="AZ185" s="195"/>
    </row>
    <row r="186" spans="1:52" ht="15.5" x14ac:dyDescent="0.35">
      <c r="A186" s="197">
        <f t="shared" si="31"/>
        <v>114</v>
      </c>
      <c r="B186" s="98">
        <f t="shared" si="38"/>
        <v>127</v>
      </c>
      <c r="C186" s="99">
        <f t="shared" ca="1" si="41"/>
        <v>49923</v>
      </c>
      <c r="D186" s="100">
        <f t="shared" ca="1" si="42"/>
        <v>838341.83691747522</v>
      </c>
      <c r="E186" s="100">
        <f t="shared" ca="1" si="43"/>
        <v>10814.60969623543</v>
      </c>
      <c r="F186" s="100">
        <f t="shared" ca="1" si="44"/>
        <v>849156.44661371061</v>
      </c>
      <c r="G186" s="100">
        <f t="shared" ca="1" si="39"/>
        <v>3266.1583381477285</v>
      </c>
      <c r="H186" s="100">
        <f t="shared" ca="1" si="32"/>
        <v>14080.768034383158</v>
      </c>
      <c r="I186" s="100">
        <f t="shared" ca="1" si="45"/>
        <v>143.35645411288826</v>
      </c>
      <c r="J186" s="100">
        <f t="shared" ca="1" si="33"/>
        <v>111</v>
      </c>
      <c r="K186" s="100">
        <f t="shared" ca="1" si="46"/>
        <v>14335.124488496047</v>
      </c>
      <c r="L186" s="101">
        <f t="shared" ca="1" si="47"/>
        <v>835075.67857932753</v>
      </c>
      <c r="M186" s="12"/>
      <c r="N186" s="12"/>
      <c r="O186" s="12"/>
      <c r="Q186" s="118">
        <f t="shared" ca="1" si="40"/>
        <v>97.984750144431857</v>
      </c>
      <c r="R186" s="119">
        <f t="shared" ca="1" si="30"/>
        <v>31</v>
      </c>
      <c r="S186" s="120">
        <v>365</v>
      </c>
      <c r="AC186" s="224">
        <v>3810</v>
      </c>
      <c r="AD186" s="225">
        <f t="shared" ca="1" si="34"/>
        <v>14080.768034383158</v>
      </c>
      <c r="AE186" s="226">
        <f t="shared" ca="1" si="35"/>
        <v>49923</v>
      </c>
      <c r="AF186" s="227">
        <f t="shared" ca="1" si="36"/>
        <v>14080.768034383158</v>
      </c>
      <c r="AG186" s="225">
        <f t="shared" ca="1" si="37"/>
        <v>14335.124488496047</v>
      </c>
      <c r="AH186" s="220"/>
      <c r="AI186" s="97"/>
      <c r="AJ186" s="97"/>
      <c r="AK186" s="97"/>
      <c r="AL186" s="97"/>
      <c r="AM186" s="97"/>
      <c r="AP186" s="157"/>
      <c r="AQ186" s="186"/>
      <c r="AR186" s="186"/>
      <c r="AS186" s="187"/>
      <c r="AT186" s="188"/>
      <c r="AU186" s="189"/>
      <c r="AV186" s="189"/>
      <c r="AW186" s="188"/>
      <c r="AX186" s="189"/>
      <c r="AY186" s="188"/>
      <c r="AZ186" s="190"/>
    </row>
    <row r="187" spans="1:52" ht="15.5" x14ac:dyDescent="0.35">
      <c r="A187" s="197">
        <f t="shared" si="31"/>
        <v>113</v>
      </c>
      <c r="B187" s="98">
        <f t="shared" si="38"/>
        <v>128</v>
      </c>
      <c r="C187" s="99">
        <f t="shared" ca="1" si="41"/>
        <v>49953</v>
      </c>
      <c r="D187" s="100">
        <f t="shared" ca="1" si="42"/>
        <v>835075.67857932753</v>
      </c>
      <c r="E187" s="100">
        <f t="shared" ca="1" si="43"/>
        <v>10772.476253673325</v>
      </c>
      <c r="F187" s="100">
        <f t="shared" ca="1" si="44"/>
        <v>845848.15483300085</v>
      </c>
      <c r="G187" s="100">
        <f t="shared" ca="1" si="39"/>
        <v>3308.2917807098329</v>
      </c>
      <c r="H187" s="100">
        <f t="shared" ca="1" si="32"/>
        <v>14080.768034383158</v>
      </c>
      <c r="I187" s="100">
        <f t="shared" ca="1" si="45"/>
        <v>142.79794103706502</v>
      </c>
      <c r="J187" s="100">
        <f t="shared" ca="1" si="33"/>
        <v>111</v>
      </c>
      <c r="K187" s="100">
        <f t="shared" ca="1" si="46"/>
        <v>14334.565975420222</v>
      </c>
      <c r="L187" s="101">
        <f t="shared" ca="1" si="47"/>
        <v>831767.38679861766</v>
      </c>
      <c r="M187" s="12"/>
      <c r="N187" s="12"/>
      <c r="O187" s="12"/>
      <c r="Q187" s="118">
        <f t="shared" ca="1" si="40"/>
        <v>99.248753421294978</v>
      </c>
      <c r="R187" s="119">
        <f t="shared" ca="1" si="30"/>
        <v>30</v>
      </c>
      <c r="S187" s="120">
        <v>365</v>
      </c>
      <c r="AC187" s="224">
        <v>3840</v>
      </c>
      <c r="AD187" s="225">
        <f t="shared" ca="1" si="34"/>
        <v>14080.768034383158</v>
      </c>
      <c r="AE187" s="226">
        <f t="shared" ca="1" si="35"/>
        <v>49953</v>
      </c>
      <c r="AF187" s="227">
        <f t="shared" ca="1" si="36"/>
        <v>14080.768034383158</v>
      </c>
      <c r="AG187" s="225">
        <f t="shared" ca="1" si="37"/>
        <v>14334.565975420222</v>
      </c>
      <c r="AH187" s="220"/>
      <c r="AI187" s="97"/>
      <c r="AJ187" s="97"/>
      <c r="AK187" s="97"/>
      <c r="AL187" s="97"/>
      <c r="AM187" s="97"/>
      <c r="AP187" s="157"/>
      <c r="AQ187" s="191"/>
      <c r="AR187" s="191"/>
      <c r="AS187" s="192"/>
      <c r="AT187" s="193"/>
      <c r="AU187" s="194"/>
      <c r="AV187" s="194"/>
      <c r="AW187" s="193"/>
      <c r="AX187" s="194"/>
      <c r="AY187" s="193"/>
      <c r="AZ187" s="195"/>
    </row>
    <row r="188" spans="1:52" ht="15.5" x14ac:dyDescent="0.35">
      <c r="A188" s="197">
        <f t="shared" si="31"/>
        <v>112</v>
      </c>
      <c r="B188" s="98">
        <f t="shared" si="38"/>
        <v>129</v>
      </c>
      <c r="C188" s="99">
        <f t="shared" ca="1" si="41"/>
        <v>49984</v>
      </c>
      <c r="D188" s="100">
        <f t="shared" ca="1" si="42"/>
        <v>831767.38679861766</v>
      </c>
      <c r="E188" s="100">
        <f t="shared" ca="1" si="43"/>
        <v>10729.799289702169</v>
      </c>
      <c r="F188" s="100">
        <f t="shared" ca="1" si="44"/>
        <v>842497.18608831987</v>
      </c>
      <c r="G188" s="100">
        <f t="shared" ca="1" si="39"/>
        <v>3350.9687446809858</v>
      </c>
      <c r="H188" s="100">
        <f t="shared" ca="1" si="32"/>
        <v>14080.768034383154</v>
      </c>
      <c r="I188" s="100">
        <f t="shared" ca="1" si="45"/>
        <v>142.23222314256364</v>
      </c>
      <c r="J188" s="100">
        <f t="shared" ca="1" si="33"/>
        <v>111</v>
      </c>
      <c r="K188" s="100">
        <f t="shared" ca="1" si="46"/>
        <v>14334.000257525719</v>
      </c>
      <c r="L188" s="101">
        <f t="shared" ca="1" si="47"/>
        <v>828416.41805393668</v>
      </c>
      <c r="M188" s="12"/>
      <c r="N188" s="12"/>
      <c r="O188" s="12"/>
      <c r="Q188" s="118">
        <f t="shared" ca="1" si="40"/>
        <v>100.52906234042958</v>
      </c>
      <c r="R188" s="119">
        <f t="shared" ref="R188:R251" ca="1" si="48">IF($B188&lt;=$J$21,C188-C187,)</f>
        <v>31</v>
      </c>
      <c r="S188" s="120">
        <v>365</v>
      </c>
      <c r="AC188" s="224">
        <v>3870</v>
      </c>
      <c r="AD188" s="225">
        <f t="shared" ca="1" si="34"/>
        <v>14080.768034383154</v>
      </c>
      <c r="AE188" s="226">
        <f t="shared" ca="1" si="35"/>
        <v>49984</v>
      </c>
      <c r="AF188" s="227">
        <f t="shared" ca="1" si="36"/>
        <v>14080.768034383154</v>
      </c>
      <c r="AG188" s="225">
        <f t="shared" ca="1" si="37"/>
        <v>14334.000257525719</v>
      </c>
      <c r="AH188" s="220"/>
      <c r="AI188" s="97"/>
      <c r="AJ188" s="97"/>
      <c r="AK188" s="97"/>
      <c r="AL188" s="97"/>
      <c r="AM188" s="97"/>
      <c r="AP188" s="157"/>
      <c r="AQ188" s="186"/>
      <c r="AR188" s="186"/>
      <c r="AS188" s="187"/>
      <c r="AT188" s="188"/>
      <c r="AU188" s="189"/>
      <c r="AV188" s="189"/>
      <c r="AW188" s="188"/>
      <c r="AX188" s="189"/>
      <c r="AY188" s="188"/>
      <c r="AZ188" s="190"/>
    </row>
    <row r="189" spans="1:52" ht="15.5" x14ac:dyDescent="0.35">
      <c r="A189" s="197">
        <f t="shared" ref="A189:A252" si="49">IFERROR(IF(A188-1&lt;1,"",A188-1),"")</f>
        <v>111</v>
      </c>
      <c r="B189" s="98">
        <f t="shared" si="38"/>
        <v>130</v>
      </c>
      <c r="C189" s="99">
        <f t="shared" ca="1" si="41"/>
        <v>50014</v>
      </c>
      <c r="D189" s="100">
        <f t="shared" ca="1" si="42"/>
        <v>828416.41805393668</v>
      </c>
      <c r="E189" s="100">
        <f t="shared" ca="1" si="43"/>
        <v>10686.571792895784</v>
      </c>
      <c r="F189" s="100">
        <f t="shared" ca="1" si="44"/>
        <v>839102.98984683247</v>
      </c>
      <c r="G189" s="100">
        <f t="shared" ca="1" si="39"/>
        <v>3394.1962414873706</v>
      </c>
      <c r="H189" s="100">
        <f t="shared" ref="H189:H252" ca="1" si="50">IF($D$9&gt;=B189,0,IF(D189="","",
IF(SISTEMA_AMORTIZAÇÃO=PRICE_PRE,(PMT(TAXA,A189,$D189,)*-1),
IF(SISTEMA_AMORTIZAÇÃO=SAC_POS,(D189/A189)+(D189*TAXA)))))</f>
        <v>14080.768034383154</v>
      </c>
      <c r="I189" s="100">
        <f t="shared" ca="1" si="45"/>
        <v>141.65920748722317</v>
      </c>
      <c r="J189" s="100">
        <f t="shared" ref="J189:J252" ca="1" si="51">IF(B189="","",IF(L188="","",IF(L188=0,"",$K$33*$J$17)))</f>
        <v>111</v>
      </c>
      <c r="K189" s="100">
        <f t="shared" ca="1" si="46"/>
        <v>14333.427241870377</v>
      </c>
      <c r="L189" s="101">
        <f t="shared" ca="1" si="47"/>
        <v>825022.22181244928</v>
      </c>
      <c r="M189" s="12"/>
      <c r="N189" s="12"/>
      <c r="O189" s="12"/>
      <c r="Q189" s="118">
        <f t="shared" ca="1" si="40"/>
        <v>101.82588724462111</v>
      </c>
      <c r="R189" s="119">
        <f t="shared" ca="1" si="48"/>
        <v>30</v>
      </c>
      <c r="S189" s="120">
        <v>365</v>
      </c>
      <c r="AC189" s="224">
        <v>3900</v>
      </c>
      <c r="AD189" s="225">
        <f t="shared" ref="AD189:AD252" ca="1" si="52">IF(H189="",0,H189)</f>
        <v>14080.768034383154</v>
      </c>
      <c r="AE189" s="226">
        <f t="shared" ref="AE189:AE252" ca="1" si="53">IF(C189="",0,C189)</f>
        <v>50014</v>
      </c>
      <c r="AF189" s="227">
        <f t="shared" ref="AF189:AF252" ca="1" si="54">IF(AD189="",0,AD189)</f>
        <v>14080.768034383154</v>
      </c>
      <c r="AG189" s="225">
        <f t="shared" ref="AG189:AG252" ca="1" si="55">IF(K189="",0,K189)</f>
        <v>14333.427241870377</v>
      </c>
      <c r="AH189" s="220"/>
      <c r="AI189" s="97"/>
      <c r="AJ189" s="97"/>
      <c r="AK189" s="97"/>
      <c r="AL189" s="97"/>
      <c r="AM189" s="97"/>
      <c r="AP189" s="157"/>
      <c r="AQ189" s="191"/>
      <c r="AR189" s="191"/>
      <c r="AS189" s="192"/>
      <c r="AT189" s="193"/>
      <c r="AU189" s="194"/>
      <c r="AV189" s="194"/>
      <c r="AW189" s="193"/>
      <c r="AX189" s="194"/>
      <c r="AY189" s="193"/>
      <c r="AZ189" s="195"/>
    </row>
    <row r="190" spans="1:52" ht="15.5" x14ac:dyDescent="0.35">
      <c r="A190" s="197">
        <f t="shared" si="49"/>
        <v>110</v>
      </c>
      <c r="B190" s="98">
        <f t="shared" ref="B190:B253" si="56">IF(IF(AND(B189&gt;0,B189&lt;$J$21),B189+1,0)=0,"",IF(AND(B189&gt;0,B189&lt;$J$21),B189+1,0))</f>
        <v>131</v>
      </c>
      <c r="C190" s="99">
        <f t="shared" ca="1" si="41"/>
        <v>50045</v>
      </c>
      <c r="D190" s="100">
        <f t="shared" ca="1" si="42"/>
        <v>825022.22181244928</v>
      </c>
      <c r="E190" s="100">
        <f t="shared" ca="1" si="43"/>
        <v>10642.786661380596</v>
      </c>
      <c r="F190" s="100">
        <f t="shared" ca="1" si="44"/>
        <v>835665.00847382983</v>
      </c>
      <c r="G190" s="100">
        <f t="shared" ca="1" si="39"/>
        <v>3437.9813730025617</v>
      </c>
      <c r="H190" s="100">
        <f t="shared" ca="1" si="50"/>
        <v>14080.768034383158</v>
      </c>
      <c r="I190" s="100">
        <f t="shared" ca="1" si="45"/>
        <v>141.07879992992883</v>
      </c>
      <c r="J190" s="100">
        <f t="shared" ca="1" si="51"/>
        <v>111</v>
      </c>
      <c r="K190" s="100">
        <f t="shared" ca="1" si="46"/>
        <v>14332.846834313086</v>
      </c>
      <c r="L190" s="101">
        <f t="shared" ca="1" si="47"/>
        <v>821584.24043944676</v>
      </c>
      <c r="M190" s="12"/>
      <c r="N190" s="12"/>
      <c r="O190" s="12"/>
      <c r="Q190" s="118">
        <f t="shared" ca="1" si="40"/>
        <v>103.13944119007685</v>
      </c>
      <c r="R190" s="119">
        <f t="shared" ca="1" si="48"/>
        <v>31</v>
      </c>
      <c r="S190" s="120">
        <v>365</v>
      </c>
      <c r="AC190" s="224">
        <v>3930</v>
      </c>
      <c r="AD190" s="225">
        <f t="shared" ca="1" si="52"/>
        <v>14080.768034383158</v>
      </c>
      <c r="AE190" s="226">
        <f t="shared" ca="1" si="53"/>
        <v>50045</v>
      </c>
      <c r="AF190" s="227">
        <f t="shared" ca="1" si="54"/>
        <v>14080.768034383158</v>
      </c>
      <c r="AG190" s="225">
        <f t="shared" ca="1" si="55"/>
        <v>14332.846834313086</v>
      </c>
      <c r="AH190" s="220"/>
      <c r="AI190" s="97"/>
      <c r="AJ190" s="97"/>
      <c r="AK190" s="97"/>
      <c r="AL190" s="97"/>
      <c r="AM190" s="97"/>
      <c r="AP190" s="157"/>
      <c r="AQ190" s="186"/>
      <c r="AR190" s="186"/>
      <c r="AS190" s="187"/>
      <c r="AT190" s="188"/>
      <c r="AU190" s="189"/>
      <c r="AV190" s="189"/>
      <c r="AW190" s="188"/>
      <c r="AX190" s="189"/>
      <c r="AY190" s="188"/>
      <c r="AZ190" s="190"/>
    </row>
    <row r="191" spans="1:52" ht="15.5" x14ac:dyDescent="0.35">
      <c r="A191" s="197">
        <f t="shared" si="49"/>
        <v>109</v>
      </c>
      <c r="B191" s="98">
        <f t="shared" si="56"/>
        <v>132</v>
      </c>
      <c r="C191" s="99">
        <f t="shared" ca="1" si="41"/>
        <v>50076</v>
      </c>
      <c r="D191" s="100">
        <f t="shared" ca="1" si="42"/>
        <v>821584.24043944676</v>
      </c>
      <c r="E191" s="100">
        <f t="shared" ca="1" si="43"/>
        <v>10598.436701668863</v>
      </c>
      <c r="F191" s="100">
        <f t="shared" ca="1" si="44"/>
        <v>832182.67714111565</v>
      </c>
      <c r="G191" s="100">
        <f t="shared" ca="1" si="39"/>
        <v>3482.3313327142914</v>
      </c>
      <c r="H191" s="100">
        <f t="shared" ca="1" si="50"/>
        <v>14080.768034383154</v>
      </c>
      <c r="I191" s="100">
        <f t="shared" ca="1" si="45"/>
        <v>140.49090511514541</v>
      </c>
      <c r="J191" s="100">
        <f t="shared" ca="1" si="51"/>
        <v>111</v>
      </c>
      <c r="K191" s="100">
        <f t="shared" ca="1" si="46"/>
        <v>14332.258939498301</v>
      </c>
      <c r="L191" s="101">
        <f t="shared" ca="1" si="47"/>
        <v>818101.90910673246</v>
      </c>
      <c r="M191" s="12"/>
      <c r="N191" s="12"/>
      <c r="O191" s="12"/>
      <c r="Q191" s="118">
        <f t="shared" ca="1" si="40"/>
        <v>104.46993998142874</v>
      </c>
      <c r="R191" s="119">
        <f t="shared" ca="1" si="48"/>
        <v>31</v>
      </c>
      <c r="S191" s="120">
        <v>365</v>
      </c>
      <c r="AC191" s="224">
        <v>3960</v>
      </c>
      <c r="AD191" s="225">
        <f t="shared" ca="1" si="52"/>
        <v>14080.768034383154</v>
      </c>
      <c r="AE191" s="226">
        <f t="shared" ca="1" si="53"/>
        <v>50076</v>
      </c>
      <c r="AF191" s="227">
        <f t="shared" ca="1" si="54"/>
        <v>14080.768034383154</v>
      </c>
      <c r="AG191" s="225">
        <f t="shared" ca="1" si="55"/>
        <v>14332.258939498301</v>
      </c>
      <c r="AH191" s="220"/>
      <c r="AI191" s="97"/>
      <c r="AJ191" s="97"/>
      <c r="AK191" s="97"/>
      <c r="AL191" s="97"/>
      <c r="AM191" s="97"/>
      <c r="AP191" s="157"/>
      <c r="AQ191" s="191"/>
      <c r="AR191" s="191"/>
      <c r="AS191" s="192"/>
      <c r="AT191" s="193"/>
      <c r="AU191" s="194"/>
      <c r="AV191" s="194"/>
      <c r="AW191" s="193"/>
      <c r="AX191" s="194"/>
      <c r="AY191" s="193"/>
      <c r="AZ191" s="195"/>
    </row>
    <row r="192" spans="1:52" ht="15.5" x14ac:dyDescent="0.35">
      <c r="A192" s="197">
        <f t="shared" si="49"/>
        <v>108</v>
      </c>
      <c r="B192" s="98">
        <f t="shared" si="56"/>
        <v>133</v>
      </c>
      <c r="C192" s="99">
        <f t="shared" ca="1" si="41"/>
        <v>50104</v>
      </c>
      <c r="D192" s="100">
        <f t="shared" ca="1" si="42"/>
        <v>818101.90910673246</v>
      </c>
      <c r="E192" s="100">
        <f t="shared" ca="1" si="43"/>
        <v>10553.514627476849</v>
      </c>
      <c r="F192" s="100">
        <f t="shared" ca="1" si="44"/>
        <v>828655.42373420927</v>
      </c>
      <c r="G192" s="100">
        <f t="shared" ca="1" si="39"/>
        <v>3527.2534069063058</v>
      </c>
      <c r="H192" s="100">
        <f t="shared" ca="1" si="50"/>
        <v>14080.768034383154</v>
      </c>
      <c r="I192" s="100">
        <f t="shared" ca="1" si="45"/>
        <v>139.89542645725126</v>
      </c>
      <c r="J192" s="100">
        <f t="shared" ca="1" si="51"/>
        <v>111</v>
      </c>
      <c r="K192" s="100">
        <f t="shared" ca="1" si="46"/>
        <v>14331.663460840406</v>
      </c>
      <c r="L192" s="101">
        <f t="shared" ca="1" si="47"/>
        <v>814574.65569982619</v>
      </c>
      <c r="M192" s="12"/>
      <c r="N192" s="12"/>
      <c r="O192" s="12"/>
      <c r="Q192" s="118">
        <f t="shared" ca="1" si="40"/>
        <v>105.81760220718917</v>
      </c>
      <c r="R192" s="119">
        <f t="shared" ca="1" si="48"/>
        <v>28</v>
      </c>
      <c r="S192" s="120">
        <v>365</v>
      </c>
      <c r="AC192" s="224">
        <v>3990</v>
      </c>
      <c r="AD192" s="225">
        <f t="shared" ca="1" si="52"/>
        <v>14080.768034383154</v>
      </c>
      <c r="AE192" s="226">
        <f t="shared" ca="1" si="53"/>
        <v>50104</v>
      </c>
      <c r="AF192" s="227">
        <f t="shared" ca="1" si="54"/>
        <v>14080.768034383154</v>
      </c>
      <c r="AG192" s="225">
        <f t="shared" ca="1" si="55"/>
        <v>14331.663460840406</v>
      </c>
      <c r="AH192" s="220"/>
      <c r="AI192" s="97"/>
      <c r="AJ192" s="97"/>
      <c r="AK192" s="97"/>
      <c r="AL192" s="97"/>
      <c r="AM192" s="97"/>
      <c r="AP192" s="157"/>
      <c r="AQ192" s="186"/>
      <c r="AR192" s="186"/>
      <c r="AS192" s="187"/>
      <c r="AT192" s="188"/>
      <c r="AU192" s="189"/>
      <c r="AV192" s="189"/>
      <c r="AW192" s="188"/>
      <c r="AX192" s="189"/>
      <c r="AY192" s="188"/>
      <c r="AZ192" s="190"/>
    </row>
    <row r="193" spans="1:52" ht="15.5" x14ac:dyDescent="0.35">
      <c r="A193" s="197">
        <f t="shared" si="49"/>
        <v>107</v>
      </c>
      <c r="B193" s="98">
        <f t="shared" si="56"/>
        <v>134</v>
      </c>
      <c r="C193" s="99">
        <f t="shared" ca="1" si="41"/>
        <v>50135</v>
      </c>
      <c r="D193" s="100">
        <f t="shared" ca="1" si="42"/>
        <v>814574.65569982619</v>
      </c>
      <c r="E193" s="100">
        <f t="shared" ca="1" si="43"/>
        <v>10508.013058527758</v>
      </c>
      <c r="F193" s="100">
        <f t="shared" ca="1" si="44"/>
        <v>825082.66875835392</v>
      </c>
      <c r="G193" s="100">
        <f t="shared" ca="1" si="39"/>
        <v>3572.7549758553996</v>
      </c>
      <c r="H193" s="100">
        <f t="shared" ca="1" si="50"/>
        <v>14080.768034383158</v>
      </c>
      <c r="I193" s="100">
        <f t="shared" ca="1" si="45"/>
        <v>139.29226612467028</v>
      </c>
      <c r="J193" s="100">
        <f t="shared" ca="1" si="51"/>
        <v>111</v>
      </c>
      <c r="K193" s="100">
        <f t="shared" ca="1" si="46"/>
        <v>14331.060300507828</v>
      </c>
      <c r="L193" s="101">
        <f t="shared" ca="1" si="47"/>
        <v>811001.90072397084</v>
      </c>
      <c r="M193" s="12"/>
      <c r="N193" s="12"/>
      <c r="O193" s="12"/>
      <c r="Q193" s="118">
        <f t="shared" ca="1" si="40"/>
        <v>107.18264927566199</v>
      </c>
      <c r="R193" s="119">
        <f t="shared" ca="1" si="48"/>
        <v>31</v>
      </c>
      <c r="S193" s="120">
        <v>365</v>
      </c>
      <c r="AC193" s="224">
        <v>4020</v>
      </c>
      <c r="AD193" s="225">
        <f t="shared" ca="1" si="52"/>
        <v>14080.768034383158</v>
      </c>
      <c r="AE193" s="226">
        <f t="shared" ca="1" si="53"/>
        <v>50135</v>
      </c>
      <c r="AF193" s="227">
        <f t="shared" ca="1" si="54"/>
        <v>14080.768034383158</v>
      </c>
      <c r="AG193" s="225">
        <f t="shared" ca="1" si="55"/>
        <v>14331.060300507828</v>
      </c>
      <c r="AH193" s="220"/>
      <c r="AI193" s="97"/>
      <c r="AJ193" s="97"/>
      <c r="AK193" s="97"/>
      <c r="AL193" s="97"/>
      <c r="AM193" s="97"/>
      <c r="AP193" s="157"/>
      <c r="AQ193" s="191"/>
      <c r="AR193" s="191"/>
      <c r="AS193" s="192"/>
      <c r="AT193" s="193"/>
      <c r="AU193" s="194"/>
      <c r="AV193" s="194"/>
      <c r="AW193" s="193"/>
      <c r="AX193" s="194"/>
      <c r="AY193" s="193"/>
      <c r="AZ193" s="195"/>
    </row>
    <row r="194" spans="1:52" ht="15.5" x14ac:dyDescent="0.35">
      <c r="A194" s="197">
        <f t="shared" si="49"/>
        <v>106</v>
      </c>
      <c r="B194" s="98">
        <f t="shared" si="56"/>
        <v>135</v>
      </c>
      <c r="C194" s="99">
        <f t="shared" ca="1" si="41"/>
        <v>50165</v>
      </c>
      <c r="D194" s="100">
        <f t="shared" ca="1" si="42"/>
        <v>811001.90072397084</v>
      </c>
      <c r="E194" s="100">
        <f t="shared" ca="1" si="43"/>
        <v>10461.924519339223</v>
      </c>
      <c r="F194" s="100">
        <f t="shared" ca="1" si="44"/>
        <v>821463.82524331007</v>
      </c>
      <c r="G194" s="100">
        <f t="shared" ca="1" si="39"/>
        <v>3618.8435150439345</v>
      </c>
      <c r="H194" s="100">
        <f t="shared" ca="1" si="50"/>
        <v>14080.768034383158</v>
      </c>
      <c r="I194" s="100">
        <f t="shared" ca="1" si="45"/>
        <v>138.68132502379902</v>
      </c>
      <c r="J194" s="100">
        <f t="shared" ca="1" si="51"/>
        <v>111</v>
      </c>
      <c r="K194" s="100">
        <f t="shared" ca="1" si="46"/>
        <v>14330.449359406957</v>
      </c>
      <c r="L194" s="101">
        <f t="shared" ca="1" si="47"/>
        <v>807383.05720892688</v>
      </c>
      <c r="M194" s="12"/>
      <c r="N194" s="12"/>
      <c r="O194" s="12"/>
      <c r="Q194" s="118">
        <f t="shared" ca="1" si="40"/>
        <v>108.56530545131803</v>
      </c>
      <c r="R194" s="119">
        <f t="shared" ca="1" si="48"/>
        <v>30</v>
      </c>
      <c r="S194" s="120">
        <v>365</v>
      </c>
      <c r="AC194" s="224">
        <v>4050</v>
      </c>
      <c r="AD194" s="225">
        <f t="shared" ca="1" si="52"/>
        <v>14080.768034383158</v>
      </c>
      <c r="AE194" s="226">
        <f t="shared" ca="1" si="53"/>
        <v>50165</v>
      </c>
      <c r="AF194" s="227">
        <f t="shared" ca="1" si="54"/>
        <v>14080.768034383158</v>
      </c>
      <c r="AG194" s="225">
        <f t="shared" ca="1" si="55"/>
        <v>14330.449359406957</v>
      </c>
      <c r="AH194" s="220"/>
      <c r="AI194" s="97"/>
      <c r="AJ194" s="97"/>
      <c r="AK194" s="97"/>
      <c r="AL194" s="97"/>
      <c r="AM194" s="97"/>
      <c r="AP194" s="157"/>
      <c r="AQ194" s="186"/>
      <c r="AR194" s="186"/>
      <c r="AS194" s="187"/>
      <c r="AT194" s="188"/>
      <c r="AU194" s="189"/>
      <c r="AV194" s="189"/>
      <c r="AW194" s="188"/>
      <c r="AX194" s="189"/>
      <c r="AY194" s="188"/>
      <c r="AZ194" s="190"/>
    </row>
    <row r="195" spans="1:52" ht="15.5" x14ac:dyDescent="0.35">
      <c r="A195" s="197">
        <f t="shared" si="49"/>
        <v>105</v>
      </c>
      <c r="B195" s="98">
        <f t="shared" si="56"/>
        <v>136</v>
      </c>
      <c r="C195" s="99">
        <f t="shared" ca="1" si="41"/>
        <v>50196</v>
      </c>
      <c r="D195" s="100">
        <f t="shared" ca="1" si="42"/>
        <v>807383.05720892688</v>
      </c>
      <c r="E195" s="100">
        <f t="shared" ca="1" si="43"/>
        <v>10415.241437995157</v>
      </c>
      <c r="F195" s="100">
        <f t="shared" ca="1" si="44"/>
        <v>817798.29864692199</v>
      </c>
      <c r="G195" s="100">
        <f t="shared" ca="1" si="39"/>
        <v>3665.5265963880011</v>
      </c>
      <c r="H195" s="100">
        <f t="shared" ca="1" si="50"/>
        <v>14080.768034383158</v>
      </c>
      <c r="I195" s="100">
        <f t="shared" ca="1" si="45"/>
        <v>138.06250278272651</v>
      </c>
      <c r="J195" s="100">
        <f t="shared" ca="1" si="51"/>
        <v>111</v>
      </c>
      <c r="K195" s="100">
        <f t="shared" ca="1" si="46"/>
        <v>14329.830537165884</v>
      </c>
      <c r="L195" s="101">
        <f t="shared" ca="1" si="47"/>
        <v>803717.53061253892</v>
      </c>
      <c r="M195" s="12"/>
      <c r="N195" s="12"/>
      <c r="O195" s="12"/>
      <c r="Q195" s="118">
        <f t="shared" ca="1" si="40"/>
        <v>109.96579789164002</v>
      </c>
      <c r="R195" s="119">
        <f t="shared" ca="1" si="48"/>
        <v>31</v>
      </c>
      <c r="S195" s="120">
        <v>365</v>
      </c>
      <c r="AC195" s="224">
        <v>4080</v>
      </c>
      <c r="AD195" s="225">
        <f t="shared" ca="1" si="52"/>
        <v>14080.768034383158</v>
      </c>
      <c r="AE195" s="226">
        <f t="shared" ca="1" si="53"/>
        <v>50196</v>
      </c>
      <c r="AF195" s="227">
        <f t="shared" ca="1" si="54"/>
        <v>14080.768034383158</v>
      </c>
      <c r="AG195" s="225">
        <f t="shared" ca="1" si="55"/>
        <v>14329.830537165884</v>
      </c>
      <c r="AH195" s="220"/>
      <c r="AI195" s="97"/>
      <c r="AJ195" s="97"/>
      <c r="AK195" s="97"/>
      <c r="AL195" s="97"/>
      <c r="AM195" s="97"/>
      <c r="AP195" s="157"/>
      <c r="AQ195" s="191"/>
      <c r="AR195" s="191"/>
      <c r="AS195" s="192"/>
      <c r="AT195" s="193"/>
      <c r="AU195" s="194"/>
      <c r="AV195" s="194"/>
      <c r="AW195" s="193"/>
      <c r="AX195" s="194"/>
      <c r="AY195" s="193"/>
      <c r="AZ195" s="195"/>
    </row>
    <row r="196" spans="1:52" ht="15.5" x14ac:dyDescent="0.35">
      <c r="A196" s="197">
        <f t="shared" si="49"/>
        <v>104</v>
      </c>
      <c r="B196" s="98">
        <f t="shared" si="56"/>
        <v>137</v>
      </c>
      <c r="C196" s="99">
        <f t="shared" ca="1" si="41"/>
        <v>50226</v>
      </c>
      <c r="D196" s="100">
        <f t="shared" ca="1" si="42"/>
        <v>803717.53061253892</v>
      </c>
      <c r="E196" s="100">
        <f t="shared" ca="1" si="43"/>
        <v>10367.956144901753</v>
      </c>
      <c r="F196" s="100">
        <f t="shared" ca="1" si="44"/>
        <v>814085.48675744073</v>
      </c>
      <c r="G196" s="100">
        <f t="shared" ca="1" si="39"/>
        <v>3712.8118894814052</v>
      </c>
      <c r="H196" s="100">
        <f t="shared" ca="1" si="50"/>
        <v>14080.768034383158</v>
      </c>
      <c r="I196" s="100">
        <f t="shared" ca="1" si="45"/>
        <v>137.43569773474417</v>
      </c>
      <c r="J196" s="100">
        <f t="shared" ca="1" si="51"/>
        <v>111</v>
      </c>
      <c r="K196" s="100">
        <f t="shared" ca="1" si="46"/>
        <v>14329.203732117901</v>
      </c>
      <c r="L196" s="101">
        <f t="shared" ca="1" si="47"/>
        <v>800004.71872305754</v>
      </c>
      <c r="M196" s="12"/>
      <c r="N196" s="12"/>
      <c r="O196" s="12"/>
      <c r="Q196" s="118">
        <f t="shared" ca="1" si="40"/>
        <v>111.38435668444215</v>
      </c>
      <c r="R196" s="119">
        <f t="shared" ca="1" si="48"/>
        <v>30</v>
      </c>
      <c r="S196" s="120">
        <v>365</v>
      </c>
      <c r="AC196" s="224">
        <v>4110</v>
      </c>
      <c r="AD196" s="225">
        <f t="shared" ca="1" si="52"/>
        <v>14080.768034383158</v>
      </c>
      <c r="AE196" s="226">
        <f t="shared" ca="1" si="53"/>
        <v>50226</v>
      </c>
      <c r="AF196" s="227">
        <f t="shared" ca="1" si="54"/>
        <v>14080.768034383158</v>
      </c>
      <c r="AG196" s="225">
        <f t="shared" ca="1" si="55"/>
        <v>14329.203732117901</v>
      </c>
      <c r="AH196" s="220"/>
      <c r="AI196" s="97"/>
      <c r="AJ196" s="97"/>
      <c r="AK196" s="97"/>
      <c r="AL196" s="97"/>
      <c r="AM196" s="97"/>
      <c r="AP196" s="157"/>
      <c r="AQ196" s="186"/>
      <c r="AR196" s="186"/>
      <c r="AS196" s="187"/>
      <c r="AT196" s="188"/>
      <c r="AU196" s="189"/>
      <c r="AV196" s="189"/>
      <c r="AW196" s="188"/>
      <c r="AX196" s="189"/>
      <c r="AY196" s="188"/>
      <c r="AZ196" s="190"/>
    </row>
    <row r="197" spans="1:52" ht="15.5" x14ac:dyDescent="0.35">
      <c r="A197" s="197">
        <f t="shared" si="49"/>
        <v>103</v>
      </c>
      <c r="B197" s="98">
        <f t="shared" si="56"/>
        <v>138</v>
      </c>
      <c r="C197" s="99">
        <f t="shared" ca="1" si="41"/>
        <v>50257</v>
      </c>
      <c r="D197" s="100">
        <f t="shared" ca="1" si="42"/>
        <v>800004.71872305754</v>
      </c>
      <c r="E197" s="100">
        <f t="shared" ca="1" si="43"/>
        <v>10320.060871527443</v>
      </c>
      <c r="F197" s="100">
        <f t="shared" ca="1" si="44"/>
        <v>810324.77959458495</v>
      </c>
      <c r="G197" s="100">
        <f t="shared" ca="1" si="39"/>
        <v>3760.7071628557151</v>
      </c>
      <c r="H197" s="100">
        <f t="shared" ca="1" si="50"/>
        <v>14080.768034383158</v>
      </c>
      <c r="I197" s="100">
        <f t="shared" ca="1" si="45"/>
        <v>136.80080690164286</v>
      </c>
      <c r="J197" s="100">
        <f t="shared" ca="1" si="51"/>
        <v>111</v>
      </c>
      <c r="K197" s="100">
        <f t="shared" ca="1" si="46"/>
        <v>14328.568841284801</v>
      </c>
      <c r="L197" s="101">
        <f t="shared" ca="1" si="47"/>
        <v>796244.01156020188</v>
      </c>
      <c r="M197" s="12"/>
      <c r="N197" s="12"/>
      <c r="O197" s="12"/>
      <c r="Q197" s="118">
        <f t="shared" ca="1" si="40"/>
        <v>112.82121488567145</v>
      </c>
      <c r="R197" s="119">
        <f t="shared" ca="1" si="48"/>
        <v>31</v>
      </c>
      <c r="S197" s="120">
        <v>365</v>
      </c>
      <c r="AC197" s="224">
        <v>4140</v>
      </c>
      <c r="AD197" s="225">
        <f t="shared" ca="1" si="52"/>
        <v>14080.768034383158</v>
      </c>
      <c r="AE197" s="226">
        <f t="shared" ca="1" si="53"/>
        <v>50257</v>
      </c>
      <c r="AF197" s="227">
        <f t="shared" ca="1" si="54"/>
        <v>14080.768034383158</v>
      </c>
      <c r="AG197" s="225">
        <f t="shared" ca="1" si="55"/>
        <v>14328.568841284801</v>
      </c>
      <c r="AH197" s="220"/>
      <c r="AI197" s="97"/>
      <c r="AJ197" s="97"/>
      <c r="AK197" s="97"/>
      <c r="AL197" s="97"/>
      <c r="AM197" s="97"/>
      <c r="AP197" s="157"/>
      <c r="AQ197" s="191"/>
      <c r="AR197" s="191"/>
      <c r="AS197" s="192"/>
      <c r="AT197" s="193"/>
      <c r="AU197" s="194"/>
      <c r="AV197" s="194"/>
      <c r="AW197" s="193"/>
      <c r="AX197" s="194"/>
      <c r="AY197" s="193"/>
      <c r="AZ197" s="195"/>
    </row>
    <row r="198" spans="1:52" ht="15.5" x14ac:dyDescent="0.35">
      <c r="A198" s="197">
        <f t="shared" si="49"/>
        <v>102</v>
      </c>
      <c r="B198" s="98">
        <f t="shared" si="56"/>
        <v>139</v>
      </c>
      <c r="C198" s="99">
        <f t="shared" ca="1" si="41"/>
        <v>50288</v>
      </c>
      <c r="D198" s="100">
        <f t="shared" ca="1" si="42"/>
        <v>796244.01156020188</v>
      </c>
      <c r="E198" s="100">
        <f t="shared" ca="1" si="43"/>
        <v>10271.547749126605</v>
      </c>
      <c r="F198" s="100">
        <f t="shared" ca="1" si="44"/>
        <v>806515.55930932844</v>
      </c>
      <c r="G198" s="100">
        <f t="shared" ca="1" si="39"/>
        <v>3809.2202852565551</v>
      </c>
      <c r="H198" s="100">
        <f t="shared" ca="1" si="50"/>
        <v>14080.76803438316</v>
      </c>
      <c r="I198" s="100">
        <f t="shared" ca="1" si="45"/>
        <v>136.15772597679452</v>
      </c>
      <c r="J198" s="100">
        <f t="shared" ca="1" si="51"/>
        <v>111</v>
      </c>
      <c r="K198" s="100">
        <f t="shared" ca="1" si="46"/>
        <v>14327.925760359954</v>
      </c>
      <c r="L198" s="101">
        <f t="shared" ca="1" si="47"/>
        <v>792434.79127494537</v>
      </c>
      <c r="M198" s="12"/>
      <c r="N198" s="12"/>
      <c r="O198" s="12"/>
      <c r="Q198" s="118">
        <f t="shared" ca="1" si="40"/>
        <v>114.27660855769665</v>
      </c>
      <c r="R198" s="119">
        <f t="shared" ca="1" si="48"/>
        <v>31</v>
      </c>
      <c r="S198" s="120">
        <v>365</v>
      </c>
      <c r="AC198" s="224">
        <v>4170</v>
      </c>
      <c r="AD198" s="225">
        <f t="shared" ca="1" si="52"/>
        <v>14080.76803438316</v>
      </c>
      <c r="AE198" s="226">
        <f t="shared" ca="1" si="53"/>
        <v>50288</v>
      </c>
      <c r="AF198" s="227">
        <f t="shared" ca="1" si="54"/>
        <v>14080.76803438316</v>
      </c>
      <c r="AG198" s="225">
        <f t="shared" ca="1" si="55"/>
        <v>14327.925760359954</v>
      </c>
      <c r="AH198" s="220"/>
      <c r="AI198" s="97"/>
      <c r="AJ198" s="97"/>
      <c r="AK198" s="97"/>
      <c r="AL198" s="97"/>
      <c r="AM198" s="97"/>
      <c r="AP198" s="157"/>
      <c r="AQ198" s="186"/>
      <c r="AR198" s="186"/>
      <c r="AS198" s="187"/>
      <c r="AT198" s="188"/>
      <c r="AU198" s="189"/>
      <c r="AV198" s="189"/>
      <c r="AW198" s="188"/>
      <c r="AX198" s="189"/>
      <c r="AY198" s="188"/>
      <c r="AZ198" s="190"/>
    </row>
    <row r="199" spans="1:52" ht="15.5" x14ac:dyDescent="0.35">
      <c r="A199" s="197">
        <f t="shared" si="49"/>
        <v>101</v>
      </c>
      <c r="B199" s="98">
        <f t="shared" si="56"/>
        <v>140</v>
      </c>
      <c r="C199" s="99">
        <f t="shared" ca="1" si="41"/>
        <v>50318</v>
      </c>
      <c r="D199" s="100">
        <f t="shared" ca="1" si="42"/>
        <v>792434.79127494537</v>
      </c>
      <c r="E199" s="100">
        <f t="shared" ca="1" si="43"/>
        <v>10222.408807446795</v>
      </c>
      <c r="F199" s="100">
        <f t="shared" ca="1" si="44"/>
        <v>802657.2000823922</v>
      </c>
      <c r="G199" s="100">
        <f t="shared" ca="1" si="39"/>
        <v>3858.3592269363653</v>
      </c>
      <c r="H199" s="100">
        <f t="shared" ca="1" si="50"/>
        <v>14080.76803438316</v>
      </c>
      <c r="I199" s="100">
        <f t="shared" ca="1" si="45"/>
        <v>135.50634930801567</v>
      </c>
      <c r="J199" s="100">
        <f t="shared" ca="1" si="51"/>
        <v>111</v>
      </c>
      <c r="K199" s="100">
        <f t="shared" ca="1" si="46"/>
        <v>14327.274383691176</v>
      </c>
      <c r="L199" s="101">
        <f t="shared" ca="1" si="47"/>
        <v>788576.43204800901</v>
      </c>
      <c r="M199" s="12"/>
      <c r="N199" s="12"/>
      <c r="O199" s="12"/>
      <c r="Q199" s="118">
        <f t="shared" ca="1" si="40"/>
        <v>115.75077680809096</v>
      </c>
      <c r="R199" s="119">
        <f t="shared" ca="1" si="48"/>
        <v>30</v>
      </c>
      <c r="S199" s="120">
        <v>365</v>
      </c>
      <c r="AC199" s="224">
        <v>4200</v>
      </c>
      <c r="AD199" s="225">
        <f t="shared" ca="1" si="52"/>
        <v>14080.76803438316</v>
      </c>
      <c r="AE199" s="226">
        <f t="shared" ca="1" si="53"/>
        <v>50318</v>
      </c>
      <c r="AF199" s="227">
        <f t="shared" ca="1" si="54"/>
        <v>14080.76803438316</v>
      </c>
      <c r="AG199" s="225">
        <f t="shared" ca="1" si="55"/>
        <v>14327.274383691176</v>
      </c>
      <c r="AH199" s="220"/>
      <c r="AI199" s="97"/>
      <c r="AJ199" s="97"/>
      <c r="AK199" s="97"/>
      <c r="AL199" s="97"/>
      <c r="AM199" s="97"/>
      <c r="AP199" s="157"/>
      <c r="AQ199" s="191"/>
      <c r="AR199" s="191"/>
      <c r="AS199" s="192"/>
      <c r="AT199" s="193"/>
      <c r="AU199" s="193"/>
      <c r="AV199" s="194"/>
      <c r="AW199" s="193"/>
      <c r="AX199" s="194"/>
      <c r="AY199" s="193"/>
      <c r="AZ199" s="195"/>
    </row>
    <row r="200" spans="1:52" ht="15.5" x14ac:dyDescent="0.35">
      <c r="A200" s="197">
        <f t="shared" si="49"/>
        <v>100</v>
      </c>
      <c r="B200" s="98">
        <f t="shared" si="56"/>
        <v>141</v>
      </c>
      <c r="C200" s="99">
        <f t="shared" ca="1" si="41"/>
        <v>50349</v>
      </c>
      <c r="D200" s="100">
        <f t="shared" ca="1" si="42"/>
        <v>788576.43204800901</v>
      </c>
      <c r="E200" s="100">
        <f t="shared" ca="1" si="43"/>
        <v>10172.635973419316</v>
      </c>
      <c r="F200" s="100">
        <f t="shared" ca="1" si="44"/>
        <v>798749.06802142831</v>
      </c>
      <c r="G200" s="100">
        <f t="shared" ref="G200:G263" ca="1" si="57">IF($D$9&gt;=B200,0,IFERROR(IF(C200="","",IF(SISTEMA_AMORTIZAÇÃO=PRICE_PRE,H200-E200,
IF(SISTEMA_AMORTIZAÇÃO=SAC_PRE,D200/A200,
IF(SISTEMA_AMORTIZAÇÃO=SAC_POS,D200/A200,)))),""))</f>
        <v>3908.1320609638442</v>
      </c>
      <c r="H200" s="100">
        <f t="shared" ca="1" si="50"/>
        <v>14080.76803438316</v>
      </c>
      <c r="I200" s="100">
        <f t="shared" ca="1" si="45"/>
        <v>134.84656988020956</v>
      </c>
      <c r="J200" s="100">
        <f t="shared" ca="1" si="51"/>
        <v>111</v>
      </c>
      <c r="K200" s="100">
        <f t="shared" ca="1" si="46"/>
        <v>14326.61460426337</v>
      </c>
      <c r="L200" s="101">
        <f t="shared" ca="1" si="47"/>
        <v>784668.29998704512</v>
      </c>
      <c r="M200" s="12"/>
      <c r="N200" s="12"/>
      <c r="O200" s="12"/>
      <c r="Q200" s="118">
        <f t="shared" ref="Q200:Q263" ca="1" si="58">IFERROR(G200*$Q$44,0)</f>
        <v>117.24396182891532</v>
      </c>
      <c r="R200" s="119">
        <f t="shared" ca="1" si="48"/>
        <v>31</v>
      </c>
      <c r="S200" s="120">
        <v>365</v>
      </c>
      <c r="AC200" s="224">
        <v>4230</v>
      </c>
      <c r="AD200" s="225">
        <f t="shared" ca="1" si="52"/>
        <v>14080.76803438316</v>
      </c>
      <c r="AE200" s="226">
        <f t="shared" ca="1" si="53"/>
        <v>50349</v>
      </c>
      <c r="AF200" s="227">
        <f t="shared" ca="1" si="54"/>
        <v>14080.76803438316</v>
      </c>
      <c r="AG200" s="225">
        <f t="shared" ca="1" si="55"/>
        <v>14326.61460426337</v>
      </c>
      <c r="AH200" s="220"/>
      <c r="AI200" s="97"/>
      <c r="AJ200" s="97"/>
      <c r="AK200" s="97"/>
      <c r="AL200" s="97"/>
      <c r="AM200" s="97"/>
      <c r="AP200" s="157"/>
      <c r="AQ200" s="186"/>
      <c r="AR200" s="186"/>
      <c r="AS200" s="187"/>
      <c r="AT200" s="188"/>
      <c r="AU200" s="188"/>
      <c r="AV200" s="189"/>
      <c r="AW200" s="188"/>
      <c r="AX200" s="189"/>
      <c r="AY200" s="188"/>
      <c r="AZ200" s="190"/>
    </row>
    <row r="201" spans="1:52" ht="15.5" x14ac:dyDescent="0.35">
      <c r="A201" s="197">
        <f t="shared" si="49"/>
        <v>99</v>
      </c>
      <c r="B201" s="98">
        <f t="shared" si="56"/>
        <v>142</v>
      </c>
      <c r="C201" s="99">
        <f t="shared" ref="C201:C264" ca="1" si="59">IFERROR(IF(B201&lt;=$J$21,DATE(YEAR(C200),MONTH(C200)+1,DAY(C200)),""),"")</f>
        <v>50379</v>
      </c>
      <c r="D201" s="100">
        <f t="shared" ref="D201:D264" ca="1" si="60">IF(B201="","",L200)</f>
        <v>784668.29998704512</v>
      </c>
      <c r="E201" s="100">
        <f t="shared" ref="E201:E264" ca="1" si="61">IFERROR(D201*TAXA,"")</f>
        <v>10122.221069832882</v>
      </c>
      <c r="F201" s="100">
        <f t="shared" ref="F201:F264" ca="1" si="62">IFERROR(D201+E201,"")</f>
        <v>794790.52105687803</v>
      </c>
      <c r="G201" s="100">
        <f t="shared" ca="1" si="57"/>
        <v>3958.5469645502781</v>
      </c>
      <c r="H201" s="100">
        <f t="shared" ca="1" si="50"/>
        <v>14080.76803438316</v>
      </c>
      <c r="I201" s="100">
        <f t="shared" ref="I201:I264" ca="1" si="63">IFERROR(D201*$K$32,"")</f>
        <v>134.17827929778471</v>
      </c>
      <c r="J201" s="100">
        <f t="shared" ca="1" si="51"/>
        <v>111</v>
      </c>
      <c r="K201" s="100">
        <f t="shared" ref="K201:K264" ca="1" si="64">IFERROR(SUM(J201+I201+H201),"")</f>
        <v>14325.946313680945</v>
      </c>
      <c r="L201" s="101">
        <f t="shared" ref="L201:L264" ca="1" si="65">IFERROR(D201-G201,"")</f>
        <v>780709.75302249484</v>
      </c>
      <c r="M201" s="12"/>
      <c r="N201" s="12"/>
      <c r="O201" s="12"/>
      <c r="Q201" s="118">
        <f t="shared" ca="1" si="58"/>
        <v>118.75640893650834</v>
      </c>
      <c r="R201" s="119">
        <f t="shared" ca="1" si="48"/>
        <v>30</v>
      </c>
      <c r="S201" s="120">
        <v>365</v>
      </c>
      <c r="AC201" s="224">
        <v>4260</v>
      </c>
      <c r="AD201" s="225">
        <f t="shared" ca="1" si="52"/>
        <v>14080.76803438316</v>
      </c>
      <c r="AE201" s="226">
        <f t="shared" ca="1" si="53"/>
        <v>50379</v>
      </c>
      <c r="AF201" s="227">
        <f t="shared" ca="1" si="54"/>
        <v>14080.76803438316</v>
      </c>
      <c r="AG201" s="225">
        <f t="shared" ca="1" si="55"/>
        <v>14325.946313680945</v>
      </c>
      <c r="AH201" s="220"/>
      <c r="AI201" s="97"/>
      <c r="AJ201" s="97"/>
      <c r="AK201" s="97"/>
      <c r="AL201" s="97"/>
      <c r="AM201" s="97"/>
      <c r="AP201" s="157"/>
      <c r="AQ201" s="191"/>
      <c r="AR201" s="191"/>
      <c r="AS201" s="192"/>
      <c r="AT201" s="193"/>
      <c r="AU201" s="193"/>
      <c r="AV201" s="194"/>
      <c r="AW201" s="193"/>
      <c r="AX201" s="194"/>
      <c r="AY201" s="193"/>
      <c r="AZ201" s="195"/>
    </row>
    <row r="202" spans="1:52" ht="15.5" x14ac:dyDescent="0.35">
      <c r="A202" s="197">
        <f t="shared" si="49"/>
        <v>98</v>
      </c>
      <c r="B202" s="98">
        <f t="shared" si="56"/>
        <v>143</v>
      </c>
      <c r="C202" s="99">
        <f t="shared" ca="1" si="59"/>
        <v>50410</v>
      </c>
      <c r="D202" s="100">
        <f t="shared" ca="1" si="60"/>
        <v>780709.75302249484</v>
      </c>
      <c r="E202" s="100">
        <f t="shared" ca="1" si="61"/>
        <v>10071.155813990183</v>
      </c>
      <c r="F202" s="100">
        <f t="shared" ca="1" si="62"/>
        <v>790780.908836485</v>
      </c>
      <c r="G202" s="100">
        <f t="shared" ca="1" si="57"/>
        <v>4009.6122203929754</v>
      </c>
      <c r="H202" s="100">
        <f t="shared" ca="1" si="50"/>
        <v>14080.768034383158</v>
      </c>
      <c r="I202" s="100">
        <f t="shared" ca="1" si="63"/>
        <v>133.50136776684661</v>
      </c>
      <c r="J202" s="100">
        <f t="shared" ca="1" si="51"/>
        <v>111</v>
      </c>
      <c r="K202" s="100">
        <f t="shared" ca="1" si="64"/>
        <v>14325.269402150005</v>
      </c>
      <c r="L202" s="101">
        <f t="shared" ca="1" si="65"/>
        <v>776700.14080210181</v>
      </c>
      <c r="M202" s="12"/>
      <c r="N202" s="12"/>
      <c r="O202" s="12"/>
      <c r="Q202" s="118">
        <f t="shared" ca="1" si="58"/>
        <v>120.28836661178926</v>
      </c>
      <c r="R202" s="119">
        <f t="shared" ca="1" si="48"/>
        <v>31</v>
      </c>
      <c r="S202" s="120">
        <v>365</v>
      </c>
      <c r="AC202" s="224">
        <v>4290</v>
      </c>
      <c r="AD202" s="225">
        <f t="shared" ca="1" si="52"/>
        <v>14080.768034383158</v>
      </c>
      <c r="AE202" s="226">
        <f t="shared" ca="1" si="53"/>
        <v>50410</v>
      </c>
      <c r="AF202" s="227">
        <f t="shared" ca="1" si="54"/>
        <v>14080.768034383158</v>
      </c>
      <c r="AG202" s="225">
        <f t="shared" ca="1" si="55"/>
        <v>14325.269402150005</v>
      </c>
      <c r="AH202" s="220"/>
      <c r="AI202" s="97"/>
      <c r="AJ202" s="97"/>
      <c r="AK202" s="97"/>
      <c r="AL202" s="97"/>
      <c r="AM202" s="97"/>
      <c r="AP202" s="157"/>
      <c r="AQ202" s="186"/>
      <c r="AR202" s="186"/>
      <c r="AS202" s="187"/>
      <c r="AT202" s="188"/>
      <c r="AU202" s="188"/>
      <c r="AV202" s="189"/>
      <c r="AW202" s="188"/>
      <c r="AX202" s="189"/>
      <c r="AY202" s="188"/>
      <c r="AZ202" s="190"/>
    </row>
    <row r="203" spans="1:52" ht="15.5" x14ac:dyDescent="0.35">
      <c r="A203" s="197">
        <f t="shared" si="49"/>
        <v>97</v>
      </c>
      <c r="B203" s="98">
        <f t="shared" si="56"/>
        <v>144</v>
      </c>
      <c r="C203" s="99">
        <f t="shared" ca="1" si="59"/>
        <v>50441</v>
      </c>
      <c r="D203" s="100">
        <f t="shared" ca="1" si="60"/>
        <v>776700.14080210181</v>
      </c>
      <c r="E203" s="100">
        <f t="shared" ca="1" si="61"/>
        <v>10019.431816347113</v>
      </c>
      <c r="F203" s="100">
        <f t="shared" ca="1" si="62"/>
        <v>786719.57261844887</v>
      </c>
      <c r="G203" s="100">
        <f t="shared" ca="1" si="57"/>
        <v>4061.3362180360455</v>
      </c>
      <c r="H203" s="100">
        <f t="shared" ca="1" si="50"/>
        <v>14080.768034383158</v>
      </c>
      <c r="I203" s="100">
        <f t="shared" ca="1" si="63"/>
        <v>132.81572407715942</v>
      </c>
      <c r="J203" s="100">
        <f t="shared" ca="1" si="51"/>
        <v>111</v>
      </c>
      <c r="K203" s="100">
        <f t="shared" ca="1" si="64"/>
        <v>14324.583758460318</v>
      </c>
      <c r="L203" s="101">
        <f t="shared" ca="1" si="65"/>
        <v>772638.8045840658</v>
      </c>
      <c r="M203" s="12"/>
      <c r="N203" s="12"/>
      <c r="O203" s="12"/>
      <c r="Q203" s="118">
        <f t="shared" ca="1" si="58"/>
        <v>121.84008654108136</v>
      </c>
      <c r="R203" s="119">
        <f t="shared" ca="1" si="48"/>
        <v>31</v>
      </c>
      <c r="S203" s="120">
        <v>365</v>
      </c>
      <c r="AC203" s="224">
        <v>4320</v>
      </c>
      <c r="AD203" s="225">
        <f t="shared" ca="1" si="52"/>
        <v>14080.768034383158</v>
      </c>
      <c r="AE203" s="226">
        <f t="shared" ca="1" si="53"/>
        <v>50441</v>
      </c>
      <c r="AF203" s="227">
        <f t="shared" ca="1" si="54"/>
        <v>14080.768034383158</v>
      </c>
      <c r="AG203" s="225">
        <f t="shared" ca="1" si="55"/>
        <v>14324.583758460318</v>
      </c>
      <c r="AH203" s="220"/>
      <c r="AI203" s="97"/>
      <c r="AJ203" s="97"/>
      <c r="AK203" s="97"/>
      <c r="AL203" s="97"/>
      <c r="AM203" s="97"/>
      <c r="AP203" s="157"/>
      <c r="AQ203" s="191"/>
      <c r="AR203" s="191"/>
      <c r="AS203" s="192"/>
      <c r="AT203" s="193"/>
      <c r="AU203" s="193"/>
      <c r="AV203" s="194"/>
      <c r="AW203" s="193"/>
      <c r="AX203" s="194"/>
      <c r="AY203" s="193"/>
      <c r="AZ203" s="195"/>
    </row>
    <row r="204" spans="1:52" ht="15.5" x14ac:dyDescent="0.35">
      <c r="A204" s="197">
        <f t="shared" si="49"/>
        <v>96</v>
      </c>
      <c r="B204" s="98">
        <f t="shared" si="56"/>
        <v>145</v>
      </c>
      <c r="C204" s="99">
        <f t="shared" ca="1" si="59"/>
        <v>50469</v>
      </c>
      <c r="D204" s="100">
        <f t="shared" ca="1" si="60"/>
        <v>772638.8045840658</v>
      </c>
      <c r="E204" s="100">
        <f t="shared" ca="1" si="61"/>
        <v>9967.0405791344492</v>
      </c>
      <c r="F204" s="100">
        <f t="shared" ca="1" si="62"/>
        <v>782605.84516320028</v>
      </c>
      <c r="G204" s="100">
        <f t="shared" ca="1" si="57"/>
        <v>4113.7274552487088</v>
      </c>
      <c r="H204" s="100">
        <f t="shared" ca="1" si="50"/>
        <v>14080.768034383158</v>
      </c>
      <c r="I204" s="100">
        <f t="shared" ca="1" si="63"/>
        <v>132.12123558387526</v>
      </c>
      <c r="J204" s="100">
        <f t="shared" ca="1" si="51"/>
        <v>111</v>
      </c>
      <c r="K204" s="100">
        <f t="shared" ca="1" si="64"/>
        <v>14323.889269967034</v>
      </c>
      <c r="L204" s="101">
        <f t="shared" ca="1" si="65"/>
        <v>768525.07712881709</v>
      </c>
      <c r="M204" s="12"/>
      <c r="N204" s="12"/>
      <c r="O204" s="12"/>
      <c r="Q204" s="118">
        <f t="shared" ca="1" si="58"/>
        <v>123.41182365746126</v>
      </c>
      <c r="R204" s="119">
        <f t="shared" ca="1" si="48"/>
        <v>28</v>
      </c>
      <c r="S204" s="120">
        <v>365</v>
      </c>
      <c r="AC204" s="224">
        <v>4350</v>
      </c>
      <c r="AD204" s="225">
        <f t="shared" ca="1" si="52"/>
        <v>14080.768034383158</v>
      </c>
      <c r="AE204" s="226">
        <f t="shared" ca="1" si="53"/>
        <v>50469</v>
      </c>
      <c r="AF204" s="227">
        <f t="shared" ca="1" si="54"/>
        <v>14080.768034383158</v>
      </c>
      <c r="AG204" s="225">
        <f t="shared" ca="1" si="55"/>
        <v>14323.889269967034</v>
      </c>
      <c r="AH204" s="220"/>
      <c r="AI204" s="97"/>
      <c r="AJ204" s="97"/>
      <c r="AK204" s="97"/>
      <c r="AL204" s="97"/>
      <c r="AM204" s="97"/>
      <c r="AP204" s="157"/>
      <c r="AQ204" s="186"/>
      <c r="AR204" s="186"/>
      <c r="AS204" s="187"/>
      <c r="AT204" s="188"/>
      <c r="AU204" s="188"/>
      <c r="AV204" s="189"/>
      <c r="AW204" s="188"/>
      <c r="AX204" s="189"/>
      <c r="AY204" s="188"/>
      <c r="AZ204" s="190"/>
    </row>
    <row r="205" spans="1:52" ht="15.5" x14ac:dyDescent="0.35">
      <c r="A205" s="197">
        <f t="shared" si="49"/>
        <v>95</v>
      </c>
      <c r="B205" s="98">
        <f t="shared" si="56"/>
        <v>146</v>
      </c>
      <c r="C205" s="99">
        <f t="shared" ca="1" si="59"/>
        <v>50500</v>
      </c>
      <c r="D205" s="100">
        <f t="shared" ca="1" si="60"/>
        <v>768525.07712881709</v>
      </c>
      <c r="E205" s="100">
        <f t="shared" ca="1" si="61"/>
        <v>9913.9734949617414</v>
      </c>
      <c r="F205" s="100">
        <f t="shared" ca="1" si="62"/>
        <v>778439.05062377884</v>
      </c>
      <c r="G205" s="100">
        <f t="shared" ca="1" si="57"/>
        <v>4166.7945394214166</v>
      </c>
      <c r="H205" s="100">
        <f t="shared" ca="1" si="50"/>
        <v>14080.768034383158</v>
      </c>
      <c r="I205" s="100">
        <f t="shared" ca="1" si="63"/>
        <v>131.41778818902773</v>
      </c>
      <c r="J205" s="100">
        <f t="shared" ca="1" si="51"/>
        <v>111</v>
      </c>
      <c r="K205" s="100">
        <f t="shared" ca="1" si="64"/>
        <v>14323.185822572186</v>
      </c>
      <c r="L205" s="101">
        <f t="shared" ca="1" si="65"/>
        <v>764358.28258939565</v>
      </c>
      <c r="M205" s="12"/>
      <c r="N205" s="12"/>
      <c r="O205" s="12"/>
      <c r="Q205" s="118">
        <f t="shared" ca="1" si="58"/>
        <v>125.00383618264249</v>
      </c>
      <c r="R205" s="119">
        <f t="shared" ca="1" si="48"/>
        <v>31</v>
      </c>
      <c r="S205" s="120">
        <v>365</v>
      </c>
      <c r="AC205" s="224">
        <v>4380</v>
      </c>
      <c r="AD205" s="225">
        <f t="shared" ca="1" si="52"/>
        <v>14080.768034383158</v>
      </c>
      <c r="AE205" s="226">
        <f t="shared" ca="1" si="53"/>
        <v>50500</v>
      </c>
      <c r="AF205" s="227">
        <f t="shared" ca="1" si="54"/>
        <v>14080.768034383158</v>
      </c>
      <c r="AG205" s="225">
        <f t="shared" ca="1" si="55"/>
        <v>14323.185822572186</v>
      </c>
      <c r="AH205" s="220"/>
      <c r="AI205" s="97"/>
      <c r="AJ205" s="97"/>
      <c r="AK205" s="97"/>
      <c r="AL205" s="97"/>
      <c r="AM205" s="97"/>
      <c r="AP205" s="157"/>
      <c r="AQ205" s="191"/>
      <c r="AR205" s="191"/>
      <c r="AS205" s="192"/>
      <c r="AT205" s="193"/>
      <c r="AU205" s="193"/>
      <c r="AV205" s="194"/>
      <c r="AW205" s="193"/>
      <c r="AX205" s="194"/>
      <c r="AY205" s="193"/>
      <c r="AZ205" s="195"/>
    </row>
    <row r="206" spans="1:52" ht="15.5" x14ac:dyDescent="0.35">
      <c r="A206" s="197">
        <f t="shared" si="49"/>
        <v>94</v>
      </c>
      <c r="B206" s="98">
        <f t="shared" si="56"/>
        <v>147</v>
      </c>
      <c r="C206" s="99">
        <f t="shared" ca="1" si="59"/>
        <v>50530</v>
      </c>
      <c r="D206" s="100">
        <f t="shared" ca="1" si="60"/>
        <v>764358.28258939565</v>
      </c>
      <c r="E206" s="100">
        <f t="shared" ca="1" si="61"/>
        <v>9860.2218454032045</v>
      </c>
      <c r="F206" s="100">
        <f t="shared" ca="1" si="62"/>
        <v>774218.50443479884</v>
      </c>
      <c r="G206" s="100">
        <f t="shared" ca="1" si="57"/>
        <v>4220.5461889799535</v>
      </c>
      <c r="H206" s="100">
        <f t="shared" ca="1" si="50"/>
        <v>14080.768034383158</v>
      </c>
      <c r="I206" s="100">
        <f t="shared" ca="1" si="63"/>
        <v>130.70526632278666</v>
      </c>
      <c r="J206" s="100">
        <f t="shared" ca="1" si="51"/>
        <v>111</v>
      </c>
      <c r="K206" s="100">
        <f t="shared" ca="1" si="64"/>
        <v>14322.473300705944</v>
      </c>
      <c r="L206" s="101">
        <f t="shared" ca="1" si="65"/>
        <v>760137.73640041566</v>
      </c>
      <c r="M206" s="12"/>
      <c r="N206" s="12"/>
      <c r="O206" s="12"/>
      <c r="Q206" s="118">
        <f t="shared" ca="1" si="58"/>
        <v>126.6163856693986</v>
      </c>
      <c r="R206" s="119">
        <f t="shared" ca="1" si="48"/>
        <v>30</v>
      </c>
      <c r="S206" s="120">
        <v>365</v>
      </c>
      <c r="AC206" s="224">
        <v>4410</v>
      </c>
      <c r="AD206" s="225">
        <f t="shared" ca="1" si="52"/>
        <v>14080.768034383158</v>
      </c>
      <c r="AE206" s="226">
        <f t="shared" ca="1" si="53"/>
        <v>50530</v>
      </c>
      <c r="AF206" s="227">
        <f t="shared" ca="1" si="54"/>
        <v>14080.768034383158</v>
      </c>
      <c r="AG206" s="225">
        <f t="shared" ca="1" si="55"/>
        <v>14322.473300705944</v>
      </c>
      <c r="AH206" s="220"/>
      <c r="AI206" s="97"/>
      <c r="AJ206" s="97"/>
      <c r="AK206" s="97"/>
      <c r="AL206" s="97"/>
      <c r="AM206" s="97"/>
      <c r="AP206" s="157"/>
      <c r="AQ206" s="186"/>
      <c r="AR206" s="186"/>
      <c r="AS206" s="187"/>
      <c r="AT206" s="188"/>
      <c r="AU206" s="188"/>
      <c r="AV206" s="189"/>
      <c r="AW206" s="188"/>
      <c r="AX206" s="189"/>
      <c r="AY206" s="188"/>
      <c r="AZ206" s="190"/>
    </row>
    <row r="207" spans="1:52" ht="15.5" x14ac:dyDescent="0.35">
      <c r="A207" s="197">
        <f t="shared" si="49"/>
        <v>93</v>
      </c>
      <c r="B207" s="98">
        <f t="shared" si="56"/>
        <v>148</v>
      </c>
      <c r="C207" s="99">
        <f t="shared" ca="1" si="59"/>
        <v>50561</v>
      </c>
      <c r="D207" s="100">
        <f t="shared" ca="1" si="60"/>
        <v>760137.73640041566</v>
      </c>
      <c r="E207" s="100">
        <f t="shared" ca="1" si="61"/>
        <v>9805.7767995653612</v>
      </c>
      <c r="F207" s="100">
        <f t="shared" ca="1" si="62"/>
        <v>769943.51319998107</v>
      </c>
      <c r="G207" s="100">
        <f t="shared" ca="1" si="57"/>
        <v>4274.9912348177968</v>
      </c>
      <c r="H207" s="100">
        <f t="shared" ca="1" si="50"/>
        <v>14080.768034383158</v>
      </c>
      <c r="I207" s="100">
        <f t="shared" ca="1" si="63"/>
        <v>129.9835529244711</v>
      </c>
      <c r="J207" s="100">
        <f t="shared" ca="1" si="51"/>
        <v>111</v>
      </c>
      <c r="K207" s="100">
        <f t="shared" ca="1" si="64"/>
        <v>14321.75158730763</v>
      </c>
      <c r="L207" s="101">
        <f t="shared" ca="1" si="65"/>
        <v>755862.74516559788</v>
      </c>
      <c r="M207" s="12"/>
      <c r="N207" s="12"/>
      <c r="O207" s="12"/>
      <c r="Q207" s="118">
        <f t="shared" ca="1" si="58"/>
        <v>128.2497370445339</v>
      </c>
      <c r="R207" s="119">
        <f t="shared" ca="1" si="48"/>
        <v>31</v>
      </c>
      <c r="S207" s="120">
        <v>365</v>
      </c>
      <c r="AC207" s="224">
        <v>4440</v>
      </c>
      <c r="AD207" s="225">
        <f t="shared" ca="1" si="52"/>
        <v>14080.768034383158</v>
      </c>
      <c r="AE207" s="226">
        <f t="shared" ca="1" si="53"/>
        <v>50561</v>
      </c>
      <c r="AF207" s="227">
        <f t="shared" ca="1" si="54"/>
        <v>14080.768034383158</v>
      </c>
      <c r="AG207" s="225">
        <f t="shared" ca="1" si="55"/>
        <v>14321.75158730763</v>
      </c>
      <c r="AH207" s="220"/>
      <c r="AI207" s="97"/>
      <c r="AJ207" s="97"/>
      <c r="AK207" s="97"/>
      <c r="AL207" s="97"/>
      <c r="AM207" s="97"/>
      <c r="AP207" s="157"/>
      <c r="AQ207" s="191"/>
      <c r="AR207" s="191"/>
      <c r="AS207" s="192"/>
      <c r="AT207" s="193"/>
      <c r="AU207" s="193"/>
      <c r="AV207" s="194"/>
      <c r="AW207" s="193"/>
      <c r="AX207" s="194"/>
      <c r="AY207" s="193"/>
      <c r="AZ207" s="195"/>
    </row>
    <row r="208" spans="1:52" ht="15.5" x14ac:dyDescent="0.35">
      <c r="A208" s="197">
        <f t="shared" si="49"/>
        <v>92</v>
      </c>
      <c r="B208" s="98">
        <f t="shared" si="56"/>
        <v>149</v>
      </c>
      <c r="C208" s="99">
        <f t="shared" ca="1" si="59"/>
        <v>50591</v>
      </c>
      <c r="D208" s="100">
        <f t="shared" ca="1" si="60"/>
        <v>755862.74516559788</v>
      </c>
      <c r="E208" s="100">
        <f t="shared" ca="1" si="61"/>
        <v>9750.6294126362118</v>
      </c>
      <c r="F208" s="100">
        <f t="shared" ca="1" si="62"/>
        <v>765613.37457823404</v>
      </c>
      <c r="G208" s="100">
        <f t="shared" ca="1" si="57"/>
        <v>4330.1386217469462</v>
      </c>
      <c r="H208" s="100">
        <f t="shared" ca="1" si="50"/>
        <v>14080.768034383158</v>
      </c>
      <c r="I208" s="100">
        <f t="shared" ca="1" si="63"/>
        <v>129.25252942331724</v>
      </c>
      <c r="J208" s="100">
        <f t="shared" ca="1" si="51"/>
        <v>111</v>
      </c>
      <c r="K208" s="100">
        <f t="shared" ca="1" si="64"/>
        <v>14321.020563806474</v>
      </c>
      <c r="L208" s="101">
        <f t="shared" ca="1" si="65"/>
        <v>751532.60654385097</v>
      </c>
      <c r="M208" s="12"/>
      <c r="N208" s="12"/>
      <c r="O208" s="12"/>
      <c r="Q208" s="118">
        <f t="shared" ca="1" si="58"/>
        <v>129.90415865240837</v>
      </c>
      <c r="R208" s="119">
        <f t="shared" ca="1" si="48"/>
        <v>30</v>
      </c>
      <c r="S208" s="120">
        <v>365</v>
      </c>
      <c r="AC208" s="224">
        <v>4470</v>
      </c>
      <c r="AD208" s="225">
        <f t="shared" ca="1" si="52"/>
        <v>14080.768034383158</v>
      </c>
      <c r="AE208" s="226">
        <f t="shared" ca="1" si="53"/>
        <v>50591</v>
      </c>
      <c r="AF208" s="227">
        <f t="shared" ca="1" si="54"/>
        <v>14080.768034383158</v>
      </c>
      <c r="AG208" s="225">
        <f t="shared" ca="1" si="55"/>
        <v>14321.020563806474</v>
      </c>
      <c r="AH208" s="220"/>
      <c r="AI208" s="97"/>
      <c r="AJ208" s="97"/>
      <c r="AK208" s="97"/>
      <c r="AL208" s="97"/>
      <c r="AM208" s="97"/>
      <c r="AP208" s="157"/>
      <c r="AQ208" s="186"/>
      <c r="AR208" s="186"/>
      <c r="AS208" s="187"/>
      <c r="AT208" s="188"/>
      <c r="AU208" s="188"/>
      <c r="AV208" s="189"/>
      <c r="AW208" s="188"/>
      <c r="AX208" s="189"/>
      <c r="AY208" s="188"/>
      <c r="AZ208" s="190"/>
    </row>
    <row r="209" spans="1:52" ht="15.5" x14ac:dyDescent="0.35">
      <c r="A209" s="197">
        <f t="shared" si="49"/>
        <v>91</v>
      </c>
      <c r="B209" s="98">
        <f t="shared" si="56"/>
        <v>150</v>
      </c>
      <c r="C209" s="99">
        <f t="shared" ca="1" si="59"/>
        <v>50622</v>
      </c>
      <c r="D209" s="100">
        <f t="shared" ca="1" si="60"/>
        <v>751532.60654385097</v>
      </c>
      <c r="E209" s="100">
        <f t="shared" ca="1" si="61"/>
        <v>9694.770624415678</v>
      </c>
      <c r="F209" s="100">
        <f t="shared" ca="1" si="62"/>
        <v>761227.37716826668</v>
      </c>
      <c r="G209" s="100">
        <f t="shared" ca="1" si="57"/>
        <v>4385.9974099674801</v>
      </c>
      <c r="H209" s="100">
        <f t="shared" ca="1" si="50"/>
        <v>14080.768034383158</v>
      </c>
      <c r="I209" s="100">
        <f t="shared" ca="1" si="63"/>
        <v>128.51207571899852</v>
      </c>
      <c r="J209" s="100">
        <f t="shared" ca="1" si="51"/>
        <v>111</v>
      </c>
      <c r="K209" s="100">
        <f t="shared" ca="1" si="64"/>
        <v>14320.280110102156</v>
      </c>
      <c r="L209" s="101">
        <f t="shared" ca="1" si="65"/>
        <v>747146.6091338835</v>
      </c>
      <c r="M209" s="12"/>
      <c r="N209" s="12"/>
      <c r="O209" s="12"/>
      <c r="Q209" s="118">
        <f t="shared" ca="1" si="58"/>
        <v>131.57992229902439</v>
      </c>
      <c r="R209" s="119">
        <f t="shared" ca="1" si="48"/>
        <v>31</v>
      </c>
      <c r="S209" s="120">
        <v>365</v>
      </c>
      <c r="AC209" s="224">
        <v>4500</v>
      </c>
      <c r="AD209" s="225">
        <f t="shared" ca="1" si="52"/>
        <v>14080.768034383158</v>
      </c>
      <c r="AE209" s="226">
        <f t="shared" ca="1" si="53"/>
        <v>50622</v>
      </c>
      <c r="AF209" s="227">
        <f t="shared" ca="1" si="54"/>
        <v>14080.768034383158</v>
      </c>
      <c r="AG209" s="225">
        <f t="shared" ca="1" si="55"/>
        <v>14320.280110102156</v>
      </c>
      <c r="AH209" s="220"/>
      <c r="AI209" s="97"/>
      <c r="AJ209" s="97"/>
      <c r="AK209" s="97"/>
      <c r="AL209" s="97"/>
      <c r="AM209" s="97"/>
      <c r="AP209" s="157"/>
      <c r="AQ209" s="191"/>
      <c r="AR209" s="191"/>
      <c r="AS209" s="192"/>
      <c r="AT209" s="193"/>
      <c r="AU209" s="193"/>
      <c r="AV209" s="194"/>
      <c r="AW209" s="193"/>
      <c r="AX209" s="194"/>
      <c r="AY209" s="193"/>
      <c r="AZ209" s="195"/>
    </row>
    <row r="210" spans="1:52" ht="15.5" x14ac:dyDescent="0.35">
      <c r="A210" s="197">
        <f t="shared" si="49"/>
        <v>90</v>
      </c>
      <c r="B210" s="98">
        <f t="shared" si="56"/>
        <v>151</v>
      </c>
      <c r="C210" s="99">
        <f t="shared" ca="1" si="59"/>
        <v>50653</v>
      </c>
      <c r="D210" s="100">
        <f t="shared" ca="1" si="60"/>
        <v>747146.6091338835</v>
      </c>
      <c r="E210" s="100">
        <f t="shared" ca="1" si="61"/>
        <v>9638.1912578270967</v>
      </c>
      <c r="F210" s="100">
        <f t="shared" ca="1" si="62"/>
        <v>756784.8003917106</v>
      </c>
      <c r="G210" s="100">
        <f t="shared" ca="1" si="57"/>
        <v>4442.5767765560631</v>
      </c>
      <c r="H210" s="100">
        <f t="shared" ca="1" si="50"/>
        <v>14080.76803438316</v>
      </c>
      <c r="I210" s="100">
        <f t="shared" ca="1" si="63"/>
        <v>127.76207016189409</v>
      </c>
      <c r="J210" s="100">
        <f t="shared" ca="1" si="51"/>
        <v>111</v>
      </c>
      <c r="K210" s="100">
        <f t="shared" ca="1" si="64"/>
        <v>14319.530104545054</v>
      </c>
      <c r="L210" s="101">
        <f t="shared" ca="1" si="65"/>
        <v>742704.03235732741</v>
      </c>
      <c r="M210" s="12"/>
      <c r="N210" s="12"/>
      <c r="O210" s="12"/>
      <c r="Q210" s="118">
        <f t="shared" ca="1" si="58"/>
        <v>133.27730329668188</v>
      </c>
      <c r="R210" s="119">
        <f t="shared" ca="1" si="48"/>
        <v>31</v>
      </c>
      <c r="S210" s="120">
        <v>365</v>
      </c>
      <c r="AC210" s="224">
        <v>4530</v>
      </c>
      <c r="AD210" s="225">
        <f t="shared" ca="1" si="52"/>
        <v>14080.76803438316</v>
      </c>
      <c r="AE210" s="226">
        <f t="shared" ca="1" si="53"/>
        <v>50653</v>
      </c>
      <c r="AF210" s="227">
        <f t="shared" ca="1" si="54"/>
        <v>14080.76803438316</v>
      </c>
      <c r="AG210" s="225">
        <f t="shared" ca="1" si="55"/>
        <v>14319.530104545054</v>
      </c>
      <c r="AH210" s="220"/>
      <c r="AI210" s="97"/>
      <c r="AJ210" s="97"/>
      <c r="AK210" s="97"/>
      <c r="AL210" s="97"/>
      <c r="AM210" s="97"/>
      <c r="AP210" s="157"/>
      <c r="AQ210" s="186"/>
      <c r="AR210" s="186"/>
      <c r="AS210" s="187"/>
      <c r="AT210" s="188"/>
      <c r="AU210" s="188"/>
      <c r="AV210" s="189"/>
      <c r="AW210" s="188"/>
      <c r="AX210" s="189"/>
      <c r="AY210" s="188"/>
      <c r="AZ210" s="190"/>
    </row>
    <row r="211" spans="1:52" ht="15.5" x14ac:dyDescent="0.35">
      <c r="A211" s="197">
        <f t="shared" si="49"/>
        <v>89</v>
      </c>
      <c r="B211" s="98">
        <f t="shared" si="56"/>
        <v>152</v>
      </c>
      <c r="C211" s="99">
        <f t="shared" ca="1" si="59"/>
        <v>50683</v>
      </c>
      <c r="D211" s="100">
        <f t="shared" ca="1" si="60"/>
        <v>742704.03235732741</v>
      </c>
      <c r="E211" s="100">
        <f t="shared" ca="1" si="61"/>
        <v>9580.8820174095235</v>
      </c>
      <c r="F211" s="100">
        <f t="shared" ca="1" si="62"/>
        <v>752284.91437473695</v>
      </c>
      <c r="G211" s="100">
        <f t="shared" ca="1" si="57"/>
        <v>4499.8860169736345</v>
      </c>
      <c r="H211" s="100">
        <f t="shared" ca="1" si="50"/>
        <v>14080.768034383158</v>
      </c>
      <c r="I211" s="100">
        <f t="shared" ca="1" si="63"/>
        <v>127.002389533103</v>
      </c>
      <c r="J211" s="100">
        <f t="shared" ca="1" si="51"/>
        <v>111</v>
      </c>
      <c r="K211" s="100">
        <f t="shared" ca="1" si="64"/>
        <v>14318.770423916261</v>
      </c>
      <c r="L211" s="101">
        <f t="shared" ca="1" si="65"/>
        <v>738204.14634035376</v>
      </c>
      <c r="M211" s="12"/>
      <c r="N211" s="12"/>
      <c r="O211" s="12"/>
      <c r="Q211" s="118">
        <f t="shared" ca="1" si="58"/>
        <v>134.99658050920902</v>
      </c>
      <c r="R211" s="119">
        <f t="shared" ca="1" si="48"/>
        <v>30</v>
      </c>
      <c r="S211" s="120">
        <v>365</v>
      </c>
      <c r="AC211" s="224">
        <v>4560</v>
      </c>
      <c r="AD211" s="225">
        <f t="shared" ca="1" si="52"/>
        <v>14080.768034383158</v>
      </c>
      <c r="AE211" s="226">
        <f t="shared" ca="1" si="53"/>
        <v>50683</v>
      </c>
      <c r="AF211" s="227">
        <f t="shared" ca="1" si="54"/>
        <v>14080.768034383158</v>
      </c>
      <c r="AG211" s="225">
        <f t="shared" ca="1" si="55"/>
        <v>14318.770423916261</v>
      </c>
      <c r="AH211" s="220"/>
      <c r="AI211" s="97"/>
      <c r="AJ211" s="97"/>
      <c r="AK211" s="97"/>
      <c r="AL211" s="97"/>
      <c r="AM211" s="97"/>
      <c r="AP211" s="157"/>
      <c r="AQ211" s="191"/>
      <c r="AR211" s="191"/>
      <c r="AS211" s="192"/>
      <c r="AT211" s="193"/>
      <c r="AU211" s="193"/>
      <c r="AV211" s="194"/>
      <c r="AW211" s="193"/>
      <c r="AX211" s="194"/>
      <c r="AY211" s="193"/>
      <c r="AZ211" s="195"/>
    </row>
    <row r="212" spans="1:52" ht="15.5" x14ac:dyDescent="0.35">
      <c r="A212" s="197">
        <f t="shared" si="49"/>
        <v>88</v>
      </c>
      <c r="B212" s="98">
        <f t="shared" si="56"/>
        <v>153</v>
      </c>
      <c r="C212" s="99">
        <f t="shared" ca="1" si="59"/>
        <v>50714</v>
      </c>
      <c r="D212" s="100">
        <f t="shared" ca="1" si="60"/>
        <v>738204.14634035376</v>
      </c>
      <c r="E212" s="100">
        <f t="shared" ca="1" si="61"/>
        <v>9522.8334877905636</v>
      </c>
      <c r="F212" s="100">
        <f t="shared" ca="1" si="62"/>
        <v>747726.97982814431</v>
      </c>
      <c r="G212" s="100">
        <f t="shared" ca="1" si="57"/>
        <v>4557.9345465925944</v>
      </c>
      <c r="H212" s="100">
        <f t="shared" ca="1" si="50"/>
        <v>14080.768034383158</v>
      </c>
      <c r="I212" s="100">
        <f t="shared" ca="1" si="63"/>
        <v>126.2329090242005</v>
      </c>
      <c r="J212" s="100">
        <f t="shared" ca="1" si="51"/>
        <v>111</v>
      </c>
      <c r="K212" s="100">
        <f t="shared" ca="1" si="64"/>
        <v>14318.000943407358</v>
      </c>
      <c r="L212" s="101">
        <f t="shared" ca="1" si="65"/>
        <v>733646.21179376112</v>
      </c>
      <c r="M212" s="12"/>
      <c r="N212" s="12"/>
      <c r="O212" s="12"/>
      <c r="Q212" s="118">
        <f t="shared" ca="1" si="58"/>
        <v>136.73803639777782</v>
      </c>
      <c r="R212" s="119">
        <f t="shared" ca="1" si="48"/>
        <v>31</v>
      </c>
      <c r="S212" s="120">
        <v>365</v>
      </c>
      <c r="AC212" s="224">
        <v>4590</v>
      </c>
      <c r="AD212" s="225">
        <f t="shared" ca="1" si="52"/>
        <v>14080.768034383158</v>
      </c>
      <c r="AE212" s="226">
        <f t="shared" ca="1" si="53"/>
        <v>50714</v>
      </c>
      <c r="AF212" s="227">
        <f t="shared" ca="1" si="54"/>
        <v>14080.768034383158</v>
      </c>
      <c r="AG212" s="225">
        <f t="shared" ca="1" si="55"/>
        <v>14318.000943407358</v>
      </c>
      <c r="AH212" s="220"/>
      <c r="AI212" s="97"/>
      <c r="AJ212" s="97"/>
      <c r="AK212" s="97"/>
      <c r="AL212" s="97"/>
      <c r="AM212" s="97"/>
      <c r="AP212" s="157"/>
      <c r="AQ212" s="186"/>
      <c r="AR212" s="186"/>
      <c r="AS212" s="187"/>
      <c r="AT212" s="188"/>
      <c r="AU212" s="188"/>
      <c r="AV212" s="189"/>
      <c r="AW212" s="188"/>
      <c r="AX212" s="189"/>
      <c r="AY212" s="188"/>
      <c r="AZ212" s="190"/>
    </row>
    <row r="213" spans="1:52" ht="15.5" x14ac:dyDescent="0.35">
      <c r="A213" s="197">
        <f t="shared" si="49"/>
        <v>87</v>
      </c>
      <c r="B213" s="98">
        <f t="shared" si="56"/>
        <v>154</v>
      </c>
      <c r="C213" s="99">
        <f t="shared" ca="1" si="59"/>
        <v>50744</v>
      </c>
      <c r="D213" s="100">
        <f t="shared" ca="1" si="60"/>
        <v>733646.21179376112</v>
      </c>
      <c r="E213" s="100">
        <f t="shared" ca="1" si="61"/>
        <v>9464.0361321395176</v>
      </c>
      <c r="F213" s="100">
        <f t="shared" ca="1" si="62"/>
        <v>743110.24792590062</v>
      </c>
      <c r="G213" s="100">
        <f t="shared" ca="1" si="57"/>
        <v>4616.7319022436404</v>
      </c>
      <c r="H213" s="100">
        <f t="shared" ca="1" si="50"/>
        <v>14080.768034383158</v>
      </c>
      <c r="I213" s="100">
        <f t="shared" ca="1" si="63"/>
        <v>125.45350221673316</v>
      </c>
      <c r="J213" s="100">
        <f t="shared" ca="1" si="51"/>
        <v>111</v>
      </c>
      <c r="K213" s="100">
        <f t="shared" ca="1" si="64"/>
        <v>14317.221536599891</v>
      </c>
      <c r="L213" s="101">
        <f t="shared" ca="1" si="65"/>
        <v>729029.47989151743</v>
      </c>
      <c r="M213" s="12"/>
      <c r="N213" s="12"/>
      <c r="O213" s="12"/>
      <c r="Q213" s="118">
        <f t="shared" ca="1" si="58"/>
        <v>138.50195706730921</v>
      </c>
      <c r="R213" s="119">
        <f t="shared" ca="1" si="48"/>
        <v>30</v>
      </c>
      <c r="S213" s="120">
        <v>365</v>
      </c>
      <c r="AC213" s="224">
        <v>4620</v>
      </c>
      <c r="AD213" s="225">
        <f t="shared" ca="1" si="52"/>
        <v>14080.768034383158</v>
      </c>
      <c r="AE213" s="226">
        <f t="shared" ca="1" si="53"/>
        <v>50744</v>
      </c>
      <c r="AF213" s="227">
        <f t="shared" ca="1" si="54"/>
        <v>14080.768034383158</v>
      </c>
      <c r="AG213" s="225">
        <f t="shared" ca="1" si="55"/>
        <v>14317.221536599891</v>
      </c>
      <c r="AH213" s="220"/>
      <c r="AI213" s="97"/>
      <c r="AJ213" s="97"/>
      <c r="AK213" s="97"/>
      <c r="AL213" s="97"/>
      <c r="AM213" s="97"/>
      <c r="AP213" s="157"/>
      <c r="AQ213" s="191"/>
      <c r="AR213" s="191"/>
      <c r="AS213" s="192"/>
      <c r="AT213" s="193"/>
      <c r="AU213" s="193"/>
      <c r="AV213" s="194"/>
      <c r="AW213" s="193"/>
      <c r="AX213" s="194"/>
      <c r="AY213" s="193"/>
      <c r="AZ213" s="195"/>
    </row>
    <row r="214" spans="1:52" ht="15.5" x14ac:dyDescent="0.35">
      <c r="A214" s="197">
        <f t="shared" si="49"/>
        <v>86</v>
      </c>
      <c r="B214" s="98">
        <f t="shared" si="56"/>
        <v>155</v>
      </c>
      <c r="C214" s="99">
        <f t="shared" ca="1" si="59"/>
        <v>50775</v>
      </c>
      <c r="D214" s="100">
        <f t="shared" ca="1" si="60"/>
        <v>729029.47989151743</v>
      </c>
      <c r="E214" s="100">
        <f t="shared" ca="1" si="61"/>
        <v>9404.4802906005752</v>
      </c>
      <c r="F214" s="100">
        <f t="shared" ca="1" si="62"/>
        <v>738433.960182118</v>
      </c>
      <c r="G214" s="100">
        <f t="shared" ca="1" si="57"/>
        <v>4676.2877437825828</v>
      </c>
      <c r="H214" s="100">
        <f t="shared" ca="1" si="50"/>
        <v>14080.768034383158</v>
      </c>
      <c r="I214" s="100">
        <f t="shared" ca="1" si="63"/>
        <v>124.66404106144948</v>
      </c>
      <c r="J214" s="100">
        <f t="shared" ca="1" si="51"/>
        <v>111</v>
      </c>
      <c r="K214" s="100">
        <f t="shared" ca="1" si="64"/>
        <v>14316.432075444607</v>
      </c>
      <c r="L214" s="101">
        <f t="shared" ca="1" si="65"/>
        <v>724353.19214773481</v>
      </c>
      <c r="M214" s="12"/>
      <c r="N214" s="12"/>
      <c r="O214" s="12"/>
      <c r="Q214" s="118">
        <f t="shared" ca="1" si="58"/>
        <v>140.28863231347748</v>
      </c>
      <c r="R214" s="119">
        <f t="shared" ca="1" si="48"/>
        <v>31</v>
      </c>
      <c r="S214" s="120">
        <v>365</v>
      </c>
      <c r="AC214" s="224">
        <v>4650</v>
      </c>
      <c r="AD214" s="225">
        <f t="shared" ca="1" si="52"/>
        <v>14080.768034383158</v>
      </c>
      <c r="AE214" s="226">
        <f t="shared" ca="1" si="53"/>
        <v>50775</v>
      </c>
      <c r="AF214" s="227">
        <f t="shared" ca="1" si="54"/>
        <v>14080.768034383158</v>
      </c>
      <c r="AG214" s="225">
        <f t="shared" ca="1" si="55"/>
        <v>14316.432075444607</v>
      </c>
      <c r="AH214" s="220"/>
      <c r="AI214" s="97"/>
      <c r="AJ214" s="97"/>
      <c r="AK214" s="97"/>
      <c r="AL214" s="97"/>
      <c r="AM214" s="97"/>
      <c r="AP214" s="157"/>
      <c r="AQ214" s="186"/>
      <c r="AR214" s="186"/>
      <c r="AS214" s="187"/>
      <c r="AT214" s="188"/>
      <c r="AU214" s="188"/>
      <c r="AV214" s="189"/>
      <c r="AW214" s="188"/>
      <c r="AX214" s="189"/>
      <c r="AY214" s="188"/>
      <c r="AZ214" s="190"/>
    </row>
    <row r="215" spans="1:52" ht="15.5" x14ac:dyDescent="0.35">
      <c r="A215" s="197">
        <f t="shared" si="49"/>
        <v>85</v>
      </c>
      <c r="B215" s="98">
        <f t="shared" si="56"/>
        <v>156</v>
      </c>
      <c r="C215" s="99">
        <f t="shared" ca="1" si="59"/>
        <v>50806</v>
      </c>
      <c r="D215" s="100">
        <f t="shared" ca="1" si="60"/>
        <v>724353.19214773481</v>
      </c>
      <c r="E215" s="100">
        <f t="shared" ca="1" si="61"/>
        <v>9344.1561787057799</v>
      </c>
      <c r="F215" s="100">
        <f t="shared" ca="1" si="62"/>
        <v>733697.34832644055</v>
      </c>
      <c r="G215" s="100">
        <f t="shared" ca="1" si="57"/>
        <v>4736.6118556773781</v>
      </c>
      <c r="H215" s="100">
        <f t="shared" ca="1" si="50"/>
        <v>14080.768034383158</v>
      </c>
      <c r="I215" s="100">
        <f t="shared" ca="1" si="63"/>
        <v>123.86439585726266</v>
      </c>
      <c r="J215" s="100">
        <f t="shared" ca="1" si="51"/>
        <v>111</v>
      </c>
      <c r="K215" s="100">
        <f t="shared" ca="1" si="64"/>
        <v>14315.632430240421</v>
      </c>
      <c r="L215" s="101">
        <f t="shared" ca="1" si="65"/>
        <v>719616.58029205748</v>
      </c>
      <c r="M215" s="12"/>
      <c r="N215" s="12"/>
      <c r="O215" s="12"/>
      <c r="Q215" s="118">
        <f t="shared" ca="1" si="58"/>
        <v>142.09835567032133</v>
      </c>
      <c r="R215" s="119">
        <f t="shared" ca="1" si="48"/>
        <v>31</v>
      </c>
      <c r="S215" s="120">
        <v>365</v>
      </c>
      <c r="AC215" s="224">
        <v>4680</v>
      </c>
      <c r="AD215" s="225">
        <f t="shared" ca="1" si="52"/>
        <v>14080.768034383158</v>
      </c>
      <c r="AE215" s="226">
        <f t="shared" ca="1" si="53"/>
        <v>50806</v>
      </c>
      <c r="AF215" s="227">
        <f t="shared" ca="1" si="54"/>
        <v>14080.768034383158</v>
      </c>
      <c r="AG215" s="225">
        <f t="shared" ca="1" si="55"/>
        <v>14315.632430240421</v>
      </c>
      <c r="AH215" s="220"/>
      <c r="AI215" s="97"/>
      <c r="AJ215" s="97"/>
      <c r="AK215" s="97"/>
      <c r="AL215" s="97"/>
      <c r="AM215" s="97"/>
      <c r="AP215" s="157"/>
      <c r="AQ215" s="191"/>
      <c r="AR215" s="191"/>
      <c r="AS215" s="192"/>
      <c r="AT215" s="193"/>
      <c r="AU215" s="193"/>
      <c r="AV215" s="194"/>
      <c r="AW215" s="193"/>
      <c r="AX215" s="194"/>
      <c r="AY215" s="193"/>
      <c r="AZ215" s="195"/>
    </row>
    <row r="216" spans="1:52" ht="15.5" x14ac:dyDescent="0.35">
      <c r="A216" s="197">
        <f t="shared" si="49"/>
        <v>84</v>
      </c>
      <c r="B216" s="98">
        <f t="shared" si="56"/>
        <v>157</v>
      </c>
      <c r="C216" s="99">
        <f t="shared" ca="1" si="59"/>
        <v>50834</v>
      </c>
      <c r="D216" s="100">
        <f t="shared" ca="1" si="60"/>
        <v>719616.58029205748</v>
      </c>
      <c r="E216" s="100">
        <f t="shared" ca="1" si="61"/>
        <v>9283.0538857675419</v>
      </c>
      <c r="F216" s="100">
        <f t="shared" ca="1" si="62"/>
        <v>728899.63417782506</v>
      </c>
      <c r="G216" s="100">
        <f t="shared" ca="1" si="57"/>
        <v>4797.7141486156124</v>
      </c>
      <c r="H216" s="100">
        <f t="shared" ca="1" si="50"/>
        <v>14080.768034383154</v>
      </c>
      <c r="I216" s="100">
        <f t="shared" ca="1" si="63"/>
        <v>123.05443522994183</v>
      </c>
      <c r="J216" s="100">
        <f t="shared" ca="1" si="51"/>
        <v>111</v>
      </c>
      <c r="K216" s="100">
        <f t="shared" ca="1" si="64"/>
        <v>14314.822469613096</v>
      </c>
      <c r="L216" s="101">
        <f t="shared" ca="1" si="65"/>
        <v>714818.86614344188</v>
      </c>
      <c r="M216" s="12"/>
      <c r="N216" s="12"/>
      <c r="O216" s="12"/>
      <c r="Q216" s="118">
        <f t="shared" ca="1" si="58"/>
        <v>143.93142445846837</v>
      </c>
      <c r="R216" s="119">
        <f t="shared" ca="1" si="48"/>
        <v>28</v>
      </c>
      <c r="S216" s="120">
        <v>365</v>
      </c>
      <c r="AC216" s="224">
        <v>4710</v>
      </c>
      <c r="AD216" s="225">
        <f t="shared" ca="1" si="52"/>
        <v>14080.768034383154</v>
      </c>
      <c r="AE216" s="226">
        <f t="shared" ca="1" si="53"/>
        <v>50834</v>
      </c>
      <c r="AF216" s="227">
        <f t="shared" ca="1" si="54"/>
        <v>14080.768034383154</v>
      </c>
      <c r="AG216" s="225">
        <f t="shared" ca="1" si="55"/>
        <v>14314.822469613096</v>
      </c>
      <c r="AH216" s="220"/>
      <c r="AI216" s="97"/>
      <c r="AJ216" s="97"/>
      <c r="AK216" s="97"/>
      <c r="AL216" s="97"/>
      <c r="AM216" s="97"/>
      <c r="AP216" s="157"/>
      <c r="AQ216" s="186"/>
      <c r="AR216" s="186"/>
      <c r="AS216" s="187"/>
      <c r="AT216" s="188"/>
      <c r="AU216" s="188"/>
      <c r="AV216" s="189"/>
      <c r="AW216" s="188"/>
      <c r="AX216" s="189"/>
      <c r="AY216" s="188"/>
      <c r="AZ216" s="190"/>
    </row>
    <row r="217" spans="1:52" ht="15.5" x14ac:dyDescent="0.35">
      <c r="A217" s="197">
        <f t="shared" si="49"/>
        <v>83</v>
      </c>
      <c r="B217" s="98">
        <f t="shared" si="56"/>
        <v>158</v>
      </c>
      <c r="C217" s="99">
        <f t="shared" ca="1" si="59"/>
        <v>50865</v>
      </c>
      <c r="D217" s="100">
        <f t="shared" ca="1" si="60"/>
        <v>714818.86614344188</v>
      </c>
      <c r="E217" s="100">
        <f t="shared" ca="1" si="61"/>
        <v>9221.1633732503997</v>
      </c>
      <c r="F217" s="100">
        <f t="shared" ca="1" si="62"/>
        <v>724040.02951669227</v>
      </c>
      <c r="G217" s="100">
        <f t="shared" ca="1" si="57"/>
        <v>4859.6046611327547</v>
      </c>
      <c r="H217" s="100">
        <f t="shared" ca="1" si="50"/>
        <v>14080.768034383154</v>
      </c>
      <c r="I217" s="100">
        <f t="shared" ca="1" si="63"/>
        <v>122.23402611052856</v>
      </c>
      <c r="J217" s="100">
        <f t="shared" ca="1" si="51"/>
        <v>111</v>
      </c>
      <c r="K217" s="100">
        <f t="shared" ca="1" si="64"/>
        <v>14314.002060493684</v>
      </c>
      <c r="L217" s="101">
        <f t="shared" ca="1" si="65"/>
        <v>709959.26148230908</v>
      </c>
      <c r="M217" s="12"/>
      <c r="N217" s="12"/>
      <c r="O217" s="12"/>
      <c r="Q217" s="118">
        <f t="shared" ca="1" si="58"/>
        <v>145.78813983398263</v>
      </c>
      <c r="R217" s="119">
        <f t="shared" ca="1" si="48"/>
        <v>31</v>
      </c>
      <c r="S217" s="120">
        <v>365</v>
      </c>
      <c r="AC217" s="224">
        <v>4740</v>
      </c>
      <c r="AD217" s="225">
        <f t="shared" ca="1" si="52"/>
        <v>14080.768034383154</v>
      </c>
      <c r="AE217" s="226">
        <f t="shared" ca="1" si="53"/>
        <v>50865</v>
      </c>
      <c r="AF217" s="227">
        <f t="shared" ca="1" si="54"/>
        <v>14080.768034383154</v>
      </c>
      <c r="AG217" s="225">
        <f t="shared" ca="1" si="55"/>
        <v>14314.002060493684</v>
      </c>
      <c r="AH217" s="220"/>
      <c r="AI217" s="97"/>
      <c r="AJ217" s="97"/>
      <c r="AK217" s="97"/>
      <c r="AL217" s="97"/>
      <c r="AM217" s="97"/>
      <c r="AP217" s="157"/>
      <c r="AQ217" s="191"/>
      <c r="AR217" s="191"/>
      <c r="AS217" s="192"/>
      <c r="AT217" s="193"/>
      <c r="AU217" s="193"/>
      <c r="AV217" s="194"/>
      <c r="AW217" s="193"/>
      <c r="AX217" s="194"/>
      <c r="AY217" s="193"/>
      <c r="AZ217" s="195"/>
    </row>
    <row r="218" spans="1:52" ht="15.5" x14ac:dyDescent="0.35">
      <c r="A218" s="197">
        <f t="shared" si="49"/>
        <v>82</v>
      </c>
      <c r="B218" s="98">
        <f t="shared" si="56"/>
        <v>159</v>
      </c>
      <c r="C218" s="99">
        <f t="shared" ca="1" si="59"/>
        <v>50895</v>
      </c>
      <c r="D218" s="100">
        <f t="shared" ca="1" si="60"/>
        <v>709959.26148230908</v>
      </c>
      <c r="E218" s="100">
        <f t="shared" ca="1" si="61"/>
        <v>9158.474473121787</v>
      </c>
      <c r="F218" s="100">
        <f t="shared" ca="1" si="62"/>
        <v>719117.73595543089</v>
      </c>
      <c r="G218" s="100">
        <f t="shared" ca="1" si="57"/>
        <v>4922.2935612613674</v>
      </c>
      <c r="H218" s="100">
        <f t="shared" ca="1" si="50"/>
        <v>14080.768034383154</v>
      </c>
      <c r="I218" s="100">
        <f t="shared" ca="1" si="63"/>
        <v>121.40303371347485</v>
      </c>
      <c r="J218" s="100">
        <f t="shared" ca="1" si="51"/>
        <v>111</v>
      </c>
      <c r="K218" s="100">
        <f t="shared" ca="1" si="64"/>
        <v>14313.17106809663</v>
      </c>
      <c r="L218" s="101">
        <f t="shared" ca="1" si="65"/>
        <v>705036.9679210477</v>
      </c>
      <c r="M218" s="12"/>
      <c r="N218" s="12"/>
      <c r="O218" s="12"/>
      <c r="Q218" s="118">
        <f t="shared" ca="1" si="58"/>
        <v>147.668806837841</v>
      </c>
      <c r="R218" s="119">
        <f t="shared" ca="1" si="48"/>
        <v>30</v>
      </c>
      <c r="S218" s="120">
        <v>365</v>
      </c>
      <c r="AC218" s="224">
        <v>4770</v>
      </c>
      <c r="AD218" s="225">
        <f t="shared" ca="1" si="52"/>
        <v>14080.768034383154</v>
      </c>
      <c r="AE218" s="226">
        <f t="shared" ca="1" si="53"/>
        <v>50895</v>
      </c>
      <c r="AF218" s="227">
        <f t="shared" ca="1" si="54"/>
        <v>14080.768034383154</v>
      </c>
      <c r="AG218" s="225">
        <f t="shared" ca="1" si="55"/>
        <v>14313.17106809663</v>
      </c>
      <c r="AH218" s="220"/>
      <c r="AI218" s="97"/>
      <c r="AJ218" s="97"/>
      <c r="AK218" s="97"/>
      <c r="AL218" s="97"/>
      <c r="AM218" s="97"/>
      <c r="AP218" s="157"/>
      <c r="AQ218" s="186"/>
      <c r="AR218" s="186"/>
      <c r="AS218" s="187"/>
      <c r="AT218" s="188"/>
      <c r="AU218" s="188"/>
      <c r="AV218" s="189"/>
      <c r="AW218" s="188"/>
      <c r="AX218" s="189"/>
      <c r="AY218" s="188"/>
      <c r="AZ218" s="190"/>
    </row>
    <row r="219" spans="1:52" ht="15.5" x14ac:dyDescent="0.35">
      <c r="A219" s="197">
        <f t="shared" si="49"/>
        <v>81</v>
      </c>
      <c r="B219" s="98">
        <f t="shared" si="56"/>
        <v>160</v>
      </c>
      <c r="C219" s="99">
        <f t="shared" ca="1" si="59"/>
        <v>50926</v>
      </c>
      <c r="D219" s="100">
        <f t="shared" ca="1" si="60"/>
        <v>705036.9679210477</v>
      </c>
      <c r="E219" s="100">
        <f t="shared" ca="1" si="61"/>
        <v>9094.9768861815155</v>
      </c>
      <c r="F219" s="100">
        <f t="shared" ca="1" si="62"/>
        <v>714131.94480722921</v>
      </c>
      <c r="G219" s="100">
        <f t="shared" ca="1" si="57"/>
        <v>4985.7911482016389</v>
      </c>
      <c r="H219" s="100">
        <f t="shared" ca="1" si="50"/>
        <v>14080.768034383154</v>
      </c>
      <c r="I219" s="100">
        <f t="shared" ca="1" si="63"/>
        <v>120.56132151449917</v>
      </c>
      <c r="J219" s="100">
        <f t="shared" ca="1" si="51"/>
        <v>111</v>
      </c>
      <c r="K219" s="100">
        <f t="shared" ca="1" si="64"/>
        <v>14312.329355897653</v>
      </c>
      <c r="L219" s="101">
        <f t="shared" ca="1" si="65"/>
        <v>700051.17677284603</v>
      </c>
      <c r="M219" s="12"/>
      <c r="N219" s="12"/>
      <c r="O219" s="12"/>
      <c r="Q219" s="118">
        <f t="shared" ca="1" si="58"/>
        <v>149.57373444604917</v>
      </c>
      <c r="R219" s="119">
        <f t="shared" ca="1" si="48"/>
        <v>31</v>
      </c>
      <c r="S219" s="120">
        <v>365</v>
      </c>
      <c r="AC219" s="224">
        <v>4800</v>
      </c>
      <c r="AD219" s="225">
        <f t="shared" ca="1" si="52"/>
        <v>14080.768034383154</v>
      </c>
      <c r="AE219" s="226">
        <f t="shared" ca="1" si="53"/>
        <v>50926</v>
      </c>
      <c r="AF219" s="227">
        <f t="shared" ca="1" si="54"/>
        <v>14080.768034383154</v>
      </c>
      <c r="AG219" s="225">
        <f t="shared" ca="1" si="55"/>
        <v>14312.329355897653</v>
      </c>
      <c r="AH219" s="220"/>
      <c r="AI219" s="97"/>
      <c r="AJ219" s="97"/>
      <c r="AK219" s="97"/>
      <c r="AL219" s="97"/>
      <c r="AM219" s="97"/>
      <c r="AP219" s="157"/>
      <c r="AQ219" s="191"/>
      <c r="AR219" s="191"/>
      <c r="AS219" s="192"/>
      <c r="AT219" s="193"/>
      <c r="AU219" s="193"/>
      <c r="AV219" s="194"/>
      <c r="AW219" s="193"/>
      <c r="AX219" s="194"/>
      <c r="AY219" s="193"/>
      <c r="AZ219" s="195"/>
    </row>
    <row r="220" spans="1:52" ht="15.5" x14ac:dyDescent="0.35">
      <c r="A220" s="197">
        <f t="shared" si="49"/>
        <v>80</v>
      </c>
      <c r="B220" s="98">
        <f t="shared" si="56"/>
        <v>161</v>
      </c>
      <c r="C220" s="99">
        <f t="shared" ca="1" si="59"/>
        <v>50956</v>
      </c>
      <c r="D220" s="100">
        <f t="shared" ca="1" si="60"/>
        <v>700051.17677284603</v>
      </c>
      <c r="E220" s="100">
        <f t="shared" ca="1" si="61"/>
        <v>9030.660180369714</v>
      </c>
      <c r="F220" s="100">
        <f t="shared" ca="1" si="62"/>
        <v>709081.83695321577</v>
      </c>
      <c r="G220" s="100">
        <f t="shared" ca="1" si="57"/>
        <v>5050.1078540134404</v>
      </c>
      <c r="H220" s="100">
        <f t="shared" ca="1" si="50"/>
        <v>14080.768034383154</v>
      </c>
      <c r="I220" s="100">
        <f t="shared" ca="1" si="63"/>
        <v>119.70875122815667</v>
      </c>
      <c r="J220" s="100">
        <f t="shared" ca="1" si="51"/>
        <v>111</v>
      </c>
      <c r="K220" s="100">
        <f t="shared" ca="1" si="64"/>
        <v>14311.47678561131</v>
      </c>
      <c r="L220" s="101">
        <f t="shared" ca="1" si="65"/>
        <v>695001.06891883258</v>
      </c>
      <c r="M220" s="12"/>
      <c r="N220" s="12"/>
      <c r="O220" s="12"/>
      <c r="Q220" s="118">
        <f t="shared" ca="1" si="58"/>
        <v>151.50323562040322</v>
      </c>
      <c r="R220" s="119">
        <f t="shared" ca="1" si="48"/>
        <v>30</v>
      </c>
      <c r="S220" s="120">
        <v>365</v>
      </c>
      <c r="AC220" s="224">
        <v>4830</v>
      </c>
      <c r="AD220" s="225">
        <f t="shared" ca="1" si="52"/>
        <v>14080.768034383154</v>
      </c>
      <c r="AE220" s="226">
        <f t="shared" ca="1" si="53"/>
        <v>50956</v>
      </c>
      <c r="AF220" s="227">
        <f t="shared" ca="1" si="54"/>
        <v>14080.768034383154</v>
      </c>
      <c r="AG220" s="225">
        <f t="shared" ca="1" si="55"/>
        <v>14311.47678561131</v>
      </c>
      <c r="AH220" s="220"/>
      <c r="AI220" s="97"/>
      <c r="AJ220" s="97"/>
      <c r="AK220" s="97"/>
      <c r="AL220" s="97"/>
      <c r="AM220" s="97"/>
      <c r="AP220" s="157"/>
      <c r="AQ220" s="186"/>
      <c r="AR220" s="186"/>
      <c r="AS220" s="187"/>
      <c r="AT220" s="188"/>
      <c r="AU220" s="188"/>
      <c r="AV220" s="189"/>
      <c r="AW220" s="188"/>
      <c r="AX220" s="189"/>
      <c r="AY220" s="188"/>
      <c r="AZ220" s="190"/>
    </row>
    <row r="221" spans="1:52" ht="15.5" x14ac:dyDescent="0.35">
      <c r="A221" s="197">
        <f t="shared" si="49"/>
        <v>79</v>
      </c>
      <c r="B221" s="98">
        <f t="shared" si="56"/>
        <v>162</v>
      </c>
      <c r="C221" s="99">
        <f t="shared" ca="1" si="59"/>
        <v>50987</v>
      </c>
      <c r="D221" s="100">
        <f t="shared" ca="1" si="60"/>
        <v>695001.06891883258</v>
      </c>
      <c r="E221" s="100">
        <f t="shared" ca="1" si="61"/>
        <v>8965.5137890529404</v>
      </c>
      <c r="F221" s="100">
        <f t="shared" ca="1" si="62"/>
        <v>703966.58270788554</v>
      </c>
      <c r="G221" s="100">
        <f t="shared" ca="1" si="57"/>
        <v>5115.254245330214</v>
      </c>
      <c r="H221" s="100">
        <f t="shared" ca="1" si="50"/>
        <v>14080.768034383154</v>
      </c>
      <c r="I221" s="100">
        <f t="shared" ca="1" si="63"/>
        <v>118.84518278512037</v>
      </c>
      <c r="J221" s="100">
        <f t="shared" ca="1" si="51"/>
        <v>111</v>
      </c>
      <c r="K221" s="100">
        <f t="shared" ca="1" si="64"/>
        <v>14310.613217168275</v>
      </c>
      <c r="L221" s="101">
        <f t="shared" ca="1" si="65"/>
        <v>689885.81467350235</v>
      </c>
      <c r="M221" s="12"/>
      <c r="N221" s="12"/>
      <c r="O221" s="12"/>
      <c r="Q221" s="118">
        <f t="shared" ca="1" si="58"/>
        <v>153.45762735990641</v>
      </c>
      <c r="R221" s="119">
        <f t="shared" ca="1" si="48"/>
        <v>31</v>
      </c>
      <c r="S221" s="120">
        <v>365</v>
      </c>
      <c r="AC221" s="224">
        <v>4860</v>
      </c>
      <c r="AD221" s="225">
        <f t="shared" ca="1" si="52"/>
        <v>14080.768034383154</v>
      </c>
      <c r="AE221" s="226">
        <f t="shared" ca="1" si="53"/>
        <v>50987</v>
      </c>
      <c r="AF221" s="227">
        <f t="shared" ca="1" si="54"/>
        <v>14080.768034383154</v>
      </c>
      <c r="AG221" s="225">
        <f t="shared" ca="1" si="55"/>
        <v>14310.613217168275</v>
      </c>
      <c r="AH221" s="220"/>
      <c r="AI221" s="97"/>
      <c r="AJ221" s="97"/>
      <c r="AK221" s="97"/>
      <c r="AL221" s="97"/>
      <c r="AM221" s="97"/>
      <c r="AP221" s="157"/>
      <c r="AQ221" s="191"/>
      <c r="AR221" s="191"/>
      <c r="AS221" s="192"/>
      <c r="AT221" s="193"/>
      <c r="AU221" s="193"/>
      <c r="AV221" s="194"/>
      <c r="AW221" s="193"/>
      <c r="AX221" s="194"/>
      <c r="AY221" s="193"/>
      <c r="AZ221" s="195"/>
    </row>
    <row r="222" spans="1:52" ht="15.5" x14ac:dyDescent="0.35">
      <c r="A222" s="197">
        <f t="shared" si="49"/>
        <v>78</v>
      </c>
      <c r="B222" s="98">
        <f t="shared" si="56"/>
        <v>163</v>
      </c>
      <c r="C222" s="99">
        <f t="shared" ca="1" si="59"/>
        <v>51018</v>
      </c>
      <c r="D222" s="100">
        <f t="shared" ca="1" si="60"/>
        <v>689885.81467350235</v>
      </c>
      <c r="E222" s="100">
        <f t="shared" ca="1" si="61"/>
        <v>8899.5270092881801</v>
      </c>
      <c r="F222" s="100">
        <f t="shared" ca="1" si="62"/>
        <v>698785.34168279055</v>
      </c>
      <c r="G222" s="100">
        <f t="shared" ca="1" si="57"/>
        <v>5181.2410250949742</v>
      </c>
      <c r="H222" s="100">
        <f t="shared" ca="1" si="50"/>
        <v>14080.768034383154</v>
      </c>
      <c r="I222" s="100">
        <f t="shared" ca="1" si="63"/>
        <v>117.97047430916891</v>
      </c>
      <c r="J222" s="100">
        <f t="shared" ca="1" si="51"/>
        <v>111</v>
      </c>
      <c r="K222" s="100">
        <f t="shared" ca="1" si="64"/>
        <v>14309.738508692324</v>
      </c>
      <c r="L222" s="101">
        <f t="shared" ca="1" si="65"/>
        <v>684704.57364840736</v>
      </c>
      <c r="M222" s="12"/>
      <c r="N222" s="12"/>
      <c r="O222" s="12"/>
      <c r="Q222" s="118">
        <f t="shared" ca="1" si="58"/>
        <v>155.43723075284922</v>
      </c>
      <c r="R222" s="119">
        <f t="shared" ca="1" si="48"/>
        <v>31</v>
      </c>
      <c r="S222" s="120">
        <v>365</v>
      </c>
      <c r="AC222" s="224">
        <v>4890</v>
      </c>
      <c r="AD222" s="225">
        <f t="shared" ca="1" si="52"/>
        <v>14080.768034383154</v>
      </c>
      <c r="AE222" s="226">
        <f t="shared" ca="1" si="53"/>
        <v>51018</v>
      </c>
      <c r="AF222" s="227">
        <f t="shared" ca="1" si="54"/>
        <v>14080.768034383154</v>
      </c>
      <c r="AG222" s="225">
        <f t="shared" ca="1" si="55"/>
        <v>14309.738508692324</v>
      </c>
      <c r="AH222" s="220"/>
      <c r="AI222" s="97"/>
      <c r="AJ222" s="97"/>
      <c r="AK222" s="97"/>
      <c r="AL222" s="97"/>
      <c r="AM222" s="97"/>
      <c r="AP222" s="157"/>
      <c r="AQ222" s="186"/>
      <c r="AR222" s="186"/>
      <c r="AS222" s="187"/>
      <c r="AT222" s="188"/>
      <c r="AU222" s="188"/>
      <c r="AV222" s="189"/>
      <c r="AW222" s="188"/>
      <c r="AX222" s="189"/>
      <c r="AY222" s="188"/>
      <c r="AZ222" s="190"/>
    </row>
    <row r="223" spans="1:52" ht="15.5" x14ac:dyDescent="0.35">
      <c r="A223" s="197">
        <f t="shared" si="49"/>
        <v>77</v>
      </c>
      <c r="B223" s="98">
        <f t="shared" si="56"/>
        <v>164</v>
      </c>
      <c r="C223" s="99">
        <f t="shared" ca="1" si="59"/>
        <v>51048</v>
      </c>
      <c r="D223" s="100">
        <f t="shared" ca="1" si="60"/>
        <v>684704.57364840736</v>
      </c>
      <c r="E223" s="100">
        <f t="shared" ca="1" si="61"/>
        <v>8832.6890000644544</v>
      </c>
      <c r="F223" s="100">
        <f t="shared" ca="1" si="62"/>
        <v>693537.26264847186</v>
      </c>
      <c r="G223" s="100">
        <f t="shared" ca="1" si="57"/>
        <v>5248.0790343187</v>
      </c>
      <c r="H223" s="100">
        <f t="shared" ca="1" si="50"/>
        <v>14080.768034383154</v>
      </c>
      <c r="I223" s="100">
        <f t="shared" ca="1" si="63"/>
        <v>117.08448209387767</v>
      </c>
      <c r="J223" s="100">
        <f t="shared" ca="1" si="51"/>
        <v>111</v>
      </c>
      <c r="K223" s="100">
        <f t="shared" ca="1" si="64"/>
        <v>14308.852516477033</v>
      </c>
      <c r="L223" s="101">
        <f t="shared" ca="1" si="65"/>
        <v>679456.49461408868</v>
      </c>
      <c r="M223" s="12"/>
      <c r="N223" s="12"/>
      <c r="O223" s="12"/>
      <c r="Q223" s="118">
        <f t="shared" ca="1" si="58"/>
        <v>157.442371029561</v>
      </c>
      <c r="R223" s="119">
        <f t="shared" ca="1" si="48"/>
        <v>30</v>
      </c>
      <c r="S223" s="120">
        <v>365</v>
      </c>
      <c r="AC223" s="224">
        <v>4920</v>
      </c>
      <c r="AD223" s="225">
        <f t="shared" ca="1" si="52"/>
        <v>14080.768034383154</v>
      </c>
      <c r="AE223" s="226">
        <f t="shared" ca="1" si="53"/>
        <v>51048</v>
      </c>
      <c r="AF223" s="227">
        <f t="shared" ca="1" si="54"/>
        <v>14080.768034383154</v>
      </c>
      <c r="AG223" s="225">
        <f t="shared" ca="1" si="55"/>
        <v>14308.852516477033</v>
      </c>
      <c r="AH223" s="220"/>
      <c r="AI223" s="97"/>
      <c r="AJ223" s="97"/>
      <c r="AK223" s="97"/>
      <c r="AL223" s="97"/>
      <c r="AM223" s="97"/>
      <c r="AP223" s="157"/>
      <c r="AQ223" s="191"/>
      <c r="AR223" s="191"/>
      <c r="AS223" s="192"/>
      <c r="AT223" s="193"/>
      <c r="AU223" s="193"/>
      <c r="AV223" s="194"/>
      <c r="AW223" s="193"/>
      <c r="AX223" s="194"/>
      <c r="AY223" s="193"/>
      <c r="AZ223" s="195"/>
    </row>
    <row r="224" spans="1:52" ht="15.5" x14ac:dyDescent="0.35">
      <c r="A224" s="197">
        <f t="shared" si="49"/>
        <v>76</v>
      </c>
      <c r="B224" s="98">
        <f t="shared" si="56"/>
        <v>165</v>
      </c>
      <c r="C224" s="99">
        <f t="shared" ca="1" si="59"/>
        <v>51079</v>
      </c>
      <c r="D224" s="100">
        <f t="shared" ca="1" si="60"/>
        <v>679456.49461408868</v>
      </c>
      <c r="E224" s="100">
        <f t="shared" ca="1" si="61"/>
        <v>8764.988780521744</v>
      </c>
      <c r="F224" s="100">
        <f t="shared" ca="1" si="62"/>
        <v>688221.48339461046</v>
      </c>
      <c r="G224" s="100">
        <f t="shared" ca="1" si="57"/>
        <v>5315.7792538614103</v>
      </c>
      <c r="H224" s="100">
        <f t="shared" ca="1" si="50"/>
        <v>14080.768034383154</v>
      </c>
      <c r="I224" s="100">
        <f t="shared" ca="1" si="63"/>
        <v>116.18706057900917</v>
      </c>
      <c r="J224" s="100">
        <f t="shared" ca="1" si="51"/>
        <v>111</v>
      </c>
      <c r="K224" s="100">
        <f t="shared" ca="1" si="64"/>
        <v>14307.955094962164</v>
      </c>
      <c r="L224" s="101">
        <f t="shared" ca="1" si="65"/>
        <v>674140.71536022727</v>
      </c>
      <c r="M224" s="12"/>
      <c r="N224" s="12"/>
      <c r="O224" s="12"/>
      <c r="Q224" s="118">
        <f t="shared" ca="1" si="58"/>
        <v>159.47337761584231</v>
      </c>
      <c r="R224" s="119">
        <f t="shared" ca="1" si="48"/>
        <v>31</v>
      </c>
      <c r="S224" s="120">
        <v>365</v>
      </c>
      <c r="AC224" s="224">
        <v>4950</v>
      </c>
      <c r="AD224" s="225">
        <f t="shared" ca="1" si="52"/>
        <v>14080.768034383154</v>
      </c>
      <c r="AE224" s="226">
        <f t="shared" ca="1" si="53"/>
        <v>51079</v>
      </c>
      <c r="AF224" s="227">
        <f t="shared" ca="1" si="54"/>
        <v>14080.768034383154</v>
      </c>
      <c r="AG224" s="225">
        <f t="shared" ca="1" si="55"/>
        <v>14307.955094962164</v>
      </c>
      <c r="AH224" s="220"/>
      <c r="AI224" s="97"/>
      <c r="AJ224" s="97"/>
      <c r="AK224" s="97"/>
      <c r="AL224" s="97"/>
      <c r="AM224" s="97"/>
      <c r="AP224" s="157"/>
      <c r="AQ224" s="186"/>
      <c r="AR224" s="186"/>
      <c r="AS224" s="187"/>
      <c r="AT224" s="188"/>
      <c r="AU224" s="188"/>
      <c r="AV224" s="189"/>
      <c r="AW224" s="188"/>
      <c r="AX224" s="189"/>
      <c r="AY224" s="188"/>
      <c r="AZ224" s="190"/>
    </row>
    <row r="225" spans="1:52" ht="15.5" x14ac:dyDescent="0.35">
      <c r="A225" s="197">
        <f t="shared" si="49"/>
        <v>75</v>
      </c>
      <c r="B225" s="98">
        <f t="shared" si="56"/>
        <v>166</v>
      </c>
      <c r="C225" s="99">
        <f t="shared" ca="1" si="59"/>
        <v>51109</v>
      </c>
      <c r="D225" s="100">
        <f t="shared" ca="1" si="60"/>
        <v>674140.71536022727</v>
      </c>
      <c r="E225" s="100">
        <f t="shared" ca="1" si="61"/>
        <v>8696.4152281469323</v>
      </c>
      <c r="F225" s="100">
        <f t="shared" ca="1" si="62"/>
        <v>682837.13058837422</v>
      </c>
      <c r="G225" s="100">
        <f t="shared" ca="1" si="57"/>
        <v>5384.352806236222</v>
      </c>
      <c r="H225" s="100">
        <f t="shared" ca="1" si="50"/>
        <v>14080.768034383154</v>
      </c>
      <c r="I225" s="100">
        <f t="shared" ca="1" si="63"/>
        <v>115.27806232659887</v>
      </c>
      <c r="J225" s="100">
        <f t="shared" ca="1" si="51"/>
        <v>111</v>
      </c>
      <c r="K225" s="100">
        <f t="shared" ca="1" si="64"/>
        <v>14307.046096709753</v>
      </c>
      <c r="L225" s="101">
        <f t="shared" ca="1" si="65"/>
        <v>668756.36255399103</v>
      </c>
      <c r="M225" s="12"/>
      <c r="N225" s="12"/>
      <c r="O225" s="12"/>
      <c r="Q225" s="118">
        <f t="shared" ca="1" si="58"/>
        <v>161.53058418708665</v>
      </c>
      <c r="R225" s="119">
        <f t="shared" ca="1" si="48"/>
        <v>30</v>
      </c>
      <c r="S225" s="120">
        <v>365</v>
      </c>
      <c r="AC225" s="224">
        <v>4980</v>
      </c>
      <c r="AD225" s="225">
        <f t="shared" ca="1" si="52"/>
        <v>14080.768034383154</v>
      </c>
      <c r="AE225" s="226">
        <f t="shared" ca="1" si="53"/>
        <v>51109</v>
      </c>
      <c r="AF225" s="227">
        <f t="shared" ca="1" si="54"/>
        <v>14080.768034383154</v>
      </c>
      <c r="AG225" s="225">
        <f t="shared" ca="1" si="55"/>
        <v>14307.046096709753</v>
      </c>
      <c r="AH225" s="220"/>
      <c r="AI225" s="97"/>
      <c r="AJ225" s="97"/>
      <c r="AK225" s="97"/>
      <c r="AL225" s="97"/>
      <c r="AM225" s="97"/>
      <c r="AP225" s="157"/>
      <c r="AQ225" s="191"/>
      <c r="AR225" s="191"/>
      <c r="AS225" s="192"/>
      <c r="AT225" s="193"/>
      <c r="AU225" s="193"/>
      <c r="AV225" s="194"/>
      <c r="AW225" s="193"/>
      <c r="AX225" s="194"/>
      <c r="AY225" s="193"/>
      <c r="AZ225" s="195"/>
    </row>
    <row r="226" spans="1:52" ht="15.5" x14ac:dyDescent="0.35">
      <c r="A226" s="197">
        <f t="shared" si="49"/>
        <v>74</v>
      </c>
      <c r="B226" s="98">
        <f t="shared" si="56"/>
        <v>167</v>
      </c>
      <c r="C226" s="99">
        <f t="shared" ca="1" si="59"/>
        <v>51140</v>
      </c>
      <c r="D226" s="100">
        <f t="shared" ca="1" si="60"/>
        <v>668756.36255399103</v>
      </c>
      <c r="E226" s="100">
        <f t="shared" ca="1" si="61"/>
        <v>8626.9570769464844</v>
      </c>
      <c r="F226" s="100">
        <f t="shared" ca="1" si="62"/>
        <v>677383.31963093753</v>
      </c>
      <c r="G226" s="100">
        <f t="shared" ca="1" si="57"/>
        <v>5453.8109574366699</v>
      </c>
      <c r="H226" s="100">
        <f t="shared" ca="1" si="50"/>
        <v>14080.768034383154</v>
      </c>
      <c r="I226" s="100">
        <f t="shared" ca="1" si="63"/>
        <v>114.35733799673247</v>
      </c>
      <c r="J226" s="100">
        <f t="shared" ca="1" si="51"/>
        <v>111</v>
      </c>
      <c r="K226" s="100">
        <f t="shared" ca="1" si="64"/>
        <v>14306.125372379887</v>
      </c>
      <c r="L226" s="101">
        <f t="shared" ca="1" si="65"/>
        <v>663302.55159655435</v>
      </c>
      <c r="M226" s="12"/>
      <c r="N226" s="12"/>
      <c r="O226" s="12"/>
      <c r="Q226" s="118">
        <f t="shared" ca="1" si="58"/>
        <v>163.6143287231001</v>
      </c>
      <c r="R226" s="119">
        <f t="shared" ca="1" si="48"/>
        <v>31</v>
      </c>
      <c r="S226" s="120">
        <v>365</v>
      </c>
      <c r="AC226" s="224">
        <v>5010</v>
      </c>
      <c r="AD226" s="225">
        <f t="shared" ca="1" si="52"/>
        <v>14080.768034383154</v>
      </c>
      <c r="AE226" s="226">
        <f t="shared" ca="1" si="53"/>
        <v>51140</v>
      </c>
      <c r="AF226" s="227">
        <f t="shared" ca="1" si="54"/>
        <v>14080.768034383154</v>
      </c>
      <c r="AG226" s="225">
        <f t="shared" ca="1" si="55"/>
        <v>14306.125372379887</v>
      </c>
      <c r="AH226" s="220"/>
      <c r="AI226" s="97"/>
      <c r="AJ226" s="97"/>
      <c r="AK226" s="97"/>
      <c r="AL226" s="97"/>
      <c r="AM226" s="97"/>
      <c r="AP226" s="157"/>
      <c r="AQ226" s="186"/>
      <c r="AR226" s="186"/>
      <c r="AS226" s="187"/>
      <c r="AT226" s="188"/>
      <c r="AU226" s="188"/>
      <c r="AV226" s="189"/>
      <c r="AW226" s="188"/>
      <c r="AX226" s="189"/>
      <c r="AY226" s="188"/>
      <c r="AZ226" s="190"/>
    </row>
    <row r="227" spans="1:52" ht="15.5" x14ac:dyDescent="0.35">
      <c r="A227" s="197">
        <f t="shared" si="49"/>
        <v>73</v>
      </c>
      <c r="B227" s="98">
        <f t="shared" si="56"/>
        <v>168</v>
      </c>
      <c r="C227" s="99">
        <f t="shared" ca="1" si="59"/>
        <v>51171</v>
      </c>
      <c r="D227" s="100">
        <f t="shared" ca="1" si="60"/>
        <v>663302.55159655435</v>
      </c>
      <c r="E227" s="100">
        <f t="shared" ca="1" si="61"/>
        <v>8556.6029155955512</v>
      </c>
      <c r="F227" s="100">
        <f t="shared" ca="1" si="62"/>
        <v>671859.15451214986</v>
      </c>
      <c r="G227" s="100">
        <f t="shared" ca="1" si="57"/>
        <v>5524.1651187875996</v>
      </c>
      <c r="H227" s="100">
        <f t="shared" ca="1" si="50"/>
        <v>14080.768034383151</v>
      </c>
      <c r="I227" s="100">
        <f t="shared" ca="1" si="63"/>
        <v>113.4247363230108</v>
      </c>
      <c r="J227" s="100">
        <f t="shared" ca="1" si="51"/>
        <v>111</v>
      </c>
      <c r="K227" s="100">
        <f t="shared" ca="1" si="64"/>
        <v>14305.192770706162</v>
      </c>
      <c r="L227" s="101">
        <f t="shared" ca="1" si="65"/>
        <v>657778.38647776679</v>
      </c>
      <c r="M227" s="12"/>
      <c r="N227" s="12"/>
      <c r="O227" s="12"/>
      <c r="Q227" s="118">
        <f t="shared" ca="1" si="58"/>
        <v>165.72495356362799</v>
      </c>
      <c r="R227" s="119">
        <f t="shared" ca="1" si="48"/>
        <v>31</v>
      </c>
      <c r="S227" s="120">
        <v>365</v>
      </c>
      <c r="AC227" s="224">
        <v>5040</v>
      </c>
      <c r="AD227" s="225">
        <f t="shared" ca="1" si="52"/>
        <v>14080.768034383151</v>
      </c>
      <c r="AE227" s="226">
        <f t="shared" ca="1" si="53"/>
        <v>51171</v>
      </c>
      <c r="AF227" s="227">
        <f t="shared" ca="1" si="54"/>
        <v>14080.768034383151</v>
      </c>
      <c r="AG227" s="225">
        <f t="shared" ca="1" si="55"/>
        <v>14305.192770706162</v>
      </c>
      <c r="AH227" s="220"/>
      <c r="AI227" s="97"/>
      <c r="AJ227" s="97"/>
      <c r="AK227" s="97"/>
      <c r="AL227" s="97"/>
      <c r="AM227" s="97"/>
      <c r="AP227" s="157"/>
      <c r="AQ227" s="191"/>
      <c r="AR227" s="191"/>
      <c r="AS227" s="192"/>
      <c r="AT227" s="193"/>
      <c r="AU227" s="193"/>
      <c r="AV227" s="194"/>
      <c r="AW227" s="193"/>
      <c r="AX227" s="194"/>
      <c r="AY227" s="193"/>
      <c r="AZ227" s="195"/>
    </row>
    <row r="228" spans="1:52" ht="15.5" x14ac:dyDescent="0.35">
      <c r="A228" s="197">
        <f t="shared" si="49"/>
        <v>72</v>
      </c>
      <c r="B228" s="98">
        <f t="shared" si="56"/>
        <v>169</v>
      </c>
      <c r="C228" s="99">
        <f t="shared" ca="1" si="59"/>
        <v>51200</v>
      </c>
      <c r="D228" s="100">
        <f t="shared" ca="1" si="60"/>
        <v>657778.38647776679</v>
      </c>
      <c r="E228" s="100">
        <f t="shared" ca="1" si="61"/>
        <v>8485.3411855631912</v>
      </c>
      <c r="F228" s="100">
        <f t="shared" ca="1" si="62"/>
        <v>666263.72766333004</v>
      </c>
      <c r="G228" s="100">
        <f t="shared" ca="1" si="57"/>
        <v>5595.4268488199632</v>
      </c>
      <c r="H228" s="100">
        <f t="shared" ca="1" si="50"/>
        <v>14080.768034383154</v>
      </c>
      <c r="I228" s="100">
        <f t="shared" ca="1" si="63"/>
        <v>112.48010408769812</v>
      </c>
      <c r="J228" s="100">
        <f t="shared" ca="1" si="51"/>
        <v>111</v>
      </c>
      <c r="K228" s="100">
        <f t="shared" ca="1" si="64"/>
        <v>14304.248138470852</v>
      </c>
      <c r="L228" s="101">
        <f t="shared" ca="1" si="65"/>
        <v>652182.95962894685</v>
      </c>
      <c r="M228" s="12"/>
      <c r="N228" s="12"/>
      <c r="O228" s="12"/>
      <c r="Q228" s="118">
        <f t="shared" ca="1" si="58"/>
        <v>167.86280546459889</v>
      </c>
      <c r="R228" s="119">
        <f t="shared" ca="1" si="48"/>
        <v>29</v>
      </c>
      <c r="S228" s="120">
        <v>365</v>
      </c>
      <c r="AC228" s="224">
        <v>5070</v>
      </c>
      <c r="AD228" s="225">
        <f t="shared" ca="1" si="52"/>
        <v>14080.768034383154</v>
      </c>
      <c r="AE228" s="226">
        <f t="shared" ca="1" si="53"/>
        <v>51200</v>
      </c>
      <c r="AF228" s="227">
        <f t="shared" ca="1" si="54"/>
        <v>14080.768034383154</v>
      </c>
      <c r="AG228" s="225">
        <f t="shared" ca="1" si="55"/>
        <v>14304.248138470852</v>
      </c>
      <c r="AH228" s="220"/>
      <c r="AI228" s="97"/>
      <c r="AJ228" s="97"/>
      <c r="AK228" s="97"/>
      <c r="AL228" s="97"/>
      <c r="AM228" s="97"/>
      <c r="AP228" s="157"/>
      <c r="AQ228" s="186"/>
      <c r="AR228" s="186"/>
      <c r="AS228" s="187"/>
      <c r="AT228" s="188"/>
      <c r="AU228" s="188"/>
      <c r="AV228" s="189"/>
      <c r="AW228" s="188"/>
      <c r="AX228" s="189"/>
      <c r="AY228" s="188"/>
      <c r="AZ228" s="190"/>
    </row>
    <row r="229" spans="1:52" ht="15.5" x14ac:dyDescent="0.35">
      <c r="A229" s="197">
        <f t="shared" si="49"/>
        <v>71</v>
      </c>
      <c r="B229" s="98">
        <f t="shared" si="56"/>
        <v>170</v>
      </c>
      <c r="C229" s="99">
        <f t="shared" ca="1" si="59"/>
        <v>51231</v>
      </c>
      <c r="D229" s="100">
        <f t="shared" ca="1" si="60"/>
        <v>652182.95962894685</v>
      </c>
      <c r="E229" s="100">
        <f t="shared" ca="1" si="61"/>
        <v>8413.1601792134152</v>
      </c>
      <c r="F229" s="100">
        <f t="shared" ca="1" si="62"/>
        <v>660596.11980816023</v>
      </c>
      <c r="G229" s="100">
        <f t="shared" ca="1" si="57"/>
        <v>5667.6078551697428</v>
      </c>
      <c r="H229" s="100">
        <f t="shared" ca="1" si="50"/>
        <v>14080.768034383158</v>
      </c>
      <c r="I229" s="100">
        <f t="shared" ca="1" si="63"/>
        <v>111.52328609654991</v>
      </c>
      <c r="J229" s="100">
        <f t="shared" ca="1" si="51"/>
        <v>111</v>
      </c>
      <c r="K229" s="100">
        <f t="shared" ca="1" si="64"/>
        <v>14303.291320479708</v>
      </c>
      <c r="L229" s="101">
        <f t="shared" ca="1" si="65"/>
        <v>646515.35177377705</v>
      </c>
      <c r="M229" s="12"/>
      <c r="N229" s="12"/>
      <c r="O229" s="12"/>
      <c r="Q229" s="118">
        <f t="shared" ca="1" si="58"/>
        <v>170.02823565509229</v>
      </c>
      <c r="R229" s="119">
        <f t="shared" ca="1" si="48"/>
        <v>31</v>
      </c>
      <c r="S229" s="120">
        <v>365</v>
      </c>
      <c r="AC229" s="224">
        <v>5100</v>
      </c>
      <c r="AD229" s="225">
        <f t="shared" ca="1" si="52"/>
        <v>14080.768034383158</v>
      </c>
      <c r="AE229" s="226">
        <f t="shared" ca="1" si="53"/>
        <v>51231</v>
      </c>
      <c r="AF229" s="227">
        <f t="shared" ca="1" si="54"/>
        <v>14080.768034383158</v>
      </c>
      <c r="AG229" s="225">
        <f t="shared" ca="1" si="55"/>
        <v>14303.291320479708</v>
      </c>
      <c r="AH229" s="220"/>
      <c r="AI229" s="97"/>
      <c r="AJ229" s="97"/>
      <c r="AK229" s="97"/>
      <c r="AL229" s="97"/>
      <c r="AM229" s="97"/>
      <c r="AP229" s="157"/>
      <c r="AQ229" s="191"/>
      <c r="AR229" s="191"/>
      <c r="AS229" s="192"/>
      <c r="AT229" s="193"/>
      <c r="AU229" s="193"/>
      <c r="AV229" s="194"/>
      <c r="AW229" s="193"/>
      <c r="AX229" s="194"/>
      <c r="AY229" s="193"/>
      <c r="AZ229" s="195"/>
    </row>
    <row r="230" spans="1:52" ht="15.5" x14ac:dyDescent="0.35">
      <c r="A230" s="197">
        <f t="shared" si="49"/>
        <v>70</v>
      </c>
      <c r="B230" s="98">
        <f t="shared" si="56"/>
        <v>171</v>
      </c>
      <c r="C230" s="99">
        <f t="shared" ca="1" si="59"/>
        <v>51261</v>
      </c>
      <c r="D230" s="100">
        <f t="shared" ca="1" si="60"/>
        <v>646515.35177377705</v>
      </c>
      <c r="E230" s="100">
        <f t="shared" ca="1" si="61"/>
        <v>8340.0480378817247</v>
      </c>
      <c r="F230" s="100">
        <f t="shared" ca="1" si="62"/>
        <v>654855.39981165878</v>
      </c>
      <c r="G230" s="100">
        <f t="shared" ca="1" si="57"/>
        <v>5740.7199965014297</v>
      </c>
      <c r="H230" s="100">
        <f t="shared" ca="1" si="50"/>
        <v>14080.768034383154</v>
      </c>
      <c r="I230" s="100">
        <f t="shared" ca="1" si="63"/>
        <v>110.55412515331588</v>
      </c>
      <c r="J230" s="100">
        <f t="shared" ca="1" si="51"/>
        <v>111</v>
      </c>
      <c r="K230" s="100">
        <f t="shared" ca="1" si="64"/>
        <v>14302.32215953647</v>
      </c>
      <c r="L230" s="101">
        <f t="shared" ca="1" si="65"/>
        <v>640774.63177727559</v>
      </c>
      <c r="M230" s="12"/>
      <c r="N230" s="12"/>
      <c r="O230" s="12"/>
      <c r="Q230" s="118">
        <f t="shared" ca="1" si="58"/>
        <v>172.22159989504289</v>
      </c>
      <c r="R230" s="119">
        <f t="shared" ca="1" si="48"/>
        <v>30</v>
      </c>
      <c r="S230" s="120">
        <v>365</v>
      </c>
      <c r="AC230" s="224">
        <v>5130</v>
      </c>
      <c r="AD230" s="225">
        <f t="shared" ca="1" si="52"/>
        <v>14080.768034383154</v>
      </c>
      <c r="AE230" s="226">
        <f t="shared" ca="1" si="53"/>
        <v>51261</v>
      </c>
      <c r="AF230" s="227">
        <f t="shared" ca="1" si="54"/>
        <v>14080.768034383154</v>
      </c>
      <c r="AG230" s="225">
        <f t="shared" ca="1" si="55"/>
        <v>14302.32215953647</v>
      </c>
      <c r="AH230" s="220"/>
      <c r="AI230" s="97"/>
      <c r="AJ230" s="97"/>
      <c r="AK230" s="97"/>
      <c r="AL230" s="97"/>
      <c r="AM230" s="97"/>
      <c r="AP230" s="157"/>
      <c r="AQ230" s="186"/>
      <c r="AR230" s="186"/>
      <c r="AS230" s="187"/>
      <c r="AT230" s="188"/>
      <c r="AU230" s="188"/>
      <c r="AV230" s="189"/>
      <c r="AW230" s="188"/>
      <c r="AX230" s="189"/>
      <c r="AY230" s="188"/>
      <c r="AZ230" s="190"/>
    </row>
    <row r="231" spans="1:52" ht="15.5" x14ac:dyDescent="0.35">
      <c r="A231" s="197">
        <f t="shared" si="49"/>
        <v>69</v>
      </c>
      <c r="B231" s="98">
        <f t="shared" si="56"/>
        <v>172</v>
      </c>
      <c r="C231" s="99">
        <f t="shared" ca="1" si="59"/>
        <v>51292</v>
      </c>
      <c r="D231" s="100">
        <f t="shared" ca="1" si="60"/>
        <v>640774.63177727559</v>
      </c>
      <c r="E231" s="100">
        <f t="shared" ca="1" si="61"/>
        <v>8265.9927499268542</v>
      </c>
      <c r="F231" s="100">
        <f t="shared" ca="1" si="62"/>
        <v>649040.62452720245</v>
      </c>
      <c r="G231" s="100">
        <f t="shared" ca="1" si="57"/>
        <v>5814.7752844562965</v>
      </c>
      <c r="H231" s="100">
        <f t="shared" ca="1" si="50"/>
        <v>14080.768034383151</v>
      </c>
      <c r="I231" s="100">
        <f t="shared" ca="1" si="63"/>
        <v>109.57246203391414</v>
      </c>
      <c r="J231" s="100">
        <f t="shared" ca="1" si="51"/>
        <v>111</v>
      </c>
      <c r="K231" s="100">
        <f t="shared" ca="1" si="64"/>
        <v>14301.340496417064</v>
      </c>
      <c r="L231" s="101">
        <f t="shared" ca="1" si="65"/>
        <v>634959.85649281926</v>
      </c>
      <c r="M231" s="12"/>
      <c r="N231" s="12"/>
      <c r="O231" s="12"/>
      <c r="Q231" s="118">
        <f t="shared" ca="1" si="58"/>
        <v>174.44325853368889</v>
      </c>
      <c r="R231" s="119">
        <f t="shared" ca="1" si="48"/>
        <v>31</v>
      </c>
      <c r="S231" s="120">
        <v>365</v>
      </c>
      <c r="AC231" s="224">
        <v>5160</v>
      </c>
      <c r="AD231" s="225">
        <f t="shared" ca="1" si="52"/>
        <v>14080.768034383151</v>
      </c>
      <c r="AE231" s="226">
        <f t="shared" ca="1" si="53"/>
        <v>51292</v>
      </c>
      <c r="AF231" s="227">
        <f t="shared" ca="1" si="54"/>
        <v>14080.768034383151</v>
      </c>
      <c r="AG231" s="225">
        <f t="shared" ca="1" si="55"/>
        <v>14301.340496417064</v>
      </c>
      <c r="AH231" s="220"/>
      <c r="AI231" s="97"/>
      <c r="AJ231" s="97"/>
      <c r="AK231" s="97"/>
      <c r="AL231" s="97"/>
      <c r="AM231" s="97"/>
      <c r="AP231" s="157"/>
      <c r="AQ231" s="191"/>
      <c r="AR231" s="191"/>
      <c r="AS231" s="192"/>
      <c r="AT231" s="193"/>
      <c r="AU231" s="193"/>
      <c r="AV231" s="194"/>
      <c r="AW231" s="193"/>
      <c r="AX231" s="194"/>
      <c r="AY231" s="193"/>
      <c r="AZ231" s="195"/>
    </row>
    <row r="232" spans="1:52" ht="15.5" x14ac:dyDescent="0.35">
      <c r="A232" s="197">
        <f t="shared" si="49"/>
        <v>68</v>
      </c>
      <c r="B232" s="98">
        <f t="shared" si="56"/>
        <v>173</v>
      </c>
      <c r="C232" s="99">
        <f t="shared" ca="1" si="59"/>
        <v>51322</v>
      </c>
      <c r="D232" s="100">
        <f t="shared" ca="1" si="60"/>
        <v>634959.85649281926</v>
      </c>
      <c r="E232" s="100">
        <f t="shared" ca="1" si="61"/>
        <v>8190.9821487573681</v>
      </c>
      <c r="F232" s="100">
        <f t="shared" ca="1" si="62"/>
        <v>643150.83864157659</v>
      </c>
      <c r="G232" s="100">
        <f t="shared" ca="1" si="57"/>
        <v>5889.7858856257826</v>
      </c>
      <c r="H232" s="100">
        <f t="shared" ca="1" si="50"/>
        <v>14080.768034383151</v>
      </c>
      <c r="I232" s="100">
        <f t="shared" ca="1" si="63"/>
        <v>108.57813546027209</v>
      </c>
      <c r="J232" s="100">
        <f t="shared" ca="1" si="51"/>
        <v>111</v>
      </c>
      <c r="K232" s="100">
        <f t="shared" ca="1" si="64"/>
        <v>14300.346169843422</v>
      </c>
      <c r="L232" s="101">
        <f t="shared" ca="1" si="65"/>
        <v>629070.07060719351</v>
      </c>
      <c r="M232" s="12"/>
      <c r="N232" s="12"/>
      <c r="O232" s="12"/>
      <c r="Q232" s="118">
        <f t="shared" ca="1" si="58"/>
        <v>176.69357656877347</v>
      </c>
      <c r="R232" s="119">
        <f t="shared" ca="1" si="48"/>
        <v>30</v>
      </c>
      <c r="S232" s="120">
        <v>365</v>
      </c>
      <c r="AC232" s="224">
        <v>5190</v>
      </c>
      <c r="AD232" s="225">
        <f t="shared" ca="1" si="52"/>
        <v>14080.768034383151</v>
      </c>
      <c r="AE232" s="226">
        <f t="shared" ca="1" si="53"/>
        <v>51322</v>
      </c>
      <c r="AF232" s="227">
        <f t="shared" ca="1" si="54"/>
        <v>14080.768034383151</v>
      </c>
      <c r="AG232" s="225">
        <f t="shared" ca="1" si="55"/>
        <v>14300.346169843422</v>
      </c>
      <c r="AH232" s="220"/>
      <c r="AI232" s="97"/>
      <c r="AJ232" s="97"/>
      <c r="AK232" s="97"/>
      <c r="AL232" s="97"/>
      <c r="AM232" s="97"/>
      <c r="AP232" s="157"/>
      <c r="AQ232" s="186"/>
      <c r="AR232" s="186"/>
      <c r="AS232" s="187"/>
      <c r="AT232" s="188"/>
      <c r="AU232" s="188"/>
      <c r="AV232" s="189"/>
      <c r="AW232" s="188"/>
      <c r="AX232" s="189"/>
      <c r="AY232" s="188"/>
      <c r="AZ232" s="190"/>
    </row>
    <row r="233" spans="1:52" ht="15.5" x14ac:dyDescent="0.35">
      <c r="A233" s="197">
        <f t="shared" si="49"/>
        <v>67</v>
      </c>
      <c r="B233" s="98">
        <f t="shared" si="56"/>
        <v>174</v>
      </c>
      <c r="C233" s="99">
        <f t="shared" ca="1" si="59"/>
        <v>51353</v>
      </c>
      <c r="D233" s="100">
        <f t="shared" ca="1" si="60"/>
        <v>629070.07060719351</v>
      </c>
      <c r="E233" s="100">
        <f t="shared" ca="1" si="61"/>
        <v>8115.0039108327965</v>
      </c>
      <c r="F233" s="100">
        <f t="shared" ca="1" si="62"/>
        <v>637185.07451802632</v>
      </c>
      <c r="G233" s="100">
        <f t="shared" ca="1" si="57"/>
        <v>5965.7641235503579</v>
      </c>
      <c r="H233" s="100">
        <f t="shared" ca="1" si="50"/>
        <v>14080.768034383154</v>
      </c>
      <c r="I233" s="100">
        <f t="shared" ca="1" si="63"/>
        <v>107.57098207383009</v>
      </c>
      <c r="J233" s="100">
        <f t="shared" ca="1" si="51"/>
        <v>111</v>
      </c>
      <c r="K233" s="100">
        <f t="shared" ca="1" si="64"/>
        <v>14299.339016456985</v>
      </c>
      <c r="L233" s="101">
        <f t="shared" ca="1" si="65"/>
        <v>623104.30648364313</v>
      </c>
      <c r="M233" s="12"/>
      <c r="N233" s="12"/>
      <c r="O233" s="12"/>
      <c r="Q233" s="118">
        <f t="shared" ca="1" si="58"/>
        <v>178.97292370651073</v>
      </c>
      <c r="R233" s="119">
        <f t="shared" ca="1" si="48"/>
        <v>31</v>
      </c>
      <c r="S233" s="120">
        <v>365</v>
      </c>
      <c r="AC233" s="224">
        <v>5220</v>
      </c>
      <c r="AD233" s="225">
        <f t="shared" ca="1" si="52"/>
        <v>14080.768034383154</v>
      </c>
      <c r="AE233" s="226">
        <f t="shared" ca="1" si="53"/>
        <v>51353</v>
      </c>
      <c r="AF233" s="227">
        <f t="shared" ca="1" si="54"/>
        <v>14080.768034383154</v>
      </c>
      <c r="AG233" s="225">
        <f t="shared" ca="1" si="55"/>
        <v>14299.339016456985</v>
      </c>
      <c r="AH233" s="220"/>
      <c r="AI233" s="97"/>
      <c r="AJ233" s="97"/>
      <c r="AK233" s="97"/>
      <c r="AL233" s="97"/>
      <c r="AM233" s="97"/>
      <c r="AP233" s="157"/>
      <c r="AQ233" s="191"/>
      <c r="AR233" s="191"/>
      <c r="AS233" s="192"/>
      <c r="AT233" s="193"/>
      <c r="AU233" s="193"/>
      <c r="AV233" s="194"/>
      <c r="AW233" s="193"/>
      <c r="AX233" s="194"/>
      <c r="AY233" s="193"/>
      <c r="AZ233" s="195"/>
    </row>
    <row r="234" spans="1:52" ht="15.5" x14ac:dyDescent="0.35">
      <c r="A234" s="197">
        <f t="shared" si="49"/>
        <v>66</v>
      </c>
      <c r="B234" s="98">
        <f t="shared" si="56"/>
        <v>175</v>
      </c>
      <c r="C234" s="99">
        <f t="shared" ca="1" si="59"/>
        <v>51384</v>
      </c>
      <c r="D234" s="100">
        <f t="shared" ca="1" si="60"/>
        <v>623104.30648364313</v>
      </c>
      <c r="E234" s="100">
        <f t="shared" ca="1" si="61"/>
        <v>8038.0455536389964</v>
      </c>
      <c r="F234" s="100">
        <f t="shared" ca="1" si="62"/>
        <v>631142.35203728208</v>
      </c>
      <c r="G234" s="100">
        <f t="shared" ca="1" si="57"/>
        <v>6042.722480744158</v>
      </c>
      <c r="H234" s="100">
        <f t="shared" ca="1" si="50"/>
        <v>14080.768034383154</v>
      </c>
      <c r="I234" s="100">
        <f t="shared" ca="1" si="63"/>
        <v>106.55083640870298</v>
      </c>
      <c r="J234" s="100">
        <f t="shared" ca="1" si="51"/>
        <v>111</v>
      </c>
      <c r="K234" s="100">
        <f t="shared" ca="1" si="64"/>
        <v>14298.318870791858</v>
      </c>
      <c r="L234" s="101">
        <f t="shared" ca="1" si="65"/>
        <v>617061.58400289901</v>
      </c>
      <c r="M234" s="12"/>
      <c r="N234" s="12"/>
      <c r="O234" s="12"/>
      <c r="Q234" s="118">
        <f t="shared" ca="1" si="58"/>
        <v>181.28167442232473</v>
      </c>
      <c r="R234" s="119">
        <f t="shared" ca="1" si="48"/>
        <v>31</v>
      </c>
      <c r="S234" s="120">
        <v>365</v>
      </c>
      <c r="AC234" s="224">
        <v>5250</v>
      </c>
      <c r="AD234" s="225">
        <f t="shared" ca="1" si="52"/>
        <v>14080.768034383154</v>
      </c>
      <c r="AE234" s="226">
        <f t="shared" ca="1" si="53"/>
        <v>51384</v>
      </c>
      <c r="AF234" s="227">
        <f t="shared" ca="1" si="54"/>
        <v>14080.768034383154</v>
      </c>
      <c r="AG234" s="225">
        <f t="shared" ca="1" si="55"/>
        <v>14298.318870791858</v>
      </c>
      <c r="AH234" s="220"/>
      <c r="AI234" s="97"/>
      <c r="AJ234" s="97"/>
      <c r="AK234" s="97"/>
      <c r="AL234" s="97"/>
      <c r="AM234" s="97"/>
      <c r="AP234" s="157"/>
      <c r="AQ234" s="186"/>
      <c r="AR234" s="186"/>
      <c r="AS234" s="187"/>
      <c r="AT234" s="188"/>
      <c r="AU234" s="188"/>
      <c r="AV234" s="189"/>
      <c r="AW234" s="188"/>
      <c r="AX234" s="189"/>
      <c r="AY234" s="188"/>
      <c r="AZ234" s="190"/>
    </row>
    <row r="235" spans="1:52" ht="15.5" x14ac:dyDescent="0.35">
      <c r="A235" s="197">
        <f t="shared" si="49"/>
        <v>65</v>
      </c>
      <c r="B235" s="98">
        <f t="shared" si="56"/>
        <v>176</v>
      </c>
      <c r="C235" s="99">
        <f t="shared" ca="1" si="59"/>
        <v>51414</v>
      </c>
      <c r="D235" s="100">
        <f t="shared" ca="1" si="60"/>
        <v>617061.58400289901</v>
      </c>
      <c r="E235" s="100">
        <f t="shared" ca="1" si="61"/>
        <v>7960.0944336373968</v>
      </c>
      <c r="F235" s="100">
        <f t="shared" ca="1" si="62"/>
        <v>625021.67843653646</v>
      </c>
      <c r="G235" s="100">
        <f t="shared" ca="1" si="57"/>
        <v>6120.6736007457539</v>
      </c>
      <c r="H235" s="100">
        <f t="shared" ca="1" si="50"/>
        <v>14080.768034383151</v>
      </c>
      <c r="I235" s="100">
        <f t="shared" ca="1" si="63"/>
        <v>105.51753086449574</v>
      </c>
      <c r="J235" s="100">
        <f t="shared" ca="1" si="51"/>
        <v>111</v>
      </c>
      <c r="K235" s="100">
        <f t="shared" ca="1" si="64"/>
        <v>14297.285565247646</v>
      </c>
      <c r="L235" s="101">
        <f t="shared" ca="1" si="65"/>
        <v>610940.91040215327</v>
      </c>
      <c r="M235" s="12"/>
      <c r="N235" s="12"/>
      <c r="O235" s="12"/>
      <c r="Q235" s="118">
        <f t="shared" ca="1" si="58"/>
        <v>183.62020802237262</v>
      </c>
      <c r="R235" s="119">
        <f t="shared" ca="1" si="48"/>
        <v>30</v>
      </c>
      <c r="S235" s="120">
        <v>365</v>
      </c>
      <c r="AC235" s="224">
        <v>5280</v>
      </c>
      <c r="AD235" s="225">
        <f t="shared" ca="1" si="52"/>
        <v>14080.768034383151</v>
      </c>
      <c r="AE235" s="226">
        <f t="shared" ca="1" si="53"/>
        <v>51414</v>
      </c>
      <c r="AF235" s="227">
        <f t="shared" ca="1" si="54"/>
        <v>14080.768034383151</v>
      </c>
      <c r="AG235" s="225">
        <f t="shared" ca="1" si="55"/>
        <v>14297.285565247646</v>
      </c>
      <c r="AH235" s="220"/>
      <c r="AI235" s="97"/>
      <c r="AJ235" s="97"/>
      <c r="AK235" s="97"/>
      <c r="AL235" s="97"/>
      <c r="AM235" s="97"/>
      <c r="AP235" s="157"/>
      <c r="AQ235" s="191"/>
      <c r="AR235" s="191"/>
      <c r="AS235" s="192"/>
      <c r="AT235" s="193"/>
      <c r="AU235" s="193"/>
      <c r="AV235" s="194"/>
      <c r="AW235" s="193"/>
      <c r="AX235" s="194"/>
      <c r="AY235" s="193"/>
      <c r="AZ235" s="195"/>
    </row>
    <row r="236" spans="1:52" ht="15.5" x14ac:dyDescent="0.35">
      <c r="A236" s="197">
        <f t="shared" si="49"/>
        <v>64</v>
      </c>
      <c r="B236" s="98">
        <f t="shared" si="56"/>
        <v>177</v>
      </c>
      <c r="C236" s="99">
        <f t="shared" ca="1" si="59"/>
        <v>51445</v>
      </c>
      <c r="D236" s="100">
        <f t="shared" ca="1" si="60"/>
        <v>610940.91040215327</v>
      </c>
      <c r="E236" s="100">
        <f t="shared" ca="1" si="61"/>
        <v>7881.1377441877776</v>
      </c>
      <c r="F236" s="100">
        <f t="shared" ca="1" si="62"/>
        <v>618822.048146341</v>
      </c>
      <c r="G236" s="100">
        <f t="shared" ca="1" si="57"/>
        <v>6199.6302901953804</v>
      </c>
      <c r="H236" s="100">
        <f t="shared" ca="1" si="50"/>
        <v>14080.768034383158</v>
      </c>
      <c r="I236" s="100">
        <f t="shared" ca="1" si="63"/>
        <v>104.47089567876822</v>
      </c>
      <c r="J236" s="100">
        <f t="shared" ca="1" si="51"/>
        <v>111</v>
      </c>
      <c r="K236" s="100">
        <f t="shared" ca="1" si="64"/>
        <v>14296.238930061927</v>
      </c>
      <c r="L236" s="101">
        <f t="shared" ca="1" si="65"/>
        <v>604741.28011195792</v>
      </c>
      <c r="M236" s="12"/>
      <c r="N236" s="12"/>
      <c r="O236" s="12"/>
      <c r="Q236" s="118">
        <f t="shared" ca="1" si="58"/>
        <v>185.98890870586141</v>
      </c>
      <c r="R236" s="119">
        <f t="shared" ca="1" si="48"/>
        <v>31</v>
      </c>
      <c r="S236" s="120">
        <v>365</v>
      </c>
      <c r="AC236" s="224">
        <v>5310</v>
      </c>
      <c r="AD236" s="225">
        <f t="shared" ca="1" si="52"/>
        <v>14080.768034383158</v>
      </c>
      <c r="AE236" s="226">
        <f t="shared" ca="1" si="53"/>
        <v>51445</v>
      </c>
      <c r="AF236" s="227">
        <f t="shared" ca="1" si="54"/>
        <v>14080.768034383158</v>
      </c>
      <c r="AG236" s="225">
        <f t="shared" ca="1" si="55"/>
        <v>14296.238930061927</v>
      </c>
      <c r="AH236" s="220"/>
      <c r="AI236" s="97"/>
      <c r="AJ236" s="97"/>
      <c r="AK236" s="97"/>
      <c r="AL236" s="97"/>
      <c r="AM236" s="97"/>
      <c r="AP236" s="157"/>
      <c r="AQ236" s="186"/>
      <c r="AR236" s="186"/>
      <c r="AS236" s="187"/>
      <c r="AT236" s="188"/>
      <c r="AU236" s="188"/>
      <c r="AV236" s="189"/>
      <c r="AW236" s="188"/>
      <c r="AX236" s="189"/>
      <c r="AY236" s="188"/>
      <c r="AZ236" s="190"/>
    </row>
    <row r="237" spans="1:52" ht="15.5" x14ac:dyDescent="0.35">
      <c r="A237" s="197">
        <f t="shared" si="49"/>
        <v>63</v>
      </c>
      <c r="B237" s="98">
        <f t="shared" si="56"/>
        <v>178</v>
      </c>
      <c r="C237" s="99">
        <f t="shared" ca="1" si="59"/>
        <v>51475</v>
      </c>
      <c r="D237" s="100">
        <f t="shared" ca="1" si="60"/>
        <v>604741.28011195792</v>
      </c>
      <c r="E237" s="100">
        <f t="shared" ca="1" si="61"/>
        <v>7801.1625134442575</v>
      </c>
      <c r="F237" s="100">
        <f t="shared" ca="1" si="62"/>
        <v>612542.44262540212</v>
      </c>
      <c r="G237" s="100">
        <f t="shared" ca="1" si="57"/>
        <v>6279.6055209388969</v>
      </c>
      <c r="H237" s="100">
        <f t="shared" ca="1" si="50"/>
        <v>14080.768034383154</v>
      </c>
      <c r="I237" s="100">
        <f t="shared" ca="1" si="63"/>
        <v>103.41075889914481</v>
      </c>
      <c r="J237" s="100">
        <f t="shared" ca="1" si="51"/>
        <v>111</v>
      </c>
      <c r="K237" s="100">
        <f t="shared" ca="1" si="64"/>
        <v>14295.178793282299</v>
      </c>
      <c r="L237" s="101">
        <f t="shared" ca="1" si="65"/>
        <v>598461.67459101905</v>
      </c>
      <c r="M237" s="12"/>
      <c r="N237" s="12"/>
      <c r="O237" s="12"/>
      <c r="Q237" s="118">
        <f t="shared" ca="1" si="58"/>
        <v>188.38816562816689</v>
      </c>
      <c r="R237" s="119">
        <f t="shared" ca="1" si="48"/>
        <v>30</v>
      </c>
      <c r="S237" s="120">
        <v>365</v>
      </c>
      <c r="AC237" s="224">
        <v>5340</v>
      </c>
      <c r="AD237" s="225">
        <f t="shared" ca="1" si="52"/>
        <v>14080.768034383154</v>
      </c>
      <c r="AE237" s="226">
        <f t="shared" ca="1" si="53"/>
        <v>51475</v>
      </c>
      <c r="AF237" s="227">
        <f t="shared" ca="1" si="54"/>
        <v>14080.768034383154</v>
      </c>
      <c r="AG237" s="225">
        <f t="shared" ca="1" si="55"/>
        <v>14295.178793282299</v>
      </c>
      <c r="AH237" s="220"/>
      <c r="AI237" s="97"/>
      <c r="AJ237" s="97"/>
      <c r="AK237" s="97"/>
      <c r="AL237" s="97"/>
      <c r="AM237" s="97"/>
      <c r="AP237" s="157"/>
      <c r="AQ237" s="191"/>
      <c r="AR237" s="191"/>
      <c r="AS237" s="192"/>
      <c r="AT237" s="193"/>
      <c r="AU237" s="193"/>
      <c r="AV237" s="194"/>
      <c r="AW237" s="193"/>
      <c r="AX237" s="194"/>
      <c r="AY237" s="193"/>
      <c r="AZ237" s="195"/>
    </row>
    <row r="238" spans="1:52" ht="15.5" x14ac:dyDescent="0.35">
      <c r="A238" s="197">
        <f t="shared" si="49"/>
        <v>62</v>
      </c>
      <c r="B238" s="98">
        <f t="shared" si="56"/>
        <v>179</v>
      </c>
      <c r="C238" s="99">
        <f t="shared" ca="1" si="59"/>
        <v>51506</v>
      </c>
      <c r="D238" s="100">
        <f t="shared" ca="1" si="60"/>
        <v>598461.67459101905</v>
      </c>
      <c r="E238" s="100">
        <f t="shared" ca="1" si="61"/>
        <v>7720.1556022241457</v>
      </c>
      <c r="F238" s="100">
        <f t="shared" ca="1" si="62"/>
        <v>606181.83019324322</v>
      </c>
      <c r="G238" s="100">
        <f t="shared" ca="1" si="57"/>
        <v>6360.6124321590087</v>
      </c>
      <c r="H238" s="100">
        <f t="shared" ca="1" si="50"/>
        <v>14080.768034383154</v>
      </c>
      <c r="I238" s="100">
        <f t="shared" ca="1" si="63"/>
        <v>102.33694635506426</v>
      </c>
      <c r="J238" s="100">
        <f t="shared" ca="1" si="51"/>
        <v>111</v>
      </c>
      <c r="K238" s="100">
        <f t="shared" ca="1" si="64"/>
        <v>14294.104980738219</v>
      </c>
      <c r="L238" s="101">
        <f t="shared" ca="1" si="65"/>
        <v>592101.06215886003</v>
      </c>
      <c r="M238" s="12"/>
      <c r="N238" s="12"/>
      <c r="O238" s="12"/>
      <c r="Q238" s="118">
        <f t="shared" ca="1" si="58"/>
        <v>190.81837296477025</v>
      </c>
      <c r="R238" s="119">
        <f t="shared" ca="1" si="48"/>
        <v>31</v>
      </c>
      <c r="S238" s="120">
        <v>365</v>
      </c>
      <c r="AC238" s="224">
        <v>5370</v>
      </c>
      <c r="AD238" s="225">
        <f t="shared" ca="1" si="52"/>
        <v>14080.768034383154</v>
      </c>
      <c r="AE238" s="226">
        <f t="shared" ca="1" si="53"/>
        <v>51506</v>
      </c>
      <c r="AF238" s="227">
        <f t="shared" ca="1" si="54"/>
        <v>14080.768034383154</v>
      </c>
      <c r="AG238" s="225">
        <f t="shared" ca="1" si="55"/>
        <v>14294.104980738219</v>
      </c>
      <c r="AH238" s="220"/>
      <c r="AI238" s="97"/>
      <c r="AJ238" s="97"/>
      <c r="AK238" s="97"/>
      <c r="AL238" s="97"/>
      <c r="AM238" s="97"/>
      <c r="AP238" s="157"/>
      <c r="AQ238" s="186"/>
      <c r="AR238" s="186"/>
      <c r="AS238" s="187"/>
      <c r="AT238" s="188"/>
      <c r="AU238" s="188"/>
      <c r="AV238" s="189"/>
      <c r="AW238" s="188"/>
      <c r="AX238" s="189"/>
      <c r="AY238" s="188"/>
      <c r="AZ238" s="190"/>
    </row>
    <row r="239" spans="1:52" ht="15.5" x14ac:dyDescent="0.35">
      <c r="A239" s="197">
        <f t="shared" si="49"/>
        <v>61</v>
      </c>
      <c r="B239" s="98">
        <f t="shared" si="56"/>
        <v>180</v>
      </c>
      <c r="C239" s="99">
        <f t="shared" ca="1" si="59"/>
        <v>51537</v>
      </c>
      <c r="D239" s="100">
        <f t="shared" ca="1" si="60"/>
        <v>592101.06215886003</v>
      </c>
      <c r="E239" s="100">
        <f t="shared" ca="1" si="61"/>
        <v>7638.1037018492943</v>
      </c>
      <c r="F239" s="100">
        <f t="shared" ca="1" si="62"/>
        <v>599739.16586070939</v>
      </c>
      <c r="G239" s="100">
        <f t="shared" ca="1" si="57"/>
        <v>6442.66433253386</v>
      </c>
      <c r="H239" s="100">
        <f t="shared" ca="1" si="50"/>
        <v>14080.768034383154</v>
      </c>
      <c r="I239" s="100">
        <f t="shared" ca="1" si="63"/>
        <v>101.24928162916507</v>
      </c>
      <c r="J239" s="100">
        <f t="shared" ca="1" si="51"/>
        <v>111</v>
      </c>
      <c r="K239" s="100">
        <f t="shared" ca="1" si="64"/>
        <v>14293.017316012319</v>
      </c>
      <c r="L239" s="101">
        <f t="shared" ca="1" si="65"/>
        <v>585658.3978263262</v>
      </c>
      <c r="M239" s="12"/>
      <c r="N239" s="12"/>
      <c r="O239" s="12"/>
      <c r="Q239" s="118">
        <f t="shared" ca="1" si="58"/>
        <v>193.27992997601581</v>
      </c>
      <c r="R239" s="119">
        <f t="shared" ca="1" si="48"/>
        <v>31</v>
      </c>
      <c r="S239" s="120">
        <v>365</v>
      </c>
      <c r="AC239" s="224">
        <v>5400</v>
      </c>
      <c r="AD239" s="225">
        <f t="shared" ca="1" si="52"/>
        <v>14080.768034383154</v>
      </c>
      <c r="AE239" s="226">
        <f t="shared" ca="1" si="53"/>
        <v>51537</v>
      </c>
      <c r="AF239" s="227">
        <f t="shared" ca="1" si="54"/>
        <v>14080.768034383154</v>
      </c>
      <c r="AG239" s="225">
        <f t="shared" ca="1" si="55"/>
        <v>14293.017316012319</v>
      </c>
      <c r="AH239" s="220"/>
      <c r="AI239" s="97"/>
      <c r="AJ239" s="97"/>
      <c r="AK239" s="97"/>
      <c r="AL239" s="97"/>
      <c r="AM239" s="97"/>
      <c r="AP239" s="157"/>
      <c r="AQ239" s="191"/>
      <c r="AR239" s="191"/>
      <c r="AS239" s="192"/>
      <c r="AT239" s="193"/>
      <c r="AU239" s="193"/>
      <c r="AV239" s="194"/>
      <c r="AW239" s="193"/>
      <c r="AX239" s="194"/>
      <c r="AY239" s="193"/>
      <c r="AZ239" s="195"/>
    </row>
    <row r="240" spans="1:52" ht="15.5" x14ac:dyDescent="0.35">
      <c r="A240" s="197">
        <f t="shared" si="49"/>
        <v>60</v>
      </c>
      <c r="B240" s="98">
        <f t="shared" si="56"/>
        <v>181</v>
      </c>
      <c r="C240" s="99">
        <f t="shared" ca="1" si="59"/>
        <v>51565</v>
      </c>
      <c r="D240" s="100">
        <f t="shared" ca="1" si="60"/>
        <v>585658.3978263262</v>
      </c>
      <c r="E240" s="100">
        <f t="shared" ca="1" si="61"/>
        <v>7554.9933319596075</v>
      </c>
      <c r="F240" s="100">
        <f t="shared" ca="1" si="62"/>
        <v>593213.39115828578</v>
      </c>
      <c r="G240" s="100">
        <f t="shared" ca="1" si="57"/>
        <v>6525.7747024235468</v>
      </c>
      <c r="H240" s="100">
        <f t="shared" ca="1" si="50"/>
        <v>14080.768034383154</v>
      </c>
      <c r="I240" s="100">
        <f t="shared" ca="1" si="63"/>
        <v>100.14758602830179</v>
      </c>
      <c r="J240" s="100">
        <f t="shared" ca="1" si="51"/>
        <v>111</v>
      </c>
      <c r="K240" s="100">
        <f t="shared" ca="1" si="64"/>
        <v>14291.915620411457</v>
      </c>
      <c r="L240" s="101">
        <f t="shared" ca="1" si="65"/>
        <v>579132.62312390259</v>
      </c>
      <c r="M240" s="12"/>
      <c r="N240" s="12"/>
      <c r="O240" s="12"/>
      <c r="Q240" s="118">
        <f t="shared" ca="1" si="58"/>
        <v>195.77324107270641</v>
      </c>
      <c r="R240" s="119">
        <f t="shared" ca="1" si="48"/>
        <v>28</v>
      </c>
      <c r="S240" s="120">
        <v>365</v>
      </c>
      <c r="AC240" s="224">
        <v>5430</v>
      </c>
      <c r="AD240" s="225">
        <f t="shared" ca="1" si="52"/>
        <v>14080.768034383154</v>
      </c>
      <c r="AE240" s="226">
        <f t="shared" ca="1" si="53"/>
        <v>51565</v>
      </c>
      <c r="AF240" s="227">
        <f t="shared" ca="1" si="54"/>
        <v>14080.768034383154</v>
      </c>
      <c r="AG240" s="225">
        <f t="shared" ca="1" si="55"/>
        <v>14291.915620411457</v>
      </c>
      <c r="AH240" s="220"/>
      <c r="AI240" s="97"/>
      <c r="AJ240" s="97"/>
      <c r="AK240" s="97"/>
      <c r="AL240" s="97"/>
      <c r="AM240" s="97"/>
      <c r="AP240" s="157"/>
      <c r="AQ240" s="186"/>
      <c r="AR240" s="186"/>
      <c r="AS240" s="187"/>
      <c r="AT240" s="188"/>
      <c r="AU240" s="188"/>
      <c r="AV240" s="189"/>
      <c r="AW240" s="188"/>
      <c r="AX240" s="189"/>
      <c r="AY240" s="188"/>
      <c r="AZ240" s="190"/>
    </row>
    <row r="241" spans="1:52" ht="15.5" x14ac:dyDescent="0.35">
      <c r="A241" s="197">
        <f t="shared" si="49"/>
        <v>59</v>
      </c>
      <c r="B241" s="98">
        <f t="shared" si="56"/>
        <v>182</v>
      </c>
      <c r="C241" s="99">
        <f t="shared" ca="1" si="59"/>
        <v>51596</v>
      </c>
      <c r="D241" s="100">
        <f t="shared" ca="1" si="60"/>
        <v>579132.62312390259</v>
      </c>
      <c r="E241" s="100">
        <f t="shared" ca="1" si="61"/>
        <v>7470.8108382983437</v>
      </c>
      <c r="F241" s="100">
        <f t="shared" ca="1" si="62"/>
        <v>586603.43396220088</v>
      </c>
      <c r="G241" s="100">
        <f t="shared" ca="1" si="57"/>
        <v>6609.9571960848107</v>
      </c>
      <c r="H241" s="100">
        <f t="shared" ca="1" si="50"/>
        <v>14080.768034383154</v>
      </c>
      <c r="I241" s="100">
        <f t="shared" ca="1" si="63"/>
        <v>99.031678554187351</v>
      </c>
      <c r="J241" s="100">
        <f t="shared" ca="1" si="51"/>
        <v>111</v>
      </c>
      <c r="K241" s="100">
        <f t="shared" ca="1" si="64"/>
        <v>14290.799712937342</v>
      </c>
      <c r="L241" s="101">
        <f t="shared" ca="1" si="65"/>
        <v>572522.66592781781</v>
      </c>
      <c r="M241" s="12"/>
      <c r="N241" s="12"/>
      <c r="O241" s="12"/>
      <c r="Q241" s="118">
        <f t="shared" ca="1" si="58"/>
        <v>198.29871588254431</v>
      </c>
      <c r="R241" s="119">
        <f t="shared" ca="1" si="48"/>
        <v>31</v>
      </c>
      <c r="S241" s="120">
        <v>365</v>
      </c>
      <c r="AC241" s="224">
        <v>5460</v>
      </c>
      <c r="AD241" s="225">
        <f t="shared" ca="1" si="52"/>
        <v>14080.768034383154</v>
      </c>
      <c r="AE241" s="226">
        <f t="shared" ca="1" si="53"/>
        <v>51596</v>
      </c>
      <c r="AF241" s="227">
        <f t="shared" ca="1" si="54"/>
        <v>14080.768034383154</v>
      </c>
      <c r="AG241" s="225">
        <f t="shared" ca="1" si="55"/>
        <v>14290.799712937342</v>
      </c>
      <c r="AH241" s="220"/>
      <c r="AI241" s="97"/>
      <c r="AJ241" s="97"/>
      <c r="AK241" s="97"/>
      <c r="AL241" s="97"/>
      <c r="AM241" s="97"/>
      <c r="AP241" s="157"/>
      <c r="AQ241" s="191"/>
      <c r="AR241" s="191"/>
      <c r="AS241" s="192"/>
      <c r="AT241" s="193"/>
      <c r="AU241" s="193"/>
      <c r="AV241" s="194"/>
      <c r="AW241" s="193"/>
      <c r="AX241" s="194"/>
      <c r="AY241" s="193"/>
      <c r="AZ241" s="195"/>
    </row>
    <row r="242" spans="1:52" ht="15.5" x14ac:dyDescent="0.35">
      <c r="A242" s="197">
        <f t="shared" si="49"/>
        <v>58</v>
      </c>
      <c r="B242" s="98">
        <f t="shared" si="56"/>
        <v>183</v>
      </c>
      <c r="C242" s="99">
        <f t="shared" ca="1" si="59"/>
        <v>51626</v>
      </c>
      <c r="D242" s="100">
        <f t="shared" ca="1" si="60"/>
        <v>572522.66592781781</v>
      </c>
      <c r="E242" s="100">
        <f t="shared" ca="1" si="61"/>
        <v>7385.5423904688496</v>
      </c>
      <c r="F242" s="100">
        <f t="shared" ca="1" si="62"/>
        <v>579908.20831828669</v>
      </c>
      <c r="G242" s="100">
        <f t="shared" ca="1" si="57"/>
        <v>6695.2256439143048</v>
      </c>
      <c r="H242" s="100">
        <f t="shared" ca="1" si="50"/>
        <v>14080.768034383154</v>
      </c>
      <c r="I242" s="100">
        <f t="shared" ca="1" si="63"/>
        <v>97.901375873656846</v>
      </c>
      <c r="J242" s="100">
        <f t="shared" ca="1" si="51"/>
        <v>111</v>
      </c>
      <c r="K242" s="100">
        <f t="shared" ca="1" si="64"/>
        <v>14289.669410256811</v>
      </c>
      <c r="L242" s="101">
        <f t="shared" ca="1" si="65"/>
        <v>565827.4402839035</v>
      </c>
      <c r="M242" s="12"/>
      <c r="N242" s="12"/>
      <c r="O242" s="12"/>
      <c r="Q242" s="118">
        <f t="shared" ca="1" si="58"/>
        <v>200.85676931742913</v>
      </c>
      <c r="R242" s="119">
        <f t="shared" ca="1" si="48"/>
        <v>30</v>
      </c>
      <c r="S242" s="120">
        <v>365</v>
      </c>
      <c r="AC242" s="224">
        <v>5490</v>
      </c>
      <c r="AD242" s="225">
        <f t="shared" ca="1" si="52"/>
        <v>14080.768034383154</v>
      </c>
      <c r="AE242" s="226">
        <f t="shared" ca="1" si="53"/>
        <v>51626</v>
      </c>
      <c r="AF242" s="227">
        <f t="shared" ca="1" si="54"/>
        <v>14080.768034383154</v>
      </c>
      <c r="AG242" s="225">
        <f t="shared" ca="1" si="55"/>
        <v>14289.669410256811</v>
      </c>
      <c r="AH242" s="220"/>
      <c r="AI242" s="97"/>
      <c r="AJ242" s="97"/>
      <c r="AK242" s="97"/>
      <c r="AL242" s="97"/>
      <c r="AM242" s="97"/>
      <c r="AP242" s="157"/>
      <c r="AQ242" s="186"/>
      <c r="AR242" s="186"/>
      <c r="AS242" s="187"/>
      <c r="AT242" s="188"/>
      <c r="AU242" s="188"/>
      <c r="AV242" s="189"/>
      <c r="AW242" s="188"/>
      <c r="AX242" s="189"/>
      <c r="AY242" s="188"/>
      <c r="AZ242" s="190"/>
    </row>
    <row r="243" spans="1:52" ht="15.5" x14ac:dyDescent="0.35">
      <c r="A243" s="197">
        <f t="shared" si="49"/>
        <v>57</v>
      </c>
      <c r="B243" s="98">
        <f t="shared" si="56"/>
        <v>184</v>
      </c>
      <c r="C243" s="99">
        <f t="shared" ca="1" si="59"/>
        <v>51657</v>
      </c>
      <c r="D243" s="100">
        <f t="shared" ca="1" si="60"/>
        <v>565827.4402839035</v>
      </c>
      <c r="E243" s="100">
        <f t="shared" ca="1" si="61"/>
        <v>7299.1739796623551</v>
      </c>
      <c r="F243" s="100">
        <f t="shared" ca="1" si="62"/>
        <v>573126.61426356586</v>
      </c>
      <c r="G243" s="100">
        <f t="shared" ca="1" si="57"/>
        <v>6781.5940547207992</v>
      </c>
      <c r="H243" s="100">
        <f t="shared" ca="1" si="50"/>
        <v>14080.768034383154</v>
      </c>
      <c r="I243" s="100">
        <f t="shared" ca="1" si="63"/>
        <v>96.756492288547506</v>
      </c>
      <c r="J243" s="100">
        <f t="shared" ca="1" si="51"/>
        <v>111</v>
      </c>
      <c r="K243" s="100">
        <f t="shared" ca="1" si="64"/>
        <v>14288.524526671701</v>
      </c>
      <c r="L243" s="101">
        <f t="shared" ca="1" si="65"/>
        <v>559045.84622918267</v>
      </c>
      <c r="M243" s="12"/>
      <c r="N243" s="12"/>
      <c r="O243" s="12"/>
      <c r="Q243" s="118">
        <f t="shared" ca="1" si="58"/>
        <v>203.44782164162396</v>
      </c>
      <c r="R243" s="119">
        <f t="shared" ca="1" si="48"/>
        <v>31</v>
      </c>
      <c r="S243" s="120">
        <v>365</v>
      </c>
      <c r="AC243" s="224">
        <v>5520</v>
      </c>
      <c r="AD243" s="225">
        <f t="shared" ca="1" si="52"/>
        <v>14080.768034383154</v>
      </c>
      <c r="AE243" s="226">
        <f t="shared" ca="1" si="53"/>
        <v>51657</v>
      </c>
      <c r="AF243" s="227">
        <f t="shared" ca="1" si="54"/>
        <v>14080.768034383154</v>
      </c>
      <c r="AG243" s="225">
        <f t="shared" ca="1" si="55"/>
        <v>14288.524526671701</v>
      </c>
      <c r="AH243" s="220"/>
      <c r="AI243" s="97"/>
      <c r="AJ243" s="97"/>
      <c r="AK243" s="97"/>
      <c r="AL243" s="97"/>
      <c r="AM243" s="97"/>
      <c r="AP243" s="157"/>
      <c r="AQ243" s="191"/>
      <c r="AR243" s="191"/>
      <c r="AS243" s="192"/>
      <c r="AT243" s="193"/>
      <c r="AU243" s="193"/>
      <c r="AV243" s="194"/>
      <c r="AW243" s="193"/>
      <c r="AX243" s="194"/>
      <c r="AY243" s="193"/>
      <c r="AZ243" s="195"/>
    </row>
    <row r="244" spans="1:52" ht="15.5" x14ac:dyDescent="0.35">
      <c r="A244" s="197">
        <f t="shared" si="49"/>
        <v>56</v>
      </c>
      <c r="B244" s="98">
        <f t="shared" si="56"/>
        <v>185</v>
      </c>
      <c r="C244" s="99">
        <f t="shared" ca="1" si="59"/>
        <v>51687</v>
      </c>
      <c r="D244" s="100">
        <f t="shared" ca="1" si="60"/>
        <v>559045.84622918267</v>
      </c>
      <c r="E244" s="100">
        <f t="shared" ca="1" si="61"/>
        <v>7211.6914163564561</v>
      </c>
      <c r="F244" s="100">
        <f t="shared" ca="1" si="62"/>
        <v>566257.53764553915</v>
      </c>
      <c r="G244" s="100">
        <f t="shared" ca="1" si="57"/>
        <v>6869.0766180266983</v>
      </c>
      <c r="H244" s="100">
        <f t="shared" ca="1" si="50"/>
        <v>14080.768034383154</v>
      </c>
      <c r="I244" s="100">
        <f t="shared" ca="1" si="63"/>
        <v>95.596839705190249</v>
      </c>
      <c r="J244" s="100">
        <f t="shared" ca="1" si="51"/>
        <v>111</v>
      </c>
      <c r="K244" s="100">
        <f t="shared" ca="1" si="64"/>
        <v>14287.364874088345</v>
      </c>
      <c r="L244" s="101">
        <f t="shared" ca="1" si="65"/>
        <v>552176.76961115596</v>
      </c>
      <c r="M244" s="12"/>
      <c r="N244" s="12"/>
      <c r="O244" s="12"/>
      <c r="Q244" s="118">
        <f t="shared" ca="1" si="58"/>
        <v>206.07229854080094</v>
      </c>
      <c r="R244" s="119">
        <f t="shared" ca="1" si="48"/>
        <v>30</v>
      </c>
      <c r="S244" s="120">
        <v>365</v>
      </c>
      <c r="AC244" s="224">
        <v>5550</v>
      </c>
      <c r="AD244" s="225">
        <f t="shared" ca="1" si="52"/>
        <v>14080.768034383154</v>
      </c>
      <c r="AE244" s="226">
        <f t="shared" ca="1" si="53"/>
        <v>51687</v>
      </c>
      <c r="AF244" s="227">
        <f t="shared" ca="1" si="54"/>
        <v>14080.768034383154</v>
      </c>
      <c r="AG244" s="225">
        <f t="shared" ca="1" si="55"/>
        <v>14287.364874088345</v>
      </c>
      <c r="AH244" s="220"/>
      <c r="AI244" s="97"/>
      <c r="AJ244" s="97"/>
      <c r="AK244" s="97"/>
      <c r="AL244" s="97"/>
      <c r="AM244" s="97"/>
      <c r="AP244" s="157"/>
      <c r="AQ244" s="186"/>
      <c r="AR244" s="186"/>
      <c r="AS244" s="187"/>
      <c r="AT244" s="188"/>
      <c r="AU244" s="188"/>
      <c r="AV244" s="189"/>
      <c r="AW244" s="188"/>
      <c r="AX244" s="189"/>
      <c r="AY244" s="188"/>
      <c r="AZ244" s="190"/>
    </row>
    <row r="245" spans="1:52" ht="15.5" x14ac:dyDescent="0.35">
      <c r="A245" s="197">
        <f t="shared" si="49"/>
        <v>55</v>
      </c>
      <c r="B245" s="98">
        <f t="shared" si="56"/>
        <v>186</v>
      </c>
      <c r="C245" s="99">
        <f t="shared" ca="1" si="59"/>
        <v>51718</v>
      </c>
      <c r="D245" s="100">
        <f t="shared" ca="1" si="60"/>
        <v>552176.76961115596</v>
      </c>
      <c r="E245" s="100">
        <f t="shared" ca="1" si="61"/>
        <v>7123.080327983912</v>
      </c>
      <c r="F245" s="100">
        <f t="shared" ca="1" si="62"/>
        <v>559299.84993913991</v>
      </c>
      <c r="G245" s="100">
        <f t="shared" ca="1" si="57"/>
        <v>6957.6877063992461</v>
      </c>
      <c r="H245" s="100">
        <f t="shared" ca="1" si="50"/>
        <v>14080.768034383158</v>
      </c>
      <c r="I245" s="100">
        <f t="shared" ca="1" si="63"/>
        <v>94.422227603507679</v>
      </c>
      <c r="J245" s="100">
        <f t="shared" ca="1" si="51"/>
        <v>111</v>
      </c>
      <c r="K245" s="100">
        <f t="shared" ca="1" si="64"/>
        <v>14286.190261986665</v>
      </c>
      <c r="L245" s="101">
        <f t="shared" ca="1" si="65"/>
        <v>545219.08190475672</v>
      </c>
      <c r="M245" s="12"/>
      <c r="N245" s="12"/>
      <c r="O245" s="12"/>
      <c r="Q245" s="118">
        <f t="shared" ca="1" si="58"/>
        <v>208.73063119197738</v>
      </c>
      <c r="R245" s="119">
        <f t="shared" ca="1" si="48"/>
        <v>31</v>
      </c>
      <c r="S245" s="120">
        <v>365</v>
      </c>
      <c r="AC245" s="224">
        <v>5580</v>
      </c>
      <c r="AD245" s="225">
        <f t="shared" ca="1" si="52"/>
        <v>14080.768034383158</v>
      </c>
      <c r="AE245" s="226">
        <f t="shared" ca="1" si="53"/>
        <v>51718</v>
      </c>
      <c r="AF245" s="227">
        <f t="shared" ca="1" si="54"/>
        <v>14080.768034383158</v>
      </c>
      <c r="AG245" s="225">
        <f t="shared" ca="1" si="55"/>
        <v>14286.190261986665</v>
      </c>
      <c r="AH245" s="220"/>
      <c r="AI245" s="97"/>
      <c r="AJ245" s="97"/>
      <c r="AK245" s="97"/>
      <c r="AL245" s="97"/>
      <c r="AM245" s="97"/>
      <c r="AP245" s="157"/>
      <c r="AQ245" s="191"/>
      <c r="AR245" s="191"/>
      <c r="AS245" s="192"/>
      <c r="AT245" s="193"/>
      <c r="AU245" s="193"/>
      <c r="AV245" s="194"/>
      <c r="AW245" s="193"/>
      <c r="AX245" s="194"/>
      <c r="AY245" s="193"/>
      <c r="AZ245" s="195"/>
    </row>
    <row r="246" spans="1:52" ht="15.5" x14ac:dyDescent="0.35">
      <c r="A246" s="197">
        <f t="shared" si="49"/>
        <v>54</v>
      </c>
      <c r="B246" s="98">
        <f t="shared" si="56"/>
        <v>187</v>
      </c>
      <c r="C246" s="99">
        <f t="shared" ca="1" si="59"/>
        <v>51749</v>
      </c>
      <c r="D246" s="100">
        <f t="shared" ca="1" si="60"/>
        <v>545219.08190475672</v>
      </c>
      <c r="E246" s="100">
        <f t="shared" ca="1" si="61"/>
        <v>7033.3261565713619</v>
      </c>
      <c r="F246" s="100">
        <f t="shared" ca="1" si="62"/>
        <v>552252.40806132811</v>
      </c>
      <c r="G246" s="100">
        <f t="shared" ca="1" si="57"/>
        <v>7047.4418778117924</v>
      </c>
      <c r="H246" s="100">
        <f t="shared" ca="1" si="50"/>
        <v>14080.768034383154</v>
      </c>
      <c r="I246" s="100">
        <f t="shared" ca="1" si="63"/>
        <v>93.232463005713399</v>
      </c>
      <c r="J246" s="100">
        <f t="shared" ca="1" si="51"/>
        <v>111</v>
      </c>
      <c r="K246" s="100">
        <f t="shared" ca="1" si="64"/>
        <v>14285.000497388868</v>
      </c>
      <c r="L246" s="101">
        <f t="shared" ca="1" si="65"/>
        <v>538171.64002694492</v>
      </c>
      <c r="M246" s="12"/>
      <c r="N246" s="12"/>
      <c r="O246" s="12"/>
      <c r="Q246" s="118">
        <f t="shared" ca="1" si="58"/>
        <v>211.42325633435377</v>
      </c>
      <c r="R246" s="119">
        <f t="shared" ca="1" si="48"/>
        <v>31</v>
      </c>
      <c r="S246" s="120">
        <v>365</v>
      </c>
      <c r="AC246" s="224">
        <v>5610</v>
      </c>
      <c r="AD246" s="225">
        <f t="shared" ca="1" si="52"/>
        <v>14080.768034383154</v>
      </c>
      <c r="AE246" s="226">
        <f t="shared" ca="1" si="53"/>
        <v>51749</v>
      </c>
      <c r="AF246" s="227">
        <f t="shared" ca="1" si="54"/>
        <v>14080.768034383154</v>
      </c>
      <c r="AG246" s="225">
        <f t="shared" ca="1" si="55"/>
        <v>14285.000497388868</v>
      </c>
      <c r="AH246" s="220"/>
      <c r="AI246" s="97"/>
      <c r="AJ246" s="97"/>
      <c r="AK246" s="97"/>
      <c r="AL246" s="97"/>
      <c r="AM246" s="97"/>
      <c r="AP246" s="157"/>
      <c r="AQ246" s="186"/>
      <c r="AR246" s="186"/>
      <c r="AS246" s="187"/>
      <c r="AT246" s="188"/>
      <c r="AU246" s="188"/>
      <c r="AV246" s="189"/>
      <c r="AW246" s="188"/>
      <c r="AX246" s="189"/>
      <c r="AY246" s="188"/>
      <c r="AZ246" s="190"/>
    </row>
    <row r="247" spans="1:52" ht="15.5" x14ac:dyDescent="0.35">
      <c r="A247" s="197">
        <f t="shared" si="49"/>
        <v>53</v>
      </c>
      <c r="B247" s="98">
        <f t="shared" si="56"/>
        <v>188</v>
      </c>
      <c r="C247" s="99">
        <f t="shared" ca="1" si="59"/>
        <v>51779</v>
      </c>
      <c r="D247" s="100">
        <f t="shared" ca="1" si="60"/>
        <v>538171.64002694492</v>
      </c>
      <c r="E247" s="100">
        <f t="shared" ca="1" si="61"/>
        <v>6942.4141563475896</v>
      </c>
      <c r="F247" s="100">
        <f t="shared" ca="1" si="62"/>
        <v>545114.05418329255</v>
      </c>
      <c r="G247" s="100">
        <f t="shared" ca="1" si="57"/>
        <v>7138.3538780355648</v>
      </c>
      <c r="H247" s="100">
        <f t="shared" ca="1" si="50"/>
        <v>14080.768034383154</v>
      </c>
      <c r="I247" s="100">
        <f t="shared" ca="1" si="63"/>
        <v>92.027350444607592</v>
      </c>
      <c r="J247" s="100">
        <f t="shared" ca="1" si="51"/>
        <v>111</v>
      </c>
      <c r="K247" s="100">
        <f t="shared" ca="1" si="64"/>
        <v>14283.795384827761</v>
      </c>
      <c r="L247" s="101">
        <f t="shared" ca="1" si="65"/>
        <v>531033.28614890936</v>
      </c>
      <c r="M247" s="12"/>
      <c r="N247" s="12"/>
      <c r="O247" s="12"/>
      <c r="Q247" s="118">
        <f t="shared" ca="1" si="58"/>
        <v>214.15061634106692</v>
      </c>
      <c r="R247" s="119">
        <f t="shared" ca="1" si="48"/>
        <v>30</v>
      </c>
      <c r="S247" s="120">
        <v>365</v>
      </c>
      <c r="AC247" s="224">
        <v>5640</v>
      </c>
      <c r="AD247" s="225">
        <f t="shared" ca="1" si="52"/>
        <v>14080.768034383154</v>
      </c>
      <c r="AE247" s="226">
        <f t="shared" ca="1" si="53"/>
        <v>51779</v>
      </c>
      <c r="AF247" s="227">
        <f t="shared" ca="1" si="54"/>
        <v>14080.768034383154</v>
      </c>
      <c r="AG247" s="225">
        <f t="shared" ca="1" si="55"/>
        <v>14283.795384827761</v>
      </c>
      <c r="AH247" s="220"/>
      <c r="AI247" s="97"/>
      <c r="AJ247" s="97"/>
      <c r="AK247" s="97"/>
      <c r="AL247" s="97"/>
      <c r="AM247" s="97"/>
      <c r="AP247" s="157"/>
      <c r="AQ247" s="191"/>
      <c r="AR247" s="191"/>
      <c r="AS247" s="192"/>
      <c r="AT247" s="193"/>
      <c r="AU247" s="193"/>
      <c r="AV247" s="194"/>
      <c r="AW247" s="193"/>
      <c r="AX247" s="194"/>
      <c r="AY247" s="193"/>
      <c r="AZ247" s="195"/>
    </row>
    <row r="248" spans="1:52" ht="15.5" x14ac:dyDescent="0.35">
      <c r="A248" s="197">
        <f t="shared" si="49"/>
        <v>52</v>
      </c>
      <c r="B248" s="98">
        <f t="shared" si="56"/>
        <v>189</v>
      </c>
      <c r="C248" s="99">
        <f t="shared" ca="1" si="59"/>
        <v>51810</v>
      </c>
      <c r="D248" s="100">
        <f t="shared" ca="1" si="60"/>
        <v>531033.28614890936</v>
      </c>
      <c r="E248" s="100">
        <f t="shared" ca="1" si="61"/>
        <v>6850.3293913209309</v>
      </c>
      <c r="F248" s="100">
        <f t="shared" ca="1" si="62"/>
        <v>537883.6155402303</v>
      </c>
      <c r="G248" s="100">
        <f t="shared" ca="1" si="57"/>
        <v>7230.4386430622235</v>
      </c>
      <c r="H248" s="100">
        <f t="shared" ca="1" si="50"/>
        <v>14080.768034383154</v>
      </c>
      <c r="I248" s="100">
        <f t="shared" ca="1" si="63"/>
        <v>90.806691931463504</v>
      </c>
      <c r="J248" s="100">
        <f t="shared" ca="1" si="51"/>
        <v>111</v>
      </c>
      <c r="K248" s="100">
        <f t="shared" ca="1" si="64"/>
        <v>14282.574726314619</v>
      </c>
      <c r="L248" s="101">
        <f t="shared" ca="1" si="65"/>
        <v>523802.84750584717</v>
      </c>
      <c r="M248" s="12"/>
      <c r="N248" s="12"/>
      <c r="O248" s="12"/>
      <c r="Q248" s="118">
        <f t="shared" ca="1" si="58"/>
        <v>216.91315929186669</v>
      </c>
      <c r="R248" s="119">
        <f t="shared" ca="1" si="48"/>
        <v>31</v>
      </c>
      <c r="S248" s="120">
        <v>365</v>
      </c>
      <c r="AC248" s="224">
        <v>5670</v>
      </c>
      <c r="AD248" s="225">
        <f t="shared" ca="1" si="52"/>
        <v>14080.768034383154</v>
      </c>
      <c r="AE248" s="226">
        <f t="shared" ca="1" si="53"/>
        <v>51810</v>
      </c>
      <c r="AF248" s="227">
        <f t="shared" ca="1" si="54"/>
        <v>14080.768034383154</v>
      </c>
      <c r="AG248" s="225">
        <f t="shared" ca="1" si="55"/>
        <v>14282.574726314619</v>
      </c>
      <c r="AH248" s="220"/>
      <c r="AI248" s="97"/>
      <c r="AJ248" s="97"/>
      <c r="AK248" s="97"/>
      <c r="AL248" s="97"/>
      <c r="AM248" s="97"/>
      <c r="AP248" s="157"/>
      <c r="AQ248" s="186"/>
      <c r="AR248" s="186"/>
      <c r="AS248" s="187"/>
      <c r="AT248" s="188"/>
      <c r="AU248" s="188"/>
      <c r="AV248" s="189"/>
      <c r="AW248" s="188"/>
      <c r="AX248" s="189"/>
      <c r="AY248" s="188"/>
      <c r="AZ248" s="190"/>
    </row>
    <row r="249" spans="1:52" ht="15.5" x14ac:dyDescent="0.35">
      <c r="A249" s="197">
        <f t="shared" si="49"/>
        <v>51</v>
      </c>
      <c r="B249" s="98">
        <f t="shared" si="56"/>
        <v>190</v>
      </c>
      <c r="C249" s="99">
        <f t="shared" ca="1" si="59"/>
        <v>51840</v>
      </c>
      <c r="D249" s="100">
        <f t="shared" ca="1" si="60"/>
        <v>523802.84750584717</v>
      </c>
      <c r="E249" s="100">
        <f t="shared" ca="1" si="61"/>
        <v>6757.0567328254283</v>
      </c>
      <c r="F249" s="100">
        <f t="shared" ca="1" si="62"/>
        <v>530559.90423867258</v>
      </c>
      <c r="G249" s="100">
        <f t="shared" ca="1" si="57"/>
        <v>7323.7113015577261</v>
      </c>
      <c r="H249" s="100">
        <f t="shared" ca="1" si="50"/>
        <v>14080.768034383154</v>
      </c>
      <c r="I249" s="100">
        <f t="shared" ca="1" si="63"/>
        <v>89.570286923499864</v>
      </c>
      <c r="J249" s="100">
        <f t="shared" ca="1" si="51"/>
        <v>111</v>
      </c>
      <c r="K249" s="100">
        <f t="shared" ca="1" si="64"/>
        <v>14281.338321306654</v>
      </c>
      <c r="L249" s="101">
        <f t="shared" ca="1" si="65"/>
        <v>516479.13620428945</v>
      </c>
      <c r="M249" s="12"/>
      <c r="N249" s="12"/>
      <c r="O249" s="12"/>
      <c r="Q249" s="118">
        <f t="shared" ca="1" si="58"/>
        <v>219.71133904673178</v>
      </c>
      <c r="R249" s="119">
        <f t="shared" ca="1" si="48"/>
        <v>30</v>
      </c>
      <c r="S249" s="120">
        <v>365</v>
      </c>
      <c r="AC249" s="224">
        <v>5700</v>
      </c>
      <c r="AD249" s="225">
        <f t="shared" ca="1" si="52"/>
        <v>14080.768034383154</v>
      </c>
      <c r="AE249" s="226">
        <f t="shared" ca="1" si="53"/>
        <v>51840</v>
      </c>
      <c r="AF249" s="227">
        <f t="shared" ca="1" si="54"/>
        <v>14080.768034383154</v>
      </c>
      <c r="AG249" s="225">
        <f t="shared" ca="1" si="55"/>
        <v>14281.338321306654</v>
      </c>
      <c r="AH249" s="220"/>
      <c r="AI249" s="97"/>
      <c r="AJ249" s="97"/>
      <c r="AK249" s="97"/>
      <c r="AL249" s="97"/>
      <c r="AM249" s="97"/>
      <c r="AP249" s="157"/>
      <c r="AQ249" s="191"/>
      <c r="AR249" s="191"/>
      <c r="AS249" s="192"/>
      <c r="AT249" s="193"/>
      <c r="AU249" s="193"/>
      <c r="AV249" s="194"/>
      <c r="AW249" s="193"/>
      <c r="AX249" s="194"/>
      <c r="AY249" s="193"/>
      <c r="AZ249" s="195"/>
    </row>
    <row r="250" spans="1:52" ht="15.5" x14ac:dyDescent="0.35">
      <c r="A250" s="197">
        <f t="shared" si="49"/>
        <v>50</v>
      </c>
      <c r="B250" s="98">
        <f t="shared" si="56"/>
        <v>191</v>
      </c>
      <c r="C250" s="99">
        <f t="shared" ca="1" si="59"/>
        <v>51871</v>
      </c>
      <c r="D250" s="100">
        <f t="shared" ca="1" si="60"/>
        <v>516479.13620428945</v>
      </c>
      <c r="E250" s="100">
        <f t="shared" ca="1" si="61"/>
        <v>6662.5808570353338</v>
      </c>
      <c r="F250" s="100">
        <f t="shared" ca="1" si="62"/>
        <v>523141.7170613248</v>
      </c>
      <c r="G250" s="100">
        <f t="shared" ca="1" si="57"/>
        <v>7418.1871773478206</v>
      </c>
      <c r="H250" s="100">
        <f t="shared" ca="1" si="50"/>
        <v>14080.768034383154</v>
      </c>
      <c r="I250" s="100">
        <f t="shared" ca="1" si="63"/>
        <v>88.317932290933499</v>
      </c>
      <c r="J250" s="100">
        <f t="shared" ca="1" si="51"/>
        <v>111</v>
      </c>
      <c r="K250" s="100">
        <f t="shared" ca="1" si="64"/>
        <v>14280.085966674087</v>
      </c>
      <c r="L250" s="101">
        <f t="shared" ca="1" si="65"/>
        <v>509060.94902694161</v>
      </c>
      <c r="M250" s="12"/>
      <c r="N250" s="12"/>
      <c r="O250" s="12"/>
      <c r="Q250" s="118">
        <f t="shared" ca="1" si="58"/>
        <v>222.54561532043462</v>
      </c>
      <c r="R250" s="119">
        <f t="shared" ca="1" si="48"/>
        <v>31</v>
      </c>
      <c r="S250" s="120">
        <v>365</v>
      </c>
      <c r="AC250" s="224">
        <v>5730</v>
      </c>
      <c r="AD250" s="225">
        <f t="shared" ca="1" si="52"/>
        <v>14080.768034383154</v>
      </c>
      <c r="AE250" s="226">
        <f t="shared" ca="1" si="53"/>
        <v>51871</v>
      </c>
      <c r="AF250" s="227">
        <f t="shared" ca="1" si="54"/>
        <v>14080.768034383154</v>
      </c>
      <c r="AG250" s="225">
        <f t="shared" ca="1" si="55"/>
        <v>14280.085966674087</v>
      </c>
      <c r="AH250" s="220"/>
      <c r="AI250" s="97"/>
      <c r="AJ250" s="97"/>
      <c r="AK250" s="97"/>
      <c r="AL250" s="97"/>
      <c r="AM250" s="97"/>
      <c r="AP250" s="157"/>
      <c r="AQ250" s="186"/>
      <c r="AR250" s="186"/>
      <c r="AS250" s="187"/>
      <c r="AT250" s="188"/>
      <c r="AU250" s="188"/>
      <c r="AV250" s="189"/>
      <c r="AW250" s="188"/>
      <c r="AX250" s="189"/>
      <c r="AY250" s="188"/>
      <c r="AZ250" s="190"/>
    </row>
    <row r="251" spans="1:52" ht="15.5" x14ac:dyDescent="0.35">
      <c r="A251" s="197">
        <f t="shared" si="49"/>
        <v>49</v>
      </c>
      <c r="B251" s="98">
        <f t="shared" si="56"/>
        <v>192</v>
      </c>
      <c r="C251" s="99">
        <f t="shared" ca="1" si="59"/>
        <v>51902</v>
      </c>
      <c r="D251" s="100">
        <f t="shared" ca="1" si="60"/>
        <v>509060.94902694161</v>
      </c>
      <c r="E251" s="100">
        <f t="shared" ca="1" si="61"/>
        <v>6566.8862424475465</v>
      </c>
      <c r="F251" s="100">
        <f t="shared" ca="1" si="62"/>
        <v>515627.83526938915</v>
      </c>
      <c r="G251" s="100">
        <f t="shared" ca="1" si="57"/>
        <v>7513.8817919356079</v>
      </c>
      <c r="H251" s="100">
        <f t="shared" ca="1" si="50"/>
        <v>14080.768034383154</v>
      </c>
      <c r="I251" s="100">
        <f t="shared" ca="1" si="63"/>
        <v>87.049422283607015</v>
      </c>
      <c r="J251" s="100">
        <f t="shared" ca="1" si="51"/>
        <v>111</v>
      </c>
      <c r="K251" s="100">
        <f t="shared" ca="1" si="64"/>
        <v>14278.817456666762</v>
      </c>
      <c r="L251" s="101">
        <f t="shared" ca="1" si="65"/>
        <v>501547.06723500602</v>
      </c>
      <c r="M251" s="12"/>
      <c r="N251" s="12"/>
      <c r="O251" s="12"/>
      <c r="Q251" s="118">
        <f t="shared" ca="1" si="58"/>
        <v>225.41645375806823</v>
      </c>
      <c r="R251" s="119">
        <f t="shared" ca="1" si="48"/>
        <v>31</v>
      </c>
      <c r="S251" s="120">
        <v>365</v>
      </c>
      <c r="AC251" s="224">
        <v>5760</v>
      </c>
      <c r="AD251" s="225">
        <f t="shared" ca="1" si="52"/>
        <v>14080.768034383154</v>
      </c>
      <c r="AE251" s="226">
        <f t="shared" ca="1" si="53"/>
        <v>51902</v>
      </c>
      <c r="AF251" s="227">
        <f t="shared" ca="1" si="54"/>
        <v>14080.768034383154</v>
      </c>
      <c r="AG251" s="225">
        <f t="shared" ca="1" si="55"/>
        <v>14278.817456666762</v>
      </c>
      <c r="AH251" s="220"/>
      <c r="AI251" s="97"/>
      <c r="AJ251" s="97"/>
      <c r="AK251" s="97"/>
      <c r="AL251" s="97"/>
      <c r="AM251" s="97"/>
      <c r="AP251" s="157"/>
      <c r="AQ251" s="191"/>
      <c r="AR251" s="191"/>
      <c r="AS251" s="192"/>
      <c r="AT251" s="193"/>
      <c r="AU251" s="193"/>
      <c r="AV251" s="194"/>
      <c r="AW251" s="193"/>
      <c r="AX251" s="194"/>
      <c r="AY251" s="193"/>
      <c r="AZ251" s="195"/>
    </row>
    <row r="252" spans="1:52" ht="15.5" x14ac:dyDescent="0.35">
      <c r="A252" s="197">
        <f t="shared" si="49"/>
        <v>48</v>
      </c>
      <c r="B252" s="98">
        <f t="shared" si="56"/>
        <v>193</v>
      </c>
      <c r="C252" s="99">
        <f t="shared" ca="1" si="59"/>
        <v>51930</v>
      </c>
      <c r="D252" s="100">
        <f t="shared" ca="1" si="60"/>
        <v>501547.06723500602</v>
      </c>
      <c r="E252" s="100">
        <f t="shared" ca="1" si="61"/>
        <v>6469.9571673315777</v>
      </c>
      <c r="F252" s="100">
        <f t="shared" ca="1" si="62"/>
        <v>508017.02440233761</v>
      </c>
      <c r="G252" s="100">
        <f t="shared" ca="1" si="57"/>
        <v>7610.8108670515767</v>
      </c>
      <c r="H252" s="100">
        <f t="shared" ca="1" si="50"/>
        <v>14080.768034383154</v>
      </c>
      <c r="I252" s="100">
        <f t="shared" ca="1" si="63"/>
        <v>85.764548497186027</v>
      </c>
      <c r="J252" s="100">
        <f t="shared" ca="1" si="51"/>
        <v>111</v>
      </c>
      <c r="K252" s="100">
        <f t="shared" ca="1" si="64"/>
        <v>14277.53258288034</v>
      </c>
      <c r="L252" s="101">
        <f t="shared" ca="1" si="65"/>
        <v>493936.25636795443</v>
      </c>
      <c r="M252" s="12"/>
      <c r="N252" s="12"/>
      <c r="O252" s="12"/>
      <c r="Q252" s="118">
        <f t="shared" ca="1" si="58"/>
        <v>228.3243260115473</v>
      </c>
      <c r="R252" s="119">
        <f t="shared" ref="R252:R294" ca="1" si="66">IF($B252&lt;=$J$21,C252-C251,)</f>
        <v>28</v>
      </c>
      <c r="S252" s="120">
        <v>365</v>
      </c>
      <c r="AC252" s="224">
        <v>5790</v>
      </c>
      <c r="AD252" s="225">
        <f t="shared" ca="1" si="52"/>
        <v>14080.768034383154</v>
      </c>
      <c r="AE252" s="226">
        <f t="shared" ca="1" si="53"/>
        <v>51930</v>
      </c>
      <c r="AF252" s="227">
        <f t="shared" ca="1" si="54"/>
        <v>14080.768034383154</v>
      </c>
      <c r="AG252" s="225">
        <f t="shared" ca="1" si="55"/>
        <v>14277.53258288034</v>
      </c>
      <c r="AH252" s="220"/>
      <c r="AI252" s="97"/>
      <c r="AJ252" s="97"/>
      <c r="AK252" s="97"/>
      <c r="AL252" s="97"/>
      <c r="AM252" s="97"/>
      <c r="AP252" s="157"/>
      <c r="AQ252" s="186"/>
      <c r="AR252" s="186"/>
      <c r="AS252" s="187"/>
      <c r="AT252" s="188"/>
      <c r="AU252" s="188"/>
      <c r="AV252" s="189"/>
      <c r="AW252" s="188"/>
      <c r="AX252" s="189"/>
      <c r="AY252" s="188"/>
      <c r="AZ252" s="190"/>
    </row>
    <row r="253" spans="1:52" ht="15.5" x14ac:dyDescent="0.35">
      <c r="A253" s="197">
        <f t="shared" ref="A253:A299" si="67">IFERROR(IF(A252-1&lt;1,"",A252-1),"")</f>
        <v>47</v>
      </c>
      <c r="B253" s="98">
        <f t="shared" si="56"/>
        <v>194</v>
      </c>
      <c r="C253" s="99">
        <f t="shared" ca="1" si="59"/>
        <v>51961</v>
      </c>
      <c r="D253" s="100">
        <f t="shared" ca="1" si="60"/>
        <v>493936.25636795443</v>
      </c>
      <c r="E253" s="100">
        <f t="shared" ca="1" si="61"/>
        <v>6371.7777071466116</v>
      </c>
      <c r="F253" s="100">
        <f t="shared" ca="1" si="62"/>
        <v>500308.03407510102</v>
      </c>
      <c r="G253" s="100">
        <f t="shared" ca="1" si="57"/>
        <v>7708.9903272365391</v>
      </c>
      <c r="H253" s="100">
        <f t="shared" ref="H253:H299" ca="1" si="68">IF($D$9&gt;=B253,0,IF(D253="","",
IF(SISTEMA_AMORTIZAÇÃO=PRICE_PRE,(PMT(TAXA,A253,$D253,)*-1),
IF(SISTEMA_AMORTIZAÇÃO=SAC_POS,(D253/A253)+(D253*TAXA)))))</f>
        <v>14080.768034383151</v>
      </c>
      <c r="I253" s="100">
        <f t="shared" ca="1" si="63"/>
        <v>84.463099838920215</v>
      </c>
      <c r="J253" s="100">
        <f t="shared" ref="J253:J316" ca="1" si="69">IF(B253="","",IF(L252="","",IF(L252=0,"",$K$33*$J$17)))</f>
        <v>111</v>
      </c>
      <c r="K253" s="100">
        <f t="shared" ca="1" si="64"/>
        <v>14276.231134222071</v>
      </c>
      <c r="L253" s="101">
        <f t="shared" ca="1" si="65"/>
        <v>486227.26604071789</v>
      </c>
      <c r="M253" s="12"/>
      <c r="N253" s="12"/>
      <c r="O253" s="12"/>
      <c r="Q253" s="118">
        <f t="shared" ca="1" si="58"/>
        <v>231.26970981709616</v>
      </c>
      <c r="R253" s="119">
        <f t="shared" ca="1" si="66"/>
        <v>31</v>
      </c>
      <c r="S253" s="120">
        <v>365</v>
      </c>
      <c r="AC253" s="224">
        <v>5820</v>
      </c>
      <c r="AD253" s="225">
        <f t="shared" ref="AD253:AD299" ca="1" si="70">IF(H253="",0,H253)</f>
        <v>14080.768034383151</v>
      </c>
      <c r="AE253" s="226">
        <f t="shared" ref="AE253:AE299" ca="1" si="71">IF(C253="",0,C253)</f>
        <v>51961</v>
      </c>
      <c r="AF253" s="227">
        <f t="shared" ref="AF253:AF299" ca="1" si="72">IF(AD253="",0,AD253)</f>
        <v>14080.768034383151</v>
      </c>
      <c r="AG253" s="225">
        <f t="shared" ref="AG253:AG299" ca="1" si="73">IF(K253="",0,K253)</f>
        <v>14276.231134222071</v>
      </c>
      <c r="AH253" s="220"/>
      <c r="AI253" s="97"/>
      <c r="AJ253" s="97"/>
      <c r="AK253" s="97"/>
      <c r="AL253" s="97"/>
      <c r="AM253" s="97"/>
      <c r="AP253" s="157"/>
      <c r="AQ253" s="191"/>
      <c r="AR253" s="191"/>
      <c r="AS253" s="192"/>
      <c r="AT253" s="193"/>
      <c r="AU253" s="193"/>
      <c r="AV253" s="194"/>
      <c r="AW253" s="193"/>
      <c r="AX253" s="194"/>
      <c r="AY253" s="193"/>
      <c r="AZ253" s="195"/>
    </row>
    <row r="254" spans="1:52" ht="15.5" x14ac:dyDescent="0.35">
      <c r="A254" s="197">
        <f t="shared" si="67"/>
        <v>46</v>
      </c>
      <c r="B254" s="98">
        <f t="shared" ref="B254:B299" si="74">IF(IF(AND(B253&gt;0,B253&lt;$J$21),B253+1,0)=0,"",IF(AND(B253&gt;0,B253&lt;$J$21),B253+1,0))</f>
        <v>195</v>
      </c>
      <c r="C254" s="99">
        <f t="shared" ca="1" si="59"/>
        <v>51991</v>
      </c>
      <c r="D254" s="100">
        <f t="shared" ca="1" si="60"/>
        <v>486227.26604071789</v>
      </c>
      <c r="E254" s="100">
        <f t="shared" ca="1" si="61"/>
        <v>6272.331731925261</v>
      </c>
      <c r="F254" s="100">
        <f t="shared" ca="1" si="62"/>
        <v>492499.59777264314</v>
      </c>
      <c r="G254" s="100">
        <f t="shared" ca="1" si="57"/>
        <v>7808.4363024578934</v>
      </c>
      <c r="H254" s="100">
        <f t="shared" ca="1" si="68"/>
        <v>14080.768034383154</v>
      </c>
      <c r="I254" s="100">
        <f t="shared" ca="1" si="63"/>
        <v>83.144862492962758</v>
      </c>
      <c r="J254" s="100">
        <f t="shared" ca="1" si="69"/>
        <v>111</v>
      </c>
      <c r="K254" s="100">
        <f t="shared" ca="1" si="64"/>
        <v>14274.912896876118</v>
      </c>
      <c r="L254" s="101">
        <f t="shared" ca="1" si="65"/>
        <v>478418.82973826001</v>
      </c>
      <c r="M254" s="12"/>
      <c r="N254" s="12"/>
      <c r="O254" s="12"/>
      <c r="Q254" s="118">
        <f t="shared" ca="1" si="58"/>
        <v>234.25308907373679</v>
      </c>
      <c r="R254" s="119">
        <f t="shared" ca="1" si="66"/>
        <v>30</v>
      </c>
      <c r="S254" s="120">
        <v>365</v>
      </c>
      <c r="AC254" s="224">
        <v>5850</v>
      </c>
      <c r="AD254" s="225">
        <f t="shared" ca="1" si="70"/>
        <v>14080.768034383154</v>
      </c>
      <c r="AE254" s="226">
        <f t="shared" ca="1" si="71"/>
        <v>51991</v>
      </c>
      <c r="AF254" s="227">
        <f t="shared" ca="1" si="72"/>
        <v>14080.768034383154</v>
      </c>
      <c r="AG254" s="225">
        <f t="shared" ca="1" si="73"/>
        <v>14274.912896876118</v>
      </c>
      <c r="AH254" s="220"/>
      <c r="AI254" s="97"/>
      <c r="AJ254" s="97"/>
      <c r="AK254" s="97"/>
      <c r="AL254" s="97"/>
      <c r="AM254" s="97"/>
      <c r="AP254" s="157"/>
      <c r="AQ254" s="186"/>
      <c r="AR254" s="186"/>
      <c r="AS254" s="187"/>
      <c r="AT254" s="188"/>
      <c r="AU254" s="188"/>
      <c r="AV254" s="189"/>
      <c r="AW254" s="188"/>
      <c r="AX254" s="189"/>
      <c r="AY254" s="188"/>
      <c r="AZ254" s="190"/>
    </row>
    <row r="255" spans="1:52" ht="15.5" x14ac:dyDescent="0.35">
      <c r="A255" s="197">
        <f t="shared" si="67"/>
        <v>45</v>
      </c>
      <c r="B255" s="98">
        <f t="shared" si="74"/>
        <v>196</v>
      </c>
      <c r="C255" s="99">
        <f t="shared" ca="1" si="59"/>
        <v>52022</v>
      </c>
      <c r="D255" s="100">
        <f t="shared" ca="1" si="60"/>
        <v>478418.82973826001</v>
      </c>
      <c r="E255" s="100">
        <f t="shared" ca="1" si="61"/>
        <v>6171.6029036235541</v>
      </c>
      <c r="F255" s="100">
        <f t="shared" ca="1" si="62"/>
        <v>484590.43264188356</v>
      </c>
      <c r="G255" s="100">
        <f t="shared" ca="1" si="57"/>
        <v>7909.1651307596003</v>
      </c>
      <c r="H255" s="100">
        <f t="shared" ca="1" si="68"/>
        <v>14080.768034383154</v>
      </c>
      <c r="I255" s="100">
        <f t="shared" ca="1" si="63"/>
        <v>81.809619885242469</v>
      </c>
      <c r="J255" s="100">
        <f t="shared" ca="1" si="69"/>
        <v>111</v>
      </c>
      <c r="K255" s="100">
        <f t="shared" ca="1" si="64"/>
        <v>14273.577654268396</v>
      </c>
      <c r="L255" s="101">
        <f t="shared" ca="1" si="65"/>
        <v>470509.66460750042</v>
      </c>
      <c r="M255" s="12"/>
      <c r="N255" s="12"/>
      <c r="O255" s="12"/>
      <c r="Q255" s="118">
        <f t="shared" ca="1" si="58"/>
        <v>237.274953922788</v>
      </c>
      <c r="R255" s="119">
        <f t="shared" ca="1" si="66"/>
        <v>31</v>
      </c>
      <c r="S255" s="120">
        <v>365</v>
      </c>
      <c r="AC255" s="224">
        <v>5880</v>
      </c>
      <c r="AD255" s="225">
        <f t="shared" ca="1" si="70"/>
        <v>14080.768034383154</v>
      </c>
      <c r="AE255" s="226">
        <f t="shared" ca="1" si="71"/>
        <v>52022</v>
      </c>
      <c r="AF255" s="227">
        <f t="shared" ca="1" si="72"/>
        <v>14080.768034383154</v>
      </c>
      <c r="AG255" s="225">
        <f t="shared" ca="1" si="73"/>
        <v>14273.577654268396</v>
      </c>
      <c r="AH255" s="220"/>
      <c r="AI255" s="97"/>
      <c r="AJ255" s="97"/>
      <c r="AK255" s="97"/>
      <c r="AL255" s="97"/>
      <c r="AM255" s="97"/>
      <c r="AP255" s="157"/>
      <c r="AQ255" s="191"/>
      <c r="AR255" s="191"/>
      <c r="AS255" s="192"/>
      <c r="AT255" s="193"/>
      <c r="AU255" s="193"/>
      <c r="AV255" s="194"/>
      <c r="AW255" s="193"/>
      <c r="AX255" s="194"/>
      <c r="AY255" s="193"/>
      <c r="AZ255" s="195"/>
    </row>
    <row r="256" spans="1:52" ht="15.5" x14ac:dyDescent="0.35">
      <c r="A256" s="197">
        <f t="shared" si="67"/>
        <v>44</v>
      </c>
      <c r="B256" s="98">
        <f t="shared" si="74"/>
        <v>197</v>
      </c>
      <c r="C256" s="99">
        <f t="shared" ca="1" si="59"/>
        <v>52052</v>
      </c>
      <c r="D256" s="100">
        <f t="shared" ca="1" si="60"/>
        <v>470509.66460750042</v>
      </c>
      <c r="E256" s="100">
        <f t="shared" ca="1" si="61"/>
        <v>6069.5746734367558</v>
      </c>
      <c r="F256" s="100">
        <f t="shared" ca="1" si="62"/>
        <v>476579.23928093718</v>
      </c>
      <c r="G256" s="100">
        <f t="shared" ca="1" si="57"/>
        <v>8011.1933609464022</v>
      </c>
      <c r="H256" s="100">
        <f t="shared" ca="1" si="68"/>
        <v>14080.768034383158</v>
      </c>
      <c r="I256" s="100">
        <f t="shared" ca="1" si="63"/>
        <v>80.45715264788258</v>
      </c>
      <c r="J256" s="100">
        <f t="shared" ca="1" si="69"/>
        <v>111</v>
      </c>
      <c r="K256" s="100">
        <f t="shared" ca="1" si="64"/>
        <v>14272.225187031041</v>
      </c>
      <c r="L256" s="101">
        <f t="shared" ca="1" si="65"/>
        <v>462498.47124655405</v>
      </c>
      <c r="M256" s="12"/>
      <c r="N256" s="12"/>
      <c r="O256" s="12"/>
      <c r="Q256" s="118">
        <f t="shared" ca="1" si="58"/>
        <v>240.33580082839205</v>
      </c>
      <c r="R256" s="119">
        <f t="shared" ca="1" si="66"/>
        <v>30</v>
      </c>
      <c r="S256" s="120">
        <v>365</v>
      </c>
      <c r="AC256" s="224">
        <v>5910</v>
      </c>
      <c r="AD256" s="225">
        <f t="shared" ca="1" si="70"/>
        <v>14080.768034383158</v>
      </c>
      <c r="AE256" s="226">
        <f t="shared" ca="1" si="71"/>
        <v>52052</v>
      </c>
      <c r="AF256" s="227">
        <f t="shared" ca="1" si="72"/>
        <v>14080.768034383158</v>
      </c>
      <c r="AG256" s="225">
        <f t="shared" ca="1" si="73"/>
        <v>14272.225187031041</v>
      </c>
      <c r="AH256" s="220"/>
      <c r="AI256" s="97"/>
      <c r="AJ256" s="97"/>
      <c r="AK256" s="97"/>
      <c r="AL256" s="97"/>
      <c r="AM256" s="97"/>
      <c r="AP256" s="157"/>
      <c r="AQ256" s="186"/>
      <c r="AR256" s="186"/>
      <c r="AS256" s="187"/>
      <c r="AT256" s="188"/>
      <c r="AU256" s="188"/>
      <c r="AV256" s="189"/>
      <c r="AW256" s="188"/>
      <c r="AX256" s="189"/>
      <c r="AY256" s="188"/>
      <c r="AZ256" s="190"/>
    </row>
    <row r="257" spans="1:52" ht="15.5" x14ac:dyDescent="0.35">
      <c r="A257" s="197">
        <f t="shared" si="67"/>
        <v>43</v>
      </c>
      <c r="B257" s="98">
        <f t="shared" si="74"/>
        <v>198</v>
      </c>
      <c r="C257" s="99">
        <f t="shared" ca="1" si="59"/>
        <v>52083</v>
      </c>
      <c r="D257" s="100">
        <f t="shared" ca="1" si="60"/>
        <v>462498.47124655405</v>
      </c>
      <c r="E257" s="100">
        <f t="shared" ca="1" si="61"/>
        <v>5966.230279080547</v>
      </c>
      <c r="F257" s="100">
        <f t="shared" ca="1" si="62"/>
        <v>468464.70152563462</v>
      </c>
      <c r="G257" s="100">
        <f t="shared" ca="1" si="57"/>
        <v>8114.537755302611</v>
      </c>
      <c r="H257" s="100">
        <f t="shared" ca="1" si="68"/>
        <v>14080.768034383158</v>
      </c>
      <c r="I257" s="100">
        <f t="shared" ca="1" si="63"/>
        <v>79.08723858316074</v>
      </c>
      <c r="J257" s="100">
        <f t="shared" ca="1" si="69"/>
        <v>111</v>
      </c>
      <c r="K257" s="100">
        <f t="shared" ca="1" si="64"/>
        <v>14270.855272966319</v>
      </c>
      <c r="L257" s="101">
        <f t="shared" ca="1" si="65"/>
        <v>454383.93349125143</v>
      </c>
      <c r="M257" s="12"/>
      <c r="N257" s="12"/>
      <c r="O257" s="12"/>
      <c r="Q257" s="118">
        <f t="shared" ca="1" si="58"/>
        <v>243.43613265907831</v>
      </c>
      <c r="R257" s="119">
        <f t="shared" ca="1" si="66"/>
        <v>31</v>
      </c>
      <c r="S257" s="120">
        <v>365</v>
      </c>
      <c r="AC257" s="224">
        <v>5940</v>
      </c>
      <c r="AD257" s="225">
        <f t="shared" ca="1" si="70"/>
        <v>14080.768034383158</v>
      </c>
      <c r="AE257" s="226">
        <f t="shared" ca="1" si="71"/>
        <v>52083</v>
      </c>
      <c r="AF257" s="227">
        <f t="shared" ca="1" si="72"/>
        <v>14080.768034383158</v>
      </c>
      <c r="AG257" s="225">
        <f t="shared" ca="1" si="73"/>
        <v>14270.855272966319</v>
      </c>
      <c r="AH257" s="220"/>
      <c r="AI257" s="97"/>
      <c r="AJ257" s="97"/>
      <c r="AK257" s="97"/>
      <c r="AL257" s="97"/>
      <c r="AM257" s="97"/>
      <c r="AP257" s="157"/>
      <c r="AQ257" s="191"/>
      <c r="AR257" s="191"/>
      <c r="AS257" s="192"/>
      <c r="AT257" s="193"/>
      <c r="AU257" s="193"/>
      <c r="AV257" s="194"/>
      <c r="AW257" s="193"/>
      <c r="AX257" s="194"/>
      <c r="AY257" s="193"/>
      <c r="AZ257" s="195"/>
    </row>
    <row r="258" spans="1:52" ht="15.5" x14ac:dyDescent="0.35">
      <c r="A258" s="197">
        <f t="shared" si="67"/>
        <v>42</v>
      </c>
      <c r="B258" s="98">
        <f t="shared" si="74"/>
        <v>199</v>
      </c>
      <c r="C258" s="99">
        <f t="shared" ca="1" si="59"/>
        <v>52114</v>
      </c>
      <c r="D258" s="100">
        <f t="shared" ca="1" si="60"/>
        <v>454383.93349125143</v>
      </c>
      <c r="E258" s="100">
        <f t="shared" ca="1" si="61"/>
        <v>5861.5527420371436</v>
      </c>
      <c r="F258" s="100">
        <f t="shared" ca="1" si="62"/>
        <v>460245.4862332886</v>
      </c>
      <c r="G258" s="100">
        <f t="shared" ca="1" si="57"/>
        <v>8219.2152923460108</v>
      </c>
      <c r="H258" s="100">
        <f t="shared" ca="1" si="68"/>
        <v>14080.768034383154</v>
      </c>
      <c r="I258" s="100">
        <f t="shared" ca="1" si="63"/>
        <v>77.699652627003999</v>
      </c>
      <c r="J258" s="100">
        <f t="shared" ca="1" si="69"/>
        <v>111</v>
      </c>
      <c r="K258" s="100">
        <f t="shared" ca="1" si="64"/>
        <v>14269.467687010158</v>
      </c>
      <c r="L258" s="101">
        <f t="shared" ca="1" si="65"/>
        <v>446164.71819890541</v>
      </c>
      <c r="M258" s="12"/>
      <c r="N258" s="12"/>
      <c r="O258" s="12"/>
      <c r="Q258" s="118">
        <f t="shared" ca="1" si="58"/>
        <v>246.57645877038033</v>
      </c>
      <c r="R258" s="119">
        <f t="shared" ca="1" si="66"/>
        <v>31</v>
      </c>
      <c r="S258" s="120">
        <v>365</v>
      </c>
      <c r="AC258" s="224">
        <v>5970</v>
      </c>
      <c r="AD258" s="225">
        <f t="shared" ca="1" si="70"/>
        <v>14080.768034383154</v>
      </c>
      <c r="AE258" s="226">
        <f t="shared" ca="1" si="71"/>
        <v>52114</v>
      </c>
      <c r="AF258" s="227">
        <f t="shared" ca="1" si="72"/>
        <v>14080.768034383154</v>
      </c>
      <c r="AG258" s="225">
        <f t="shared" ca="1" si="73"/>
        <v>14269.467687010158</v>
      </c>
      <c r="AH258" s="220"/>
      <c r="AI258" s="97"/>
      <c r="AJ258" s="97"/>
      <c r="AK258" s="97"/>
      <c r="AL258" s="97"/>
      <c r="AM258" s="97"/>
      <c r="AP258" s="157"/>
      <c r="AQ258" s="186"/>
      <c r="AR258" s="186"/>
      <c r="AS258" s="187"/>
      <c r="AT258" s="188"/>
      <c r="AU258" s="188"/>
      <c r="AV258" s="189"/>
      <c r="AW258" s="188"/>
      <c r="AX258" s="189"/>
      <c r="AY258" s="188"/>
      <c r="AZ258" s="190"/>
    </row>
    <row r="259" spans="1:52" ht="15.5" x14ac:dyDescent="0.35">
      <c r="A259" s="197">
        <f t="shared" si="67"/>
        <v>41</v>
      </c>
      <c r="B259" s="98">
        <f t="shared" si="74"/>
        <v>200</v>
      </c>
      <c r="C259" s="99">
        <f t="shared" ca="1" si="59"/>
        <v>52144</v>
      </c>
      <c r="D259" s="100">
        <f t="shared" ca="1" si="60"/>
        <v>446164.71819890541</v>
      </c>
      <c r="E259" s="100">
        <f t="shared" ca="1" si="61"/>
        <v>5755.52486476588</v>
      </c>
      <c r="F259" s="100">
        <f t="shared" ca="1" si="62"/>
        <v>451920.24306367128</v>
      </c>
      <c r="G259" s="100">
        <f t="shared" ca="1" si="57"/>
        <v>8325.2431696172753</v>
      </c>
      <c r="H259" s="100">
        <f t="shared" ca="1" si="68"/>
        <v>14080.768034383154</v>
      </c>
      <c r="I259" s="100">
        <f t="shared" ca="1" si="63"/>
        <v>76.294166812012833</v>
      </c>
      <c r="J259" s="100">
        <f t="shared" ca="1" si="69"/>
        <v>111</v>
      </c>
      <c r="K259" s="100">
        <f t="shared" ca="1" si="64"/>
        <v>14268.062201195167</v>
      </c>
      <c r="L259" s="101">
        <f t="shared" ca="1" si="65"/>
        <v>437839.47502928815</v>
      </c>
      <c r="M259" s="12"/>
      <c r="N259" s="12"/>
      <c r="O259" s="12"/>
      <c r="Q259" s="118">
        <f t="shared" ca="1" si="58"/>
        <v>249.75729508851825</v>
      </c>
      <c r="R259" s="119">
        <f t="shared" ca="1" si="66"/>
        <v>30</v>
      </c>
      <c r="S259" s="120">
        <v>365</v>
      </c>
      <c r="AA259" s="124"/>
      <c r="AC259" s="224">
        <v>6000</v>
      </c>
      <c r="AD259" s="225">
        <f t="shared" ca="1" si="70"/>
        <v>14080.768034383154</v>
      </c>
      <c r="AE259" s="226">
        <f t="shared" ca="1" si="71"/>
        <v>52144</v>
      </c>
      <c r="AF259" s="227">
        <f t="shared" ca="1" si="72"/>
        <v>14080.768034383154</v>
      </c>
      <c r="AG259" s="225">
        <f t="shared" ca="1" si="73"/>
        <v>14268.062201195167</v>
      </c>
      <c r="AH259" s="220"/>
      <c r="AI259" s="97"/>
      <c r="AJ259" s="97"/>
      <c r="AK259" s="97"/>
      <c r="AL259" s="97"/>
      <c r="AM259" s="97"/>
      <c r="AP259" s="157"/>
      <c r="AQ259" s="191"/>
      <c r="AR259" s="191"/>
      <c r="AS259" s="192"/>
      <c r="AT259" s="193"/>
      <c r="AU259" s="193"/>
      <c r="AV259" s="194"/>
      <c r="AW259" s="193"/>
      <c r="AX259" s="194"/>
      <c r="AY259" s="193"/>
      <c r="AZ259" s="195"/>
    </row>
    <row r="260" spans="1:52" ht="15.5" x14ac:dyDescent="0.35">
      <c r="A260" s="197">
        <f t="shared" si="67"/>
        <v>40</v>
      </c>
      <c r="B260" s="98">
        <f t="shared" si="74"/>
        <v>201</v>
      </c>
      <c r="C260" s="99">
        <f t="shared" ca="1" si="59"/>
        <v>52175</v>
      </c>
      <c r="D260" s="100">
        <f t="shared" ca="1" si="60"/>
        <v>437839.47502928815</v>
      </c>
      <c r="E260" s="100">
        <f t="shared" ca="1" si="61"/>
        <v>5648.1292278778174</v>
      </c>
      <c r="F260" s="100">
        <f t="shared" ca="1" si="62"/>
        <v>443487.60425716598</v>
      </c>
      <c r="G260" s="100">
        <f t="shared" ca="1" si="57"/>
        <v>8432.6388065053361</v>
      </c>
      <c r="H260" s="100">
        <f t="shared" ca="1" si="68"/>
        <v>14080.768034383154</v>
      </c>
      <c r="I260" s="100">
        <f t="shared" ca="1" si="63"/>
        <v>74.870550230008277</v>
      </c>
      <c r="J260" s="100">
        <f t="shared" ca="1" si="69"/>
        <v>111</v>
      </c>
      <c r="K260" s="100">
        <f t="shared" ca="1" si="64"/>
        <v>14266.638584613163</v>
      </c>
      <c r="L260" s="101">
        <f t="shared" ca="1" si="65"/>
        <v>429406.83622278279</v>
      </c>
      <c r="M260" s="12"/>
      <c r="N260" s="12"/>
      <c r="O260" s="12"/>
      <c r="Q260" s="118">
        <f t="shared" ca="1" si="58"/>
        <v>252.97916419516008</v>
      </c>
      <c r="R260" s="119">
        <f t="shared" ca="1" si="66"/>
        <v>31</v>
      </c>
      <c r="S260" s="120">
        <v>365</v>
      </c>
      <c r="AC260" s="224">
        <v>6030</v>
      </c>
      <c r="AD260" s="225">
        <f t="shared" ca="1" si="70"/>
        <v>14080.768034383154</v>
      </c>
      <c r="AE260" s="226">
        <f t="shared" ca="1" si="71"/>
        <v>52175</v>
      </c>
      <c r="AF260" s="227">
        <f t="shared" ca="1" si="72"/>
        <v>14080.768034383154</v>
      </c>
      <c r="AG260" s="225">
        <f t="shared" ca="1" si="73"/>
        <v>14266.638584613163</v>
      </c>
      <c r="AH260" s="220"/>
      <c r="AI260" s="97"/>
      <c r="AJ260" s="97"/>
      <c r="AK260" s="97"/>
      <c r="AL260" s="97"/>
      <c r="AM260" s="97"/>
      <c r="AP260" s="157"/>
      <c r="AQ260" s="186"/>
      <c r="AR260" s="186"/>
      <c r="AS260" s="187"/>
      <c r="AT260" s="188"/>
      <c r="AU260" s="188"/>
      <c r="AV260" s="189"/>
      <c r="AW260" s="188"/>
      <c r="AX260" s="189"/>
      <c r="AY260" s="188"/>
      <c r="AZ260" s="190"/>
    </row>
    <row r="261" spans="1:52" ht="15.5" x14ac:dyDescent="0.35">
      <c r="A261" s="197">
        <f t="shared" si="67"/>
        <v>39</v>
      </c>
      <c r="B261" s="98">
        <f t="shared" si="74"/>
        <v>202</v>
      </c>
      <c r="C261" s="99">
        <f t="shared" ca="1" si="59"/>
        <v>52205</v>
      </c>
      <c r="D261" s="100">
        <f t="shared" ca="1" si="60"/>
        <v>429406.83622278279</v>
      </c>
      <c r="E261" s="100">
        <f t="shared" ca="1" si="61"/>
        <v>5539.3481872738976</v>
      </c>
      <c r="F261" s="100">
        <f t="shared" ca="1" si="62"/>
        <v>434946.18441005668</v>
      </c>
      <c r="G261" s="100">
        <f t="shared" ca="1" si="57"/>
        <v>8541.4198471092604</v>
      </c>
      <c r="H261" s="100">
        <f t="shared" ca="1" si="68"/>
        <v>14080.768034383158</v>
      </c>
      <c r="I261" s="100">
        <f t="shared" ca="1" si="63"/>
        <v>73.428568994095855</v>
      </c>
      <c r="J261" s="100">
        <f t="shared" ca="1" si="69"/>
        <v>111</v>
      </c>
      <c r="K261" s="100">
        <f t="shared" ca="1" si="64"/>
        <v>14265.196603377253</v>
      </c>
      <c r="L261" s="101">
        <f t="shared" ca="1" si="65"/>
        <v>420865.41637567355</v>
      </c>
      <c r="M261" s="12"/>
      <c r="N261" s="12"/>
      <c r="O261" s="12"/>
      <c r="Q261" s="118">
        <f t="shared" ca="1" si="58"/>
        <v>256.2425954132778</v>
      </c>
      <c r="R261" s="119">
        <f t="shared" ca="1" si="66"/>
        <v>30</v>
      </c>
      <c r="S261" s="120">
        <v>365</v>
      </c>
      <c r="AC261" s="224">
        <v>6060</v>
      </c>
      <c r="AD261" s="225">
        <f t="shared" ca="1" si="70"/>
        <v>14080.768034383158</v>
      </c>
      <c r="AE261" s="226">
        <f t="shared" ca="1" si="71"/>
        <v>52205</v>
      </c>
      <c r="AF261" s="227">
        <f t="shared" ca="1" si="72"/>
        <v>14080.768034383158</v>
      </c>
      <c r="AG261" s="225">
        <f t="shared" ca="1" si="73"/>
        <v>14265.196603377253</v>
      </c>
      <c r="AH261" s="220"/>
      <c r="AI261" s="97"/>
      <c r="AJ261" s="97"/>
      <c r="AK261" s="97"/>
      <c r="AL261" s="97"/>
      <c r="AM261" s="97"/>
      <c r="AP261" s="157"/>
      <c r="AQ261" s="191"/>
      <c r="AR261" s="191"/>
      <c r="AS261" s="192"/>
      <c r="AT261" s="193"/>
      <c r="AU261" s="193"/>
      <c r="AV261" s="194"/>
      <c r="AW261" s="193"/>
      <c r="AX261" s="194"/>
      <c r="AY261" s="193"/>
      <c r="AZ261" s="195"/>
    </row>
    <row r="262" spans="1:52" s="124" customFormat="1" ht="15.5" x14ac:dyDescent="0.35">
      <c r="A262" s="197">
        <f t="shared" si="67"/>
        <v>38</v>
      </c>
      <c r="B262" s="98">
        <f t="shared" si="74"/>
        <v>203</v>
      </c>
      <c r="C262" s="99">
        <f t="shared" ca="1" si="59"/>
        <v>52236</v>
      </c>
      <c r="D262" s="100">
        <f t="shared" ca="1" si="60"/>
        <v>420865.41637567355</v>
      </c>
      <c r="E262" s="100">
        <f t="shared" ca="1" si="61"/>
        <v>5429.163871246189</v>
      </c>
      <c r="F262" s="100">
        <f t="shared" ca="1" si="62"/>
        <v>426294.58024691977</v>
      </c>
      <c r="G262" s="100">
        <f t="shared" ca="1" si="57"/>
        <v>8651.6041631369662</v>
      </c>
      <c r="H262" s="100">
        <f t="shared" ca="1" si="68"/>
        <v>14080.768034383154</v>
      </c>
      <c r="I262" s="100">
        <f t="shared" ca="1" si="63"/>
        <v>71.967986200240176</v>
      </c>
      <c r="J262" s="100">
        <f t="shared" ca="1" si="69"/>
        <v>111</v>
      </c>
      <c r="K262" s="100">
        <f t="shared" ca="1" si="64"/>
        <v>14263.736020583394</v>
      </c>
      <c r="L262" s="101">
        <f t="shared" ca="1" si="65"/>
        <v>412213.81221253658</v>
      </c>
      <c r="M262" s="12"/>
      <c r="N262" s="12"/>
      <c r="O262" s="12"/>
      <c r="P262" s="10"/>
      <c r="Q262" s="118">
        <f t="shared" ca="1" si="58"/>
        <v>259.54812489410898</v>
      </c>
      <c r="R262" s="119">
        <f t="shared" ca="1" si="66"/>
        <v>31</v>
      </c>
      <c r="S262" s="120">
        <v>365</v>
      </c>
      <c r="T262" s="10"/>
      <c r="U262" s="10"/>
      <c r="V262" s="10"/>
      <c r="W262" s="10"/>
      <c r="X262" s="10"/>
      <c r="Y262" s="10"/>
      <c r="Z262" s="10"/>
      <c r="AA262" s="10"/>
      <c r="AC262" s="224">
        <v>6090</v>
      </c>
      <c r="AD262" s="225">
        <f t="shared" ca="1" si="70"/>
        <v>14080.768034383154</v>
      </c>
      <c r="AE262" s="226">
        <f t="shared" ca="1" si="71"/>
        <v>52236</v>
      </c>
      <c r="AF262" s="227">
        <f t="shared" ca="1" si="72"/>
        <v>14080.768034383154</v>
      </c>
      <c r="AG262" s="225">
        <f t="shared" ca="1" si="73"/>
        <v>14263.736020583394</v>
      </c>
      <c r="AH262" s="220"/>
      <c r="AI262" s="97"/>
      <c r="AJ262" s="97"/>
      <c r="AK262" s="97"/>
      <c r="AL262" s="97"/>
      <c r="AM262" s="97"/>
      <c r="AP262" s="157"/>
      <c r="AQ262" s="186"/>
      <c r="AR262" s="186"/>
      <c r="AS262" s="187"/>
      <c r="AT262" s="188"/>
      <c r="AU262" s="188"/>
      <c r="AV262" s="189"/>
      <c r="AW262" s="188"/>
      <c r="AX262" s="189"/>
      <c r="AY262" s="188"/>
      <c r="AZ262" s="190"/>
    </row>
    <row r="263" spans="1:52" ht="15.5" x14ac:dyDescent="0.35">
      <c r="A263" s="197">
        <f t="shared" si="67"/>
        <v>37</v>
      </c>
      <c r="B263" s="98">
        <f t="shared" si="74"/>
        <v>204</v>
      </c>
      <c r="C263" s="99">
        <f t="shared" ca="1" si="59"/>
        <v>52267</v>
      </c>
      <c r="D263" s="100">
        <f t="shared" ca="1" si="60"/>
        <v>412213.81221253658</v>
      </c>
      <c r="E263" s="100">
        <f t="shared" ca="1" si="61"/>
        <v>5317.5581775417222</v>
      </c>
      <c r="F263" s="100">
        <f t="shared" ca="1" si="62"/>
        <v>417531.37039007829</v>
      </c>
      <c r="G263" s="100">
        <f t="shared" ca="1" si="57"/>
        <v>8763.2098568414331</v>
      </c>
      <c r="H263" s="100">
        <f t="shared" ca="1" si="68"/>
        <v>14080.768034383154</v>
      </c>
      <c r="I263" s="100">
        <f t="shared" ca="1" si="63"/>
        <v>70.488561888343753</v>
      </c>
      <c r="J263" s="100">
        <f t="shared" ca="1" si="69"/>
        <v>111</v>
      </c>
      <c r="K263" s="100">
        <f t="shared" ca="1" si="64"/>
        <v>14262.256596271498</v>
      </c>
      <c r="L263" s="101">
        <f t="shared" ca="1" si="65"/>
        <v>403450.60235569515</v>
      </c>
      <c r="M263" s="12"/>
      <c r="N263" s="12"/>
      <c r="O263" s="12"/>
      <c r="Q263" s="118">
        <f t="shared" ca="1" si="58"/>
        <v>262.89629570524301</v>
      </c>
      <c r="R263" s="119">
        <f t="shared" ca="1" si="66"/>
        <v>31</v>
      </c>
      <c r="S263" s="120">
        <v>365</v>
      </c>
      <c r="AC263" s="224">
        <v>6120</v>
      </c>
      <c r="AD263" s="225">
        <f t="shared" ca="1" si="70"/>
        <v>14080.768034383154</v>
      </c>
      <c r="AE263" s="226">
        <f t="shared" ca="1" si="71"/>
        <v>52267</v>
      </c>
      <c r="AF263" s="227">
        <f t="shared" ca="1" si="72"/>
        <v>14080.768034383154</v>
      </c>
      <c r="AG263" s="225">
        <f t="shared" ca="1" si="73"/>
        <v>14262.256596271498</v>
      </c>
      <c r="AH263" s="220"/>
      <c r="AI263" s="97"/>
      <c r="AJ263" s="97"/>
      <c r="AK263" s="97"/>
      <c r="AL263" s="97"/>
      <c r="AM263" s="97"/>
      <c r="AP263" s="157"/>
      <c r="AQ263" s="191"/>
      <c r="AR263" s="191"/>
      <c r="AS263" s="192"/>
      <c r="AT263" s="193"/>
      <c r="AU263" s="193"/>
      <c r="AV263" s="194"/>
      <c r="AW263" s="193"/>
      <c r="AX263" s="194"/>
      <c r="AY263" s="193"/>
      <c r="AZ263" s="195"/>
    </row>
    <row r="264" spans="1:52" ht="15.5" x14ac:dyDescent="0.35">
      <c r="A264" s="197">
        <f t="shared" si="67"/>
        <v>36</v>
      </c>
      <c r="B264" s="98">
        <f t="shared" si="74"/>
        <v>205</v>
      </c>
      <c r="C264" s="99">
        <f t="shared" ca="1" si="59"/>
        <v>52295</v>
      </c>
      <c r="D264" s="100">
        <f t="shared" ca="1" si="60"/>
        <v>403450.60235569515</v>
      </c>
      <c r="E264" s="100">
        <f t="shared" ca="1" si="61"/>
        <v>5204.5127703884673</v>
      </c>
      <c r="F264" s="100">
        <f t="shared" ca="1" si="62"/>
        <v>408655.1151260836</v>
      </c>
      <c r="G264" s="100">
        <f t="shared" ref="G264:G299" ca="1" si="75">IF($D$9&gt;=B264,0,IFERROR(IF(C264="","",IF(SISTEMA_AMORTIZAÇÃO=PRICE_PRE,H264-E264,
IF(SISTEMA_AMORTIZAÇÃO=SAC_PRE,D264/A264,
IF(SISTEMA_AMORTIZAÇÃO=SAC_POS,D264/A264,)))),""))</f>
        <v>8876.2552639946916</v>
      </c>
      <c r="H264" s="100">
        <f t="shared" ca="1" si="68"/>
        <v>14080.768034383158</v>
      </c>
      <c r="I264" s="100">
        <f t="shared" ca="1" si="63"/>
        <v>68.990053002823871</v>
      </c>
      <c r="J264" s="100">
        <f t="shared" ca="1" si="69"/>
        <v>111</v>
      </c>
      <c r="K264" s="100">
        <f t="shared" ca="1" si="64"/>
        <v>14260.758087385982</v>
      </c>
      <c r="L264" s="101">
        <f t="shared" ca="1" si="65"/>
        <v>394574.34709170047</v>
      </c>
      <c r="M264" s="12"/>
      <c r="N264" s="12"/>
      <c r="O264" s="12"/>
      <c r="Q264" s="118">
        <f t="shared" ref="Q264:Q298" ca="1" si="76">IFERROR(G264*$Q$44,0)</f>
        <v>266.28765791984074</v>
      </c>
      <c r="R264" s="119">
        <f t="shared" ca="1" si="66"/>
        <v>28</v>
      </c>
      <c r="S264" s="120">
        <v>365</v>
      </c>
      <c r="AC264" s="224">
        <v>6150</v>
      </c>
      <c r="AD264" s="225">
        <f t="shared" ca="1" si="70"/>
        <v>14080.768034383158</v>
      </c>
      <c r="AE264" s="226">
        <f t="shared" ca="1" si="71"/>
        <v>52295</v>
      </c>
      <c r="AF264" s="227">
        <f t="shared" ca="1" si="72"/>
        <v>14080.768034383158</v>
      </c>
      <c r="AG264" s="225">
        <f t="shared" ca="1" si="73"/>
        <v>14260.758087385982</v>
      </c>
      <c r="AH264" s="220"/>
      <c r="AI264" s="97"/>
      <c r="AJ264" s="97"/>
      <c r="AK264" s="97"/>
      <c r="AL264" s="97"/>
      <c r="AM264" s="97"/>
      <c r="AP264" s="157"/>
      <c r="AQ264" s="186"/>
      <c r="AR264" s="186"/>
      <c r="AS264" s="187"/>
      <c r="AT264" s="188"/>
      <c r="AU264" s="188"/>
      <c r="AV264" s="189"/>
      <c r="AW264" s="188"/>
      <c r="AX264" s="189"/>
      <c r="AY264" s="188"/>
      <c r="AZ264" s="190"/>
    </row>
    <row r="265" spans="1:52" ht="15.5" x14ac:dyDescent="0.35">
      <c r="A265" s="197">
        <f t="shared" si="67"/>
        <v>35</v>
      </c>
      <c r="B265" s="98">
        <f t="shared" si="74"/>
        <v>206</v>
      </c>
      <c r="C265" s="99">
        <f t="shared" ref="C265:C299" ca="1" si="77">IFERROR(IF(B265&lt;=$J$21,DATE(YEAR(C264),MONTH(C264)+1,DAY(C264)),""),"")</f>
        <v>52326</v>
      </c>
      <c r="D265" s="100">
        <f t="shared" ref="D265:D299" ca="1" si="78">IF(B265="","",L264)</f>
        <v>394574.34709170047</v>
      </c>
      <c r="E265" s="100">
        <f t="shared" ref="E265:E299" ca="1" si="79">IFERROR(D265*TAXA,"")</f>
        <v>5090.0090774829359</v>
      </c>
      <c r="F265" s="100">
        <f t="shared" ref="F265:F299" ca="1" si="80">IFERROR(D265+E265,"")</f>
        <v>399664.35616918339</v>
      </c>
      <c r="G265" s="100">
        <f t="shared" ca="1" si="75"/>
        <v>8990.758956900223</v>
      </c>
      <c r="H265" s="100">
        <f t="shared" ca="1" si="68"/>
        <v>14080.768034383158</v>
      </c>
      <c r="I265" s="100">
        <f t="shared" ref="I265:I299" ca="1" si="81">IFERROR(D265*$K$32,"")</f>
        <v>67.472213352680782</v>
      </c>
      <c r="J265" s="100">
        <f t="shared" ca="1" si="69"/>
        <v>111</v>
      </c>
      <c r="K265" s="100">
        <f t="shared" ref="K265:K299" ca="1" si="82">IFERROR(SUM(J265+I265+H265),"")</f>
        <v>14259.240247735839</v>
      </c>
      <c r="L265" s="101">
        <f t="shared" ref="L265:L299" ca="1" si="83">IFERROR(D265-G265,"")</f>
        <v>385583.58813480026</v>
      </c>
      <c r="M265" s="12"/>
      <c r="N265" s="12"/>
      <c r="O265" s="12"/>
      <c r="Q265" s="118">
        <f t="shared" ca="1" si="76"/>
        <v>269.72276870700671</v>
      </c>
      <c r="R265" s="119">
        <f t="shared" ca="1" si="66"/>
        <v>31</v>
      </c>
      <c r="S265" s="120">
        <v>365</v>
      </c>
      <c r="AC265" s="224">
        <v>6180</v>
      </c>
      <c r="AD265" s="225">
        <f t="shared" ca="1" si="70"/>
        <v>14080.768034383158</v>
      </c>
      <c r="AE265" s="226">
        <f t="shared" ca="1" si="71"/>
        <v>52326</v>
      </c>
      <c r="AF265" s="227">
        <f t="shared" ca="1" si="72"/>
        <v>14080.768034383158</v>
      </c>
      <c r="AG265" s="225">
        <f t="shared" ca="1" si="73"/>
        <v>14259.240247735839</v>
      </c>
      <c r="AH265" s="220"/>
      <c r="AI265" s="97"/>
      <c r="AJ265" s="97"/>
      <c r="AK265" s="97"/>
      <c r="AL265" s="97"/>
      <c r="AM265" s="97"/>
      <c r="AP265" s="157"/>
      <c r="AQ265" s="191"/>
      <c r="AR265" s="191"/>
      <c r="AS265" s="192"/>
      <c r="AT265" s="193"/>
      <c r="AU265" s="193"/>
      <c r="AV265" s="194"/>
      <c r="AW265" s="193"/>
      <c r="AX265" s="194"/>
      <c r="AY265" s="193"/>
      <c r="AZ265" s="195"/>
    </row>
    <row r="266" spans="1:52" ht="15.5" x14ac:dyDescent="0.35">
      <c r="A266" s="197">
        <f t="shared" si="67"/>
        <v>34</v>
      </c>
      <c r="B266" s="98">
        <f t="shared" si="74"/>
        <v>207</v>
      </c>
      <c r="C266" s="99">
        <f t="shared" ca="1" si="77"/>
        <v>52356</v>
      </c>
      <c r="D266" s="100">
        <f t="shared" ca="1" si="78"/>
        <v>385583.58813480026</v>
      </c>
      <c r="E266" s="100">
        <f t="shared" ca="1" si="79"/>
        <v>4974.028286938923</v>
      </c>
      <c r="F266" s="100">
        <f t="shared" ca="1" si="80"/>
        <v>390557.61642173916</v>
      </c>
      <c r="G266" s="100">
        <f t="shared" ca="1" si="75"/>
        <v>9106.739747444235</v>
      </c>
      <c r="H266" s="100">
        <f t="shared" ca="1" si="68"/>
        <v>14080.768034383158</v>
      </c>
      <c r="I266" s="100">
        <f t="shared" ca="1" si="81"/>
        <v>65.934793571050847</v>
      </c>
      <c r="J266" s="100">
        <f t="shared" ca="1" si="69"/>
        <v>111</v>
      </c>
      <c r="K266" s="100">
        <f t="shared" ca="1" si="82"/>
        <v>14257.702827954208</v>
      </c>
      <c r="L266" s="101">
        <f t="shared" ca="1" si="83"/>
        <v>376476.84838735603</v>
      </c>
      <c r="M266" s="12"/>
      <c r="N266" s="12"/>
      <c r="O266" s="12"/>
      <c r="Q266" s="118">
        <f t="shared" ca="1" si="76"/>
        <v>273.20219242332706</v>
      </c>
      <c r="R266" s="119">
        <f t="shared" ca="1" si="66"/>
        <v>30</v>
      </c>
      <c r="S266" s="120">
        <v>365</v>
      </c>
      <c r="AC266" s="224">
        <v>6210</v>
      </c>
      <c r="AD266" s="225">
        <f t="shared" ca="1" si="70"/>
        <v>14080.768034383158</v>
      </c>
      <c r="AE266" s="226">
        <f t="shared" ca="1" si="71"/>
        <v>52356</v>
      </c>
      <c r="AF266" s="227">
        <f t="shared" ca="1" si="72"/>
        <v>14080.768034383158</v>
      </c>
      <c r="AG266" s="225">
        <f t="shared" ca="1" si="73"/>
        <v>14257.702827954208</v>
      </c>
      <c r="AH266" s="220"/>
      <c r="AI266" s="97"/>
      <c r="AJ266" s="97"/>
      <c r="AK266" s="97"/>
      <c r="AL266" s="97"/>
      <c r="AM266" s="97"/>
      <c r="AP266" s="157"/>
      <c r="AQ266" s="186"/>
      <c r="AR266" s="186"/>
      <c r="AS266" s="187"/>
      <c r="AT266" s="188"/>
      <c r="AU266" s="188"/>
      <c r="AV266" s="189"/>
      <c r="AW266" s="188"/>
      <c r="AX266" s="189"/>
      <c r="AY266" s="188"/>
      <c r="AZ266" s="190"/>
    </row>
    <row r="267" spans="1:52" ht="15.5" x14ac:dyDescent="0.35">
      <c r="A267" s="197">
        <f t="shared" si="67"/>
        <v>33</v>
      </c>
      <c r="B267" s="98">
        <f t="shared" si="74"/>
        <v>208</v>
      </c>
      <c r="C267" s="99">
        <f t="shared" ca="1" si="77"/>
        <v>52387</v>
      </c>
      <c r="D267" s="100">
        <f t="shared" ca="1" si="78"/>
        <v>376476.84838735603</v>
      </c>
      <c r="E267" s="100">
        <f t="shared" ca="1" si="79"/>
        <v>4856.5513441968924</v>
      </c>
      <c r="F267" s="100">
        <f t="shared" ca="1" si="80"/>
        <v>381333.39973155293</v>
      </c>
      <c r="G267" s="100">
        <f t="shared" ca="1" si="75"/>
        <v>9224.2166901862656</v>
      </c>
      <c r="H267" s="100">
        <f t="shared" ca="1" si="68"/>
        <v>14080.768034383158</v>
      </c>
      <c r="I267" s="100">
        <f t="shared" ca="1" si="81"/>
        <v>64.377541074237882</v>
      </c>
      <c r="J267" s="100">
        <f t="shared" ca="1" si="69"/>
        <v>111</v>
      </c>
      <c r="K267" s="100">
        <f t="shared" ca="1" si="82"/>
        <v>14256.145575457396</v>
      </c>
      <c r="L267" s="101">
        <f t="shared" ca="1" si="83"/>
        <v>367252.63169716974</v>
      </c>
      <c r="M267" s="12"/>
      <c r="N267" s="12"/>
      <c r="O267" s="12"/>
      <c r="Q267" s="118">
        <f t="shared" ca="1" si="76"/>
        <v>276.72650070558797</v>
      </c>
      <c r="R267" s="119">
        <f t="shared" ca="1" si="66"/>
        <v>31</v>
      </c>
      <c r="S267" s="120">
        <v>365</v>
      </c>
      <c r="AC267" s="224">
        <v>6240</v>
      </c>
      <c r="AD267" s="225">
        <f t="shared" ca="1" si="70"/>
        <v>14080.768034383158</v>
      </c>
      <c r="AE267" s="226">
        <f t="shared" ca="1" si="71"/>
        <v>52387</v>
      </c>
      <c r="AF267" s="227">
        <f t="shared" ca="1" si="72"/>
        <v>14080.768034383158</v>
      </c>
      <c r="AG267" s="225">
        <f t="shared" ca="1" si="73"/>
        <v>14256.145575457396</v>
      </c>
      <c r="AH267" s="220"/>
      <c r="AI267" s="97"/>
      <c r="AJ267" s="97"/>
      <c r="AK267" s="97"/>
      <c r="AL267" s="97"/>
      <c r="AM267" s="97"/>
      <c r="AP267" s="157"/>
      <c r="AQ267" s="191"/>
      <c r="AR267" s="191"/>
      <c r="AS267" s="192"/>
      <c r="AT267" s="193"/>
      <c r="AU267" s="193"/>
      <c r="AV267" s="194"/>
      <c r="AW267" s="194"/>
      <c r="AX267" s="194"/>
      <c r="AY267" s="193"/>
      <c r="AZ267" s="195"/>
    </row>
    <row r="268" spans="1:52" ht="15.5" x14ac:dyDescent="0.35">
      <c r="A268" s="197">
        <f t="shared" si="67"/>
        <v>32</v>
      </c>
      <c r="B268" s="98">
        <f t="shared" si="74"/>
        <v>209</v>
      </c>
      <c r="C268" s="99">
        <f t="shared" ca="1" si="77"/>
        <v>52417</v>
      </c>
      <c r="D268" s="100">
        <f t="shared" ca="1" si="78"/>
        <v>367252.63169716974</v>
      </c>
      <c r="E268" s="100">
        <f t="shared" ca="1" si="79"/>
        <v>4737.5589488934893</v>
      </c>
      <c r="F268" s="100">
        <f t="shared" ca="1" si="80"/>
        <v>371990.19064606325</v>
      </c>
      <c r="G268" s="100">
        <f t="shared" ca="1" si="75"/>
        <v>9343.2090854896687</v>
      </c>
      <c r="H268" s="100">
        <f t="shared" ca="1" si="68"/>
        <v>14080.768034383158</v>
      </c>
      <c r="I268" s="100">
        <f t="shared" ca="1" si="81"/>
        <v>62.800200020216032</v>
      </c>
      <c r="J268" s="100">
        <f t="shared" ca="1" si="69"/>
        <v>111</v>
      </c>
      <c r="K268" s="100">
        <f t="shared" ca="1" si="82"/>
        <v>14254.568234403374</v>
      </c>
      <c r="L268" s="101">
        <f t="shared" ca="1" si="83"/>
        <v>357909.42261168006</v>
      </c>
      <c r="M268" s="12"/>
      <c r="N268" s="12"/>
      <c r="O268" s="12"/>
      <c r="Q268" s="118">
        <f t="shared" ca="1" si="76"/>
        <v>280.29627256469007</v>
      </c>
      <c r="R268" s="119">
        <f t="shared" ca="1" si="66"/>
        <v>30</v>
      </c>
      <c r="S268" s="120">
        <v>365</v>
      </c>
      <c r="AC268" s="224">
        <v>6270</v>
      </c>
      <c r="AD268" s="225">
        <f t="shared" ca="1" si="70"/>
        <v>14080.768034383158</v>
      </c>
      <c r="AE268" s="226">
        <f t="shared" ca="1" si="71"/>
        <v>52417</v>
      </c>
      <c r="AF268" s="227">
        <f t="shared" ca="1" si="72"/>
        <v>14080.768034383158</v>
      </c>
      <c r="AG268" s="225">
        <f t="shared" ca="1" si="73"/>
        <v>14254.568234403374</v>
      </c>
      <c r="AH268" s="220"/>
      <c r="AI268" s="97"/>
      <c r="AJ268" s="97"/>
      <c r="AK268" s="97"/>
      <c r="AL268" s="97"/>
      <c r="AM268" s="97"/>
      <c r="AP268" s="157"/>
      <c r="AQ268" s="186"/>
      <c r="AR268" s="186"/>
      <c r="AS268" s="187"/>
      <c r="AT268" s="188"/>
      <c r="AU268" s="188"/>
      <c r="AV268" s="189"/>
      <c r="AW268" s="189"/>
      <c r="AX268" s="189"/>
      <c r="AY268" s="188"/>
      <c r="AZ268" s="190"/>
    </row>
    <row r="269" spans="1:52" ht="15.5" x14ac:dyDescent="0.35">
      <c r="A269" s="197">
        <f t="shared" si="67"/>
        <v>31</v>
      </c>
      <c r="B269" s="98">
        <f t="shared" si="74"/>
        <v>210</v>
      </c>
      <c r="C269" s="99">
        <f t="shared" ca="1" si="77"/>
        <v>52448</v>
      </c>
      <c r="D269" s="100">
        <f t="shared" ca="1" si="78"/>
        <v>357909.42261168006</v>
      </c>
      <c r="E269" s="100">
        <f t="shared" ca="1" si="79"/>
        <v>4617.031551690673</v>
      </c>
      <c r="F269" s="100">
        <f t="shared" ca="1" si="80"/>
        <v>362526.45416337071</v>
      </c>
      <c r="G269" s="100">
        <f t="shared" ca="1" si="75"/>
        <v>9463.7364826924822</v>
      </c>
      <c r="H269" s="100">
        <f t="shared" ca="1" si="68"/>
        <v>14080.768034383154</v>
      </c>
      <c r="I269" s="100">
        <f t="shared" ca="1" si="81"/>
        <v>61.202511266597291</v>
      </c>
      <c r="J269" s="100">
        <f t="shared" ca="1" si="69"/>
        <v>111</v>
      </c>
      <c r="K269" s="100">
        <f t="shared" ca="1" si="82"/>
        <v>14252.970545649752</v>
      </c>
      <c r="L269" s="101">
        <f t="shared" ca="1" si="83"/>
        <v>348445.68612898758</v>
      </c>
      <c r="M269" s="12"/>
      <c r="N269" s="12"/>
      <c r="O269" s="12"/>
      <c r="Q269" s="118">
        <f t="shared" ca="1" si="76"/>
        <v>283.91209448077444</v>
      </c>
      <c r="R269" s="119">
        <f t="shared" ca="1" si="66"/>
        <v>31</v>
      </c>
      <c r="S269" s="120">
        <v>365</v>
      </c>
      <c r="AC269" s="224">
        <v>6300</v>
      </c>
      <c r="AD269" s="225">
        <f t="shared" ca="1" si="70"/>
        <v>14080.768034383154</v>
      </c>
      <c r="AE269" s="226">
        <f t="shared" ca="1" si="71"/>
        <v>52448</v>
      </c>
      <c r="AF269" s="227">
        <f t="shared" ca="1" si="72"/>
        <v>14080.768034383154</v>
      </c>
      <c r="AG269" s="225">
        <f t="shared" ca="1" si="73"/>
        <v>14252.970545649752</v>
      </c>
      <c r="AH269" s="220"/>
      <c r="AI269" s="97"/>
      <c r="AJ269" s="97"/>
      <c r="AK269" s="97"/>
      <c r="AL269" s="97"/>
      <c r="AM269" s="97"/>
      <c r="AP269" s="157"/>
      <c r="AQ269" s="191"/>
      <c r="AR269" s="191"/>
      <c r="AS269" s="192"/>
      <c r="AT269" s="193"/>
      <c r="AU269" s="193"/>
      <c r="AV269" s="194"/>
      <c r="AW269" s="194"/>
      <c r="AX269" s="194"/>
      <c r="AY269" s="193"/>
      <c r="AZ269" s="195"/>
    </row>
    <row r="270" spans="1:52" ht="15.5" x14ac:dyDescent="0.35">
      <c r="A270" s="197">
        <f t="shared" si="67"/>
        <v>30</v>
      </c>
      <c r="B270" s="98">
        <f t="shared" si="74"/>
        <v>211</v>
      </c>
      <c r="C270" s="99">
        <f t="shared" ca="1" si="77"/>
        <v>52479</v>
      </c>
      <c r="D270" s="100">
        <f t="shared" ca="1" si="78"/>
        <v>348445.68612898758</v>
      </c>
      <c r="E270" s="100">
        <f t="shared" ca="1" si="79"/>
        <v>4494.9493510639395</v>
      </c>
      <c r="F270" s="100">
        <f t="shared" ca="1" si="80"/>
        <v>352940.63548005151</v>
      </c>
      <c r="G270" s="100">
        <f t="shared" ca="1" si="75"/>
        <v>9585.8186833192194</v>
      </c>
      <c r="H270" s="100">
        <f t="shared" ca="1" si="68"/>
        <v>14080.768034383158</v>
      </c>
      <c r="I270" s="100">
        <f t="shared" ca="1" si="81"/>
        <v>59.584212328056879</v>
      </c>
      <c r="J270" s="100">
        <f t="shared" ca="1" si="69"/>
        <v>111</v>
      </c>
      <c r="K270" s="100">
        <f t="shared" ca="1" si="82"/>
        <v>14251.352246711214</v>
      </c>
      <c r="L270" s="101">
        <f t="shared" ca="1" si="83"/>
        <v>338859.86744566838</v>
      </c>
      <c r="M270" s="12"/>
      <c r="N270" s="12"/>
      <c r="O270" s="12"/>
      <c r="Q270" s="118">
        <f t="shared" ca="1" si="76"/>
        <v>287.57456049957659</v>
      </c>
      <c r="R270" s="119">
        <f t="shared" ca="1" si="66"/>
        <v>31</v>
      </c>
      <c r="S270" s="120">
        <v>365</v>
      </c>
      <c r="AC270" s="224">
        <v>6330</v>
      </c>
      <c r="AD270" s="225">
        <f t="shared" ca="1" si="70"/>
        <v>14080.768034383158</v>
      </c>
      <c r="AE270" s="226">
        <f t="shared" ca="1" si="71"/>
        <v>52479</v>
      </c>
      <c r="AF270" s="227">
        <f t="shared" ca="1" si="72"/>
        <v>14080.768034383158</v>
      </c>
      <c r="AG270" s="225">
        <f t="shared" ca="1" si="73"/>
        <v>14251.352246711214</v>
      </c>
      <c r="AH270" s="220"/>
      <c r="AI270" s="97"/>
      <c r="AJ270" s="97"/>
      <c r="AK270" s="97"/>
      <c r="AL270" s="97"/>
      <c r="AM270" s="97"/>
      <c r="AP270" s="157"/>
      <c r="AQ270" s="186"/>
      <c r="AR270" s="186"/>
      <c r="AS270" s="187"/>
      <c r="AT270" s="188"/>
      <c r="AU270" s="188"/>
      <c r="AV270" s="189"/>
      <c r="AW270" s="189"/>
      <c r="AX270" s="189"/>
      <c r="AY270" s="188"/>
      <c r="AZ270" s="190"/>
    </row>
    <row r="271" spans="1:52" ht="15.5" x14ac:dyDescent="0.35">
      <c r="A271" s="197">
        <f t="shared" si="67"/>
        <v>29</v>
      </c>
      <c r="B271" s="98">
        <f t="shared" si="74"/>
        <v>212</v>
      </c>
      <c r="C271" s="99">
        <f t="shared" ca="1" si="77"/>
        <v>52509</v>
      </c>
      <c r="D271" s="100">
        <f t="shared" ca="1" si="78"/>
        <v>338859.86744566838</v>
      </c>
      <c r="E271" s="100">
        <f t="shared" ca="1" si="79"/>
        <v>4371.2922900491221</v>
      </c>
      <c r="F271" s="100">
        <f t="shared" ca="1" si="80"/>
        <v>343231.15973571752</v>
      </c>
      <c r="G271" s="100">
        <f t="shared" ca="1" si="75"/>
        <v>9709.4757443340313</v>
      </c>
      <c r="H271" s="100">
        <f t="shared" ca="1" si="68"/>
        <v>14080.768034383154</v>
      </c>
      <c r="I271" s="100">
        <f t="shared" ca="1" si="81"/>
        <v>57.945037333209299</v>
      </c>
      <c r="J271" s="100">
        <f t="shared" ca="1" si="69"/>
        <v>111</v>
      </c>
      <c r="K271" s="100">
        <f t="shared" ca="1" si="82"/>
        <v>14249.713071716364</v>
      </c>
      <c r="L271" s="101">
        <f t="shared" ca="1" si="83"/>
        <v>329150.39170133433</v>
      </c>
      <c r="M271" s="12"/>
      <c r="N271" s="12"/>
      <c r="O271" s="12"/>
      <c r="Q271" s="118">
        <f t="shared" ca="1" si="76"/>
        <v>291.28427233002094</v>
      </c>
      <c r="R271" s="119">
        <f t="shared" ca="1" si="66"/>
        <v>30</v>
      </c>
      <c r="S271" s="120">
        <v>365</v>
      </c>
      <c r="Y271" s="124"/>
      <c r="AC271" s="224">
        <v>6360</v>
      </c>
      <c r="AD271" s="225">
        <f t="shared" ca="1" si="70"/>
        <v>14080.768034383154</v>
      </c>
      <c r="AE271" s="226">
        <f t="shared" ca="1" si="71"/>
        <v>52509</v>
      </c>
      <c r="AF271" s="227">
        <f t="shared" ca="1" si="72"/>
        <v>14080.768034383154</v>
      </c>
      <c r="AG271" s="225">
        <f t="shared" ca="1" si="73"/>
        <v>14249.713071716364</v>
      </c>
      <c r="AH271" s="220"/>
      <c r="AI271" s="97"/>
      <c r="AJ271" s="97"/>
      <c r="AK271" s="97"/>
      <c r="AL271" s="97"/>
      <c r="AM271" s="97"/>
      <c r="AP271" s="157"/>
      <c r="AQ271" s="191"/>
      <c r="AR271" s="191"/>
      <c r="AS271" s="192"/>
      <c r="AT271" s="193"/>
      <c r="AU271" s="193"/>
      <c r="AV271" s="194"/>
      <c r="AW271" s="194"/>
      <c r="AX271" s="194"/>
      <c r="AY271" s="193"/>
      <c r="AZ271" s="195"/>
    </row>
    <row r="272" spans="1:52" ht="15.5" x14ac:dyDescent="0.35">
      <c r="A272" s="197">
        <f t="shared" si="67"/>
        <v>28</v>
      </c>
      <c r="B272" s="98">
        <f t="shared" si="74"/>
        <v>213</v>
      </c>
      <c r="C272" s="99">
        <f t="shared" ca="1" si="77"/>
        <v>52540</v>
      </c>
      <c r="D272" s="100">
        <f t="shared" ca="1" si="78"/>
        <v>329150.39170133433</v>
      </c>
      <c r="E272" s="100">
        <f t="shared" ca="1" si="79"/>
        <v>4246.0400529472126</v>
      </c>
      <c r="F272" s="100">
        <f t="shared" ca="1" si="80"/>
        <v>333396.43175428157</v>
      </c>
      <c r="G272" s="100">
        <f t="shared" ca="1" si="75"/>
        <v>9834.7279814359426</v>
      </c>
      <c r="H272" s="100">
        <f t="shared" ca="1" si="68"/>
        <v>14080.768034383154</v>
      </c>
      <c r="I272" s="100">
        <f t="shared" ca="1" si="81"/>
        <v>56.284716980928174</v>
      </c>
      <c r="J272" s="100">
        <f t="shared" ca="1" si="69"/>
        <v>111</v>
      </c>
      <c r="K272" s="100">
        <f t="shared" ca="1" si="82"/>
        <v>14248.052751364083</v>
      </c>
      <c r="L272" s="101">
        <f t="shared" ca="1" si="83"/>
        <v>319315.66371989838</v>
      </c>
      <c r="M272" s="12"/>
      <c r="N272" s="12"/>
      <c r="O272" s="12"/>
      <c r="Q272" s="118">
        <f t="shared" ca="1" si="76"/>
        <v>295.04183944307829</v>
      </c>
      <c r="R272" s="119">
        <f t="shared" ca="1" si="66"/>
        <v>31</v>
      </c>
      <c r="S272" s="120">
        <v>365</v>
      </c>
      <c r="X272" s="124"/>
      <c r="AC272" s="224">
        <v>6390</v>
      </c>
      <c r="AD272" s="225">
        <f t="shared" ca="1" si="70"/>
        <v>14080.768034383154</v>
      </c>
      <c r="AE272" s="226">
        <f t="shared" ca="1" si="71"/>
        <v>52540</v>
      </c>
      <c r="AF272" s="227">
        <f t="shared" ca="1" si="72"/>
        <v>14080.768034383154</v>
      </c>
      <c r="AG272" s="225">
        <f t="shared" ca="1" si="73"/>
        <v>14248.052751364083</v>
      </c>
      <c r="AH272" s="220"/>
      <c r="AI272" s="97"/>
      <c r="AJ272" s="97"/>
      <c r="AK272" s="97"/>
      <c r="AL272" s="97"/>
      <c r="AM272" s="97"/>
      <c r="AP272" s="157"/>
      <c r="AQ272" s="186"/>
      <c r="AR272" s="186"/>
      <c r="AS272" s="187"/>
      <c r="AT272" s="188"/>
      <c r="AU272" s="188"/>
      <c r="AV272" s="189"/>
      <c r="AW272" s="189"/>
      <c r="AX272" s="189"/>
      <c r="AY272" s="188"/>
      <c r="AZ272" s="190"/>
    </row>
    <row r="273" spans="1:52" ht="15.5" x14ac:dyDescent="0.35">
      <c r="A273" s="197">
        <f t="shared" si="67"/>
        <v>27</v>
      </c>
      <c r="B273" s="98">
        <f t="shared" si="74"/>
        <v>214</v>
      </c>
      <c r="C273" s="99">
        <f t="shared" ca="1" si="77"/>
        <v>52570</v>
      </c>
      <c r="D273" s="100">
        <f t="shared" ca="1" si="78"/>
        <v>319315.66371989838</v>
      </c>
      <c r="E273" s="100">
        <f t="shared" ca="1" si="79"/>
        <v>4119.1720619866892</v>
      </c>
      <c r="F273" s="100">
        <f t="shared" ca="1" si="80"/>
        <v>323434.83578188508</v>
      </c>
      <c r="G273" s="100">
        <f t="shared" ca="1" si="75"/>
        <v>9961.5959723964661</v>
      </c>
      <c r="H273" s="100">
        <f t="shared" ca="1" si="68"/>
        <v>14080.768034383154</v>
      </c>
      <c r="I273" s="100">
        <f t="shared" ca="1" si="81"/>
        <v>54.602978496102629</v>
      </c>
      <c r="J273" s="100">
        <f t="shared" ca="1" si="69"/>
        <v>111</v>
      </c>
      <c r="K273" s="100">
        <f t="shared" ca="1" si="82"/>
        <v>14246.371012879257</v>
      </c>
      <c r="L273" s="101">
        <f t="shared" ca="1" si="83"/>
        <v>309354.06774750189</v>
      </c>
      <c r="M273" s="12"/>
      <c r="N273" s="12"/>
      <c r="O273" s="12"/>
      <c r="Q273" s="118">
        <f t="shared" ca="1" si="76"/>
        <v>298.84787917189396</v>
      </c>
      <c r="R273" s="119">
        <f t="shared" ca="1" si="66"/>
        <v>30</v>
      </c>
      <c r="S273" s="120">
        <v>365</v>
      </c>
      <c r="V273" s="124"/>
      <c r="W273" s="124"/>
      <c r="AC273" s="224">
        <v>6420</v>
      </c>
      <c r="AD273" s="225">
        <f t="shared" ca="1" si="70"/>
        <v>14080.768034383154</v>
      </c>
      <c r="AE273" s="226">
        <f t="shared" ca="1" si="71"/>
        <v>52570</v>
      </c>
      <c r="AF273" s="227">
        <f t="shared" ca="1" si="72"/>
        <v>14080.768034383154</v>
      </c>
      <c r="AG273" s="225">
        <f t="shared" ca="1" si="73"/>
        <v>14246.371012879257</v>
      </c>
      <c r="AH273" s="220"/>
      <c r="AI273" s="97"/>
      <c r="AJ273" s="97"/>
      <c r="AK273" s="97"/>
      <c r="AL273" s="97"/>
      <c r="AM273" s="97"/>
      <c r="AP273" s="157"/>
      <c r="AQ273" s="191"/>
      <c r="AR273" s="191"/>
      <c r="AS273" s="192"/>
      <c r="AT273" s="193"/>
      <c r="AU273" s="193"/>
      <c r="AV273" s="194"/>
      <c r="AW273" s="194"/>
      <c r="AX273" s="194"/>
      <c r="AY273" s="193"/>
      <c r="AZ273" s="195"/>
    </row>
    <row r="274" spans="1:52" ht="15.5" x14ac:dyDescent="0.35">
      <c r="A274" s="197">
        <f t="shared" si="67"/>
        <v>26</v>
      </c>
      <c r="B274" s="98">
        <f t="shared" si="74"/>
        <v>215</v>
      </c>
      <c r="C274" s="99">
        <f t="shared" ca="1" si="77"/>
        <v>52601</v>
      </c>
      <c r="D274" s="100">
        <f t="shared" ca="1" si="78"/>
        <v>309354.06774750189</v>
      </c>
      <c r="E274" s="100">
        <f t="shared" ca="1" si="79"/>
        <v>3990.6674739427744</v>
      </c>
      <c r="F274" s="100">
        <f t="shared" ca="1" si="80"/>
        <v>313344.73522144469</v>
      </c>
      <c r="G274" s="100">
        <f t="shared" ca="1" si="75"/>
        <v>10090.100560440376</v>
      </c>
      <c r="H274" s="100">
        <f t="shared" ca="1" si="68"/>
        <v>14080.768034383151</v>
      </c>
      <c r="I274" s="100">
        <f t="shared" ca="1" si="81"/>
        <v>52.899545584822825</v>
      </c>
      <c r="J274" s="100">
        <f t="shared" ca="1" si="69"/>
        <v>111</v>
      </c>
      <c r="K274" s="100">
        <f t="shared" ca="1" si="82"/>
        <v>14244.667579967974</v>
      </c>
      <c r="L274" s="101">
        <f t="shared" ca="1" si="83"/>
        <v>299263.9671870615</v>
      </c>
      <c r="M274" s="12"/>
      <c r="N274" s="12"/>
      <c r="O274" s="12"/>
      <c r="Q274" s="118">
        <f t="shared" ca="1" si="76"/>
        <v>302.70301681321126</v>
      </c>
      <c r="R274" s="119">
        <f t="shared" ca="1" si="66"/>
        <v>31</v>
      </c>
      <c r="S274" s="120">
        <v>365</v>
      </c>
      <c r="AC274" s="224">
        <v>6450</v>
      </c>
      <c r="AD274" s="225">
        <f t="shared" ca="1" si="70"/>
        <v>14080.768034383151</v>
      </c>
      <c r="AE274" s="226">
        <f t="shared" ca="1" si="71"/>
        <v>52601</v>
      </c>
      <c r="AF274" s="227">
        <f t="shared" ca="1" si="72"/>
        <v>14080.768034383151</v>
      </c>
      <c r="AG274" s="225">
        <f t="shared" ca="1" si="73"/>
        <v>14244.667579967974</v>
      </c>
      <c r="AH274" s="220"/>
      <c r="AI274" s="97"/>
      <c r="AJ274" s="97"/>
      <c r="AK274" s="97"/>
      <c r="AL274" s="97"/>
      <c r="AM274" s="97"/>
      <c r="AP274" s="157"/>
      <c r="AQ274" s="186"/>
      <c r="AR274" s="186"/>
      <c r="AS274" s="187"/>
      <c r="AT274" s="188"/>
      <c r="AU274" s="188"/>
      <c r="AV274" s="189"/>
      <c r="AW274" s="189"/>
      <c r="AX274" s="189"/>
      <c r="AY274" s="188"/>
      <c r="AZ274" s="190"/>
    </row>
    <row r="275" spans="1:52" ht="15.5" x14ac:dyDescent="0.35">
      <c r="A275" s="197">
        <f t="shared" si="67"/>
        <v>25</v>
      </c>
      <c r="B275" s="98">
        <f t="shared" si="74"/>
        <v>216</v>
      </c>
      <c r="C275" s="99">
        <f t="shared" ca="1" si="77"/>
        <v>52632</v>
      </c>
      <c r="D275" s="100">
        <f t="shared" ca="1" si="78"/>
        <v>299263.9671870615</v>
      </c>
      <c r="E275" s="100">
        <f t="shared" ca="1" si="79"/>
        <v>3860.5051767130935</v>
      </c>
      <c r="F275" s="100">
        <f t="shared" ca="1" si="80"/>
        <v>303124.47236377461</v>
      </c>
      <c r="G275" s="100">
        <f t="shared" ca="1" si="75"/>
        <v>10220.262857670061</v>
      </c>
      <c r="H275" s="100">
        <f t="shared" ca="1" si="68"/>
        <v>14080.768034383154</v>
      </c>
      <c r="I275" s="100">
        <f t="shared" ca="1" si="81"/>
        <v>51.174138388987522</v>
      </c>
      <c r="J275" s="100">
        <f t="shared" ca="1" si="69"/>
        <v>111</v>
      </c>
      <c r="K275" s="100">
        <f t="shared" ca="1" si="82"/>
        <v>14242.942172772142</v>
      </c>
      <c r="L275" s="101">
        <f t="shared" ca="1" si="83"/>
        <v>289043.70432939142</v>
      </c>
      <c r="M275" s="12"/>
      <c r="N275" s="12"/>
      <c r="O275" s="12"/>
      <c r="Q275" s="118">
        <f t="shared" ca="1" si="76"/>
        <v>306.60788573010183</v>
      </c>
      <c r="R275" s="119">
        <f t="shared" ca="1" si="66"/>
        <v>31</v>
      </c>
      <c r="S275" s="120">
        <v>365</v>
      </c>
      <c r="AC275" s="224">
        <v>6480</v>
      </c>
      <c r="AD275" s="225">
        <f t="shared" ca="1" si="70"/>
        <v>14080.768034383154</v>
      </c>
      <c r="AE275" s="226">
        <f t="shared" ca="1" si="71"/>
        <v>52632</v>
      </c>
      <c r="AF275" s="227">
        <f t="shared" ca="1" si="72"/>
        <v>14080.768034383154</v>
      </c>
      <c r="AG275" s="225">
        <f t="shared" ca="1" si="73"/>
        <v>14242.942172772142</v>
      </c>
      <c r="AH275" s="220"/>
      <c r="AI275" s="97"/>
      <c r="AJ275" s="97"/>
      <c r="AK275" s="97"/>
      <c r="AL275" s="97"/>
      <c r="AM275" s="97"/>
      <c r="AP275" s="157"/>
      <c r="AQ275" s="191"/>
      <c r="AR275" s="191"/>
      <c r="AS275" s="192"/>
      <c r="AT275" s="193"/>
      <c r="AU275" s="193"/>
      <c r="AV275" s="194"/>
      <c r="AW275" s="194"/>
      <c r="AX275" s="194"/>
      <c r="AY275" s="193"/>
      <c r="AZ275" s="195"/>
    </row>
    <row r="276" spans="1:52" ht="15.5" x14ac:dyDescent="0.35">
      <c r="A276" s="197">
        <f t="shared" si="67"/>
        <v>24</v>
      </c>
      <c r="B276" s="98">
        <f t="shared" si="74"/>
        <v>217</v>
      </c>
      <c r="C276" s="99">
        <f t="shared" ca="1" si="77"/>
        <v>52661</v>
      </c>
      <c r="D276" s="100">
        <f t="shared" ca="1" si="78"/>
        <v>289043.70432939142</v>
      </c>
      <c r="E276" s="100">
        <f t="shared" ca="1" si="79"/>
        <v>3728.6637858491495</v>
      </c>
      <c r="F276" s="100">
        <f t="shared" ca="1" si="80"/>
        <v>292772.36811524059</v>
      </c>
      <c r="G276" s="100">
        <f t="shared" ca="1" si="75"/>
        <v>10352.104248534</v>
      </c>
      <c r="H276" s="100">
        <f t="shared" ca="1" si="68"/>
        <v>14080.768034383151</v>
      </c>
      <c r="I276" s="100">
        <f t="shared" ca="1" si="81"/>
        <v>49.426473440325935</v>
      </c>
      <c r="J276" s="100">
        <f t="shared" ca="1" si="69"/>
        <v>111</v>
      </c>
      <c r="K276" s="100">
        <f t="shared" ca="1" si="82"/>
        <v>14241.194507823477</v>
      </c>
      <c r="L276" s="101">
        <f t="shared" ca="1" si="83"/>
        <v>278691.6000808574</v>
      </c>
      <c r="M276" s="12"/>
      <c r="N276" s="12"/>
      <c r="O276" s="12"/>
      <c r="Q276" s="118">
        <f t="shared" ca="1" si="76"/>
        <v>310.56312745602003</v>
      </c>
      <c r="R276" s="119">
        <f t="shared" ca="1" si="66"/>
        <v>29</v>
      </c>
      <c r="S276" s="120">
        <v>365</v>
      </c>
      <c r="AC276" s="224">
        <v>6510</v>
      </c>
      <c r="AD276" s="225">
        <f t="shared" ca="1" si="70"/>
        <v>14080.768034383151</v>
      </c>
      <c r="AE276" s="226">
        <f t="shared" ca="1" si="71"/>
        <v>52661</v>
      </c>
      <c r="AF276" s="227">
        <f t="shared" ca="1" si="72"/>
        <v>14080.768034383151</v>
      </c>
      <c r="AG276" s="225">
        <f t="shared" ca="1" si="73"/>
        <v>14241.194507823477</v>
      </c>
      <c r="AH276" s="220"/>
      <c r="AI276" s="97"/>
      <c r="AJ276" s="97"/>
      <c r="AK276" s="97"/>
      <c r="AL276" s="97"/>
      <c r="AM276" s="97"/>
      <c r="AP276" s="157"/>
      <c r="AQ276" s="186"/>
      <c r="AR276" s="186"/>
      <c r="AS276" s="187"/>
      <c r="AT276" s="188"/>
      <c r="AU276" s="188"/>
      <c r="AV276" s="189"/>
      <c r="AW276" s="189"/>
      <c r="AX276" s="189"/>
      <c r="AY276" s="188"/>
      <c r="AZ276" s="190"/>
    </row>
    <row r="277" spans="1:52" ht="15.5" x14ac:dyDescent="0.35">
      <c r="A277" s="197">
        <f t="shared" si="67"/>
        <v>23</v>
      </c>
      <c r="B277" s="98">
        <f t="shared" si="74"/>
        <v>218</v>
      </c>
      <c r="C277" s="99">
        <f t="shared" ca="1" si="77"/>
        <v>52692</v>
      </c>
      <c r="D277" s="100">
        <f t="shared" ca="1" si="78"/>
        <v>278691.6000808574</v>
      </c>
      <c r="E277" s="100">
        <f t="shared" ca="1" si="79"/>
        <v>3595.1216410430607</v>
      </c>
      <c r="F277" s="100">
        <f t="shared" ca="1" si="80"/>
        <v>282286.72172190045</v>
      </c>
      <c r="G277" s="100">
        <f t="shared" ca="1" si="75"/>
        <v>10485.646393340088</v>
      </c>
      <c r="H277" s="100">
        <f t="shared" ca="1" si="68"/>
        <v>14080.768034383149</v>
      </c>
      <c r="I277" s="100">
        <f t="shared" ca="1" si="81"/>
        <v>47.656263613826617</v>
      </c>
      <c r="J277" s="100">
        <f t="shared" ca="1" si="69"/>
        <v>111</v>
      </c>
      <c r="K277" s="100">
        <f t="shared" ca="1" si="82"/>
        <v>14239.424297996975</v>
      </c>
      <c r="L277" s="101">
        <f t="shared" ca="1" si="83"/>
        <v>268205.95368751732</v>
      </c>
      <c r="M277" s="12"/>
      <c r="N277" s="12"/>
      <c r="O277" s="12"/>
      <c r="Q277" s="118">
        <f t="shared" ca="1" si="76"/>
        <v>314.56939180020265</v>
      </c>
      <c r="R277" s="119">
        <f t="shared" ca="1" si="66"/>
        <v>31</v>
      </c>
      <c r="S277" s="120">
        <v>365</v>
      </c>
      <c r="AC277" s="224">
        <v>6540</v>
      </c>
      <c r="AD277" s="225">
        <f t="shared" ca="1" si="70"/>
        <v>14080.768034383149</v>
      </c>
      <c r="AE277" s="226">
        <f t="shared" ca="1" si="71"/>
        <v>52692</v>
      </c>
      <c r="AF277" s="227">
        <f t="shared" ca="1" si="72"/>
        <v>14080.768034383149</v>
      </c>
      <c r="AG277" s="225">
        <f t="shared" ca="1" si="73"/>
        <v>14239.424297996975</v>
      </c>
      <c r="AH277" s="220"/>
      <c r="AI277" s="97"/>
      <c r="AJ277" s="97"/>
      <c r="AK277" s="97"/>
      <c r="AL277" s="97"/>
      <c r="AM277" s="97"/>
      <c r="AP277" s="157"/>
      <c r="AQ277" s="191"/>
      <c r="AR277" s="191"/>
      <c r="AS277" s="192"/>
      <c r="AT277" s="193"/>
      <c r="AU277" s="193"/>
      <c r="AV277" s="194"/>
      <c r="AW277" s="194"/>
      <c r="AX277" s="194"/>
      <c r="AY277" s="193"/>
      <c r="AZ277" s="195"/>
    </row>
    <row r="278" spans="1:52" ht="15.5" x14ac:dyDescent="0.35">
      <c r="A278" s="197">
        <f t="shared" si="67"/>
        <v>22</v>
      </c>
      <c r="B278" s="98">
        <f t="shared" si="74"/>
        <v>219</v>
      </c>
      <c r="C278" s="99">
        <f t="shared" ca="1" si="77"/>
        <v>52722</v>
      </c>
      <c r="D278" s="100">
        <f t="shared" ca="1" si="78"/>
        <v>268205.95368751732</v>
      </c>
      <c r="E278" s="100">
        <f t="shared" ca="1" si="79"/>
        <v>3459.8568025689733</v>
      </c>
      <c r="F278" s="100">
        <f t="shared" ca="1" si="80"/>
        <v>271665.81049008627</v>
      </c>
      <c r="G278" s="100">
        <f t="shared" ca="1" si="75"/>
        <v>10620.911231814178</v>
      </c>
      <c r="H278" s="100">
        <f t="shared" ca="1" si="68"/>
        <v>14080.768034383151</v>
      </c>
      <c r="I278" s="100">
        <f t="shared" ca="1" si="81"/>
        <v>45.863218080565467</v>
      </c>
      <c r="J278" s="100">
        <f t="shared" ca="1" si="69"/>
        <v>111</v>
      </c>
      <c r="K278" s="100">
        <f t="shared" ca="1" si="82"/>
        <v>14237.631252463716</v>
      </c>
      <c r="L278" s="101">
        <f t="shared" ca="1" si="83"/>
        <v>257585.04245570314</v>
      </c>
      <c r="M278" s="12"/>
      <c r="N278" s="12"/>
      <c r="O278" s="12"/>
      <c r="Q278" s="118">
        <f t="shared" ca="1" si="76"/>
        <v>318.62733695442535</v>
      </c>
      <c r="R278" s="119">
        <f t="shared" ca="1" si="66"/>
        <v>30</v>
      </c>
      <c r="S278" s="120">
        <v>365</v>
      </c>
      <c r="AC278" s="224">
        <v>6570</v>
      </c>
      <c r="AD278" s="225">
        <f t="shared" ca="1" si="70"/>
        <v>14080.768034383151</v>
      </c>
      <c r="AE278" s="226">
        <f t="shared" ca="1" si="71"/>
        <v>52722</v>
      </c>
      <c r="AF278" s="227">
        <f t="shared" ca="1" si="72"/>
        <v>14080.768034383151</v>
      </c>
      <c r="AG278" s="225">
        <f t="shared" ca="1" si="73"/>
        <v>14237.631252463716</v>
      </c>
      <c r="AH278" s="220"/>
      <c r="AI278" s="97"/>
      <c r="AJ278" s="97"/>
      <c r="AK278" s="97"/>
      <c r="AL278" s="97"/>
      <c r="AM278" s="97"/>
      <c r="AP278" s="157"/>
      <c r="AQ278" s="186"/>
      <c r="AR278" s="186"/>
      <c r="AS278" s="187"/>
      <c r="AT278" s="188"/>
      <c r="AU278" s="188"/>
      <c r="AV278" s="189"/>
      <c r="AW278" s="189"/>
      <c r="AX278" s="189"/>
      <c r="AY278" s="188"/>
      <c r="AZ278" s="190"/>
    </row>
    <row r="279" spans="1:52" ht="15.5" x14ac:dyDescent="0.35">
      <c r="A279" s="197">
        <f t="shared" si="67"/>
        <v>21</v>
      </c>
      <c r="B279" s="98">
        <f t="shared" si="74"/>
        <v>220</v>
      </c>
      <c r="C279" s="99">
        <f t="shared" ca="1" si="77"/>
        <v>52753</v>
      </c>
      <c r="D279" s="100">
        <f t="shared" ca="1" si="78"/>
        <v>257585.04245570314</v>
      </c>
      <c r="E279" s="100">
        <f t="shared" ca="1" si="79"/>
        <v>3322.8470476785706</v>
      </c>
      <c r="F279" s="100">
        <f t="shared" ca="1" si="80"/>
        <v>260907.88950338171</v>
      </c>
      <c r="G279" s="100">
        <f t="shared" ca="1" si="75"/>
        <v>10757.920986704583</v>
      </c>
      <c r="H279" s="100">
        <f t="shared" ca="1" si="68"/>
        <v>14080.768034383154</v>
      </c>
      <c r="I279" s="100">
        <f t="shared" ca="1" si="81"/>
        <v>44.047042259925242</v>
      </c>
      <c r="J279" s="100">
        <f t="shared" ca="1" si="69"/>
        <v>111</v>
      </c>
      <c r="K279" s="100">
        <f t="shared" ca="1" si="82"/>
        <v>14235.815076643079</v>
      </c>
      <c r="L279" s="101">
        <f t="shared" ca="1" si="83"/>
        <v>246827.12146899855</v>
      </c>
      <c r="M279" s="12"/>
      <c r="N279" s="12"/>
      <c r="O279" s="12"/>
      <c r="Q279" s="118">
        <f t="shared" ca="1" si="76"/>
        <v>322.73762960113748</v>
      </c>
      <c r="R279" s="119">
        <f t="shared" ca="1" si="66"/>
        <v>31</v>
      </c>
      <c r="S279" s="120">
        <v>365</v>
      </c>
      <c r="AC279" s="224">
        <v>6600</v>
      </c>
      <c r="AD279" s="225">
        <f t="shared" ca="1" si="70"/>
        <v>14080.768034383154</v>
      </c>
      <c r="AE279" s="226">
        <f t="shared" ca="1" si="71"/>
        <v>52753</v>
      </c>
      <c r="AF279" s="227">
        <f t="shared" ca="1" si="72"/>
        <v>14080.768034383154</v>
      </c>
      <c r="AG279" s="225">
        <f t="shared" ca="1" si="73"/>
        <v>14235.815076643079</v>
      </c>
      <c r="AH279" s="220"/>
      <c r="AI279" s="97"/>
      <c r="AJ279" s="97"/>
      <c r="AK279" s="97"/>
      <c r="AL279" s="97"/>
      <c r="AM279" s="97"/>
      <c r="AP279" s="157"/>
      <c r="AQ279" s="191"/>
      <c r="AR279" s="191"/>
      <c r="AS279" s="192"/>
      <c r="AT279" s="193"/>
      <c r="AU279" s="193"/>
      <c r="AV279" s="194"/>
      <c r="AW279" s="194"/>
      <c r="AX279" s="194"/>
      <c r="AY279" s="193"/>
      <c r="AZ279" s="195"/>
    </row>
    <row r="280" spans="1:52" ht="15.5" x14ac:dyDescent="0.35">
      <c r="A280" s="197">
        <f t="shared" si="67"/>
        <v>20</v>
      </c>
      <c r="B280" s="98">
        <f t="shared" si="74"/>
        <v>221</v>
      </c>
      <c r="C280" s="99">
        <f t="shared" ca="1" si="77"/>
        <v>52783</v>
      </c>
      <c r="D280" s="100">
        <f t="shared" ca="1" si="78"/>
        <v>246827.12146899855</v>
      </c>
      <c r="E280" s="100">
        <f t="shared" ca="1" si="79"/>
        <v>3184.0698669500812</v>
      </c>
      <c r="F280" s="100">
        <f t="shared" ca="1" si="80"/>
        <v>250011.19133594862</v>
      </c>
      <c r="G280" s="100">
        <f t="shared" ca="1" si="75"/>
        <v>10896.698167433067</v>
      </c>
      <c r="H280" s="100">
        <f t="shared" ca="1" si="68"/>
        <v>14080.768034383149</v>
      </c>
      <c r="I280" s="100">
        <f t="shared" ca="1" si="81"/>
        <v>42.207437771198755</v>
      </c>
      <c r="J280" s="100">
        <f t="shared" ca="1" si="69"/>
        <v>111</v>
      </c>
      <c r="K280" s="100">
        <f t="shared" ca="1" si="82"/>
        <v>14233.975472154347</v>
      </c>
      <c r="L280" s="101">
        <f t="shared" ca="1" si="83"/>
        <v>235930.42330156549</v>
      </c>
      <c r="M280" s="12"/>
      <c r="N280" s="12"/>
      <c r="O280" s="12"/>
      <c r="Q280" s="118">
        <f t="shared" ca="1" si="76"/>
        <v>326.900945022992</v>
      </c>
      <c r="R280" s="119">
        <f t="shared" ca="1" si="66"/>
        <v>30</v>
      </c>
      <c r="S280" s="120">
        <v>365</v>
      </c>
      <c r="AC280" s="224">
        <v>6630</v>
      </c>
      <c r="AD280" s="225">
        <f t="shared" ca="1" si="70"/>
        <v>14080.768034383149</v>
      </c>
      <c r="AE280" s="226">
        <f t="shared" ca="1" si="71"/>
        <v>52783</v>
      </c>
      <c r="AF280" s="227">
        <f t="shared" ca="1" si="72"/>
        <v>14080.768034383149</v>
      </c>
      <c r="AG280" s="225">
        <f t="shared" ca="1" si="73"/>
        <v>14233.975472154347</v>
      </c>
      <c r="AH280" s="220"/>
      <c r="AI280" s="97"/>
      <c r="AJ280" s="97"/>
      <c r="AK280" s="97"/>
      <c r="AL280" s="97"/>
      <c r="AM280" s="97"/>
      <c r="AP280" s="157"/>
      <c r="AQ280" s="186"/>
      <c r="AR280" s="186"/>
      <c r="AS280" s="187"/>
      <c r="AT280" s="188"/>
      <c r="AU280" s="188"/>
      <c r="AV280" s="189"/>
      <c r="AW280" s="189"/>
      <c r="AX280" s="189"/>
      <c r="AY280" s="188"/>
      <c r="AZ280" s="190"/>
    </row>
    <row r="281" spans="1:52" ht="15.5" x14ac:dyDescent="0.35">
      <c r="A281" s="197">
        <f t="shared" si="67"/>
        <v>19</v>
      </c>
      <c r="B281" s="98">
        <f t="shared" si="74"/>
        <v>222</v>
      </c>
      <c r="C281" s="99">
        <f t="shared" ca="1" si="77"/>
        <v>52814</v>
      </c>
      <c r="D281" s="100">
        <f t="shared" ca="1" si="78"/>
        <v>235930.42330156549</v>
      </c>
      <c r="E281" s="100">
        <f t="shared" ca="1" si="79"/>
        <v>3043.5024605901949</v>
      </c>
      <c r="F281" s="100">
        <f t="shared" ca="1" si="80"/>
        <v>238973.92576215568</v>
      </c>
      <c r="G281" s="100">
        <f t="shared" ca="1" si="75"/>
        <v>11037.265573792956</v>
      </c>
      <c r="H281" s="100">
        <f t="shared" ca="1" si="68"/>
        <v>14080.768034383151</v>
      </c>
      <c r="I281" s="100">
        <f t="shared" ca="1" si="81"/>
        <v>40.344102384567698</v>
      </c>
      <c r="J281" s="100">
        <f t="shared" ca="1" si="69"/>
        <v>111</v>
      </c>
      <c r="K281" s="100">
        <f t="shared" ca="1" si="82"/>
        <v>14232.112136767719</v>
      </c>
      <c r="L281" s="101">
        <f t="shared" ca="1" si="83"/>
        <v>224893.15772777254</v>
      </c>
      <c r="M281" s="12"/>
      <c r="N281" s="12"/>
      <c r="O281" s="12"/>
      <c r="Q281" s="118">
        <f t="shared" ca="1" si="76"/>
        <v>331.11796721378869</v>
      </c>
      <c r="R281" s="119">
        <f t="shared" ca="1" si="66"/>
        <v>31</v>
      </c>
      <c r="S281" s="120">
        <v>365</v>
      </c>
      <c r="AC281" s="224">
        <v>6660</v>
      </c>
      <c r="AD281" s="225">
        <f t="shared" ca="1" si="70"/>
        <v>14080.768034383151</v>
      </c>
      <c r="AE281" s="226">
        <f t="shared" ca="1" si="71"/>
        <v>52814</v>
      </c>
      <c r="AF281" s="227">
        <f t="shared" ca="1" si="72"/>
        <v>14080.768034383151</v>
      </c>
      <c r="AG281" s="225">
        <f t="shared" ca="1" si="73"/>
        <v>14232.112136767719</v>
      </c>
      <c r="AH281" s="220"/>
      <c r="AI281" s="97"/>
      <c r="AJ281" s="97"/>
      <c r="AK281" s="97"/>
      <c r="AL281" s="97"/>
      <c r="AM281" s="97"/>
      <c r="AP281" s="157"/>
      <c r="AQ281" s="191"/>
      <c r="AR281" s="191"/>
      <c r="AS281" s="192"/>
      <c r="AT281" s="193"/>
      <c r="AU281" s="193"/>
      <c r="AV281" s="194"/>
      <c r="AW281" s="194"/>
      <c r="AX281" s="194"/>
      <c r="AY281" s="193"/>
      <c r="AZ281" s="195"/>
    </row>
    <row r="282" spans="1:52" ht="15.5" x14ac:dyDescent="0.35">
      <c r="A282" s="197">
        <f t="shared" si="67"/>
        <v>18</v>
      </c>
      <c r="B282" s="98">
        <f t="shared" si="74"/>
        <v>223</v>
      </c>
      <c r="C282" s="99">
        <f t="shared" ca="1" si="77"/>
        <v>52845</v>
      </c>
      <c r="D282" s="100">
        <f t="shared" ca="1" si="78"/>
        <v>224893.15772777254</v>
      </c>
      <c r="E282" s="100">
        <f t="shared" ca="1" si="79"/>
        <v>2901.1217346882659</v>
      </c>
      <c r="F282" s="100">
        <f t="shared" ca="1" si="80"/>
        <v>227794.27946246081</v>
      </c>
      <c r="G282" s="100">
        <f t="shared" ca="1" si="75"/>
        <v>11179.646299694885</v>
      </c>
      <c r="H282" s="100">
        <f t="shared" ca="1" si="68"/>
        <v>14080.768034383151</v>
      </c>
      <c r="I282" s="100">
        <f t="shared" ca="1" si="81"/>
        <v>38.456729971449107</v>
      </c>
      <c r="J282" s="100">
        <f t="shared" ca="1" si="69"/>
        <v>111</v>
      </c>
      <c r="K282" s="100">
        <f t="shared" ca="1" si="82"/>
        <v>14230.2247643546</v>
      </c>
      <c r="L282" s="101">
        <f t="shared" ca="1" si="83"/>
        <v>213713.51142807765</v>
      </c>
      <c r="M282" s="12"/>
      <c r="N282" s="12"/>
      <c r="O282" s="12"/>
      <c r="Q282" s="118">
        <f t="shared" ca="1" si="76"/>
        <v>335.38938899084656</v>
      </c>
      <c r="R282" s="119">
        <f t="shared" ca="1" si="66"/>
        <v>31</v>
      </c>
      <c r="S282" s="120">
        <v>365</v>
      </c>
      <c r="AC282" s="224">
        <v>6690</v>
      </c>
      <c r="AD282" s="225">
        <f t="shared" ca="1" si="70"/>
        <v>14080.768034383151</v>
      </c>
      <c r="AE282" s="226">
        <f t="shared" ca="1" si="71"/>
        <v>52845</v>
      </c>
      <c r="AF282" s="227">
        <f t="shared" ca="1" si="72"/>
        <v>14080.768034383151</v>
      </c>
      <c r="AG282" s="225">
        <f t="shared" ca="1" si="73"/>
        <v>14230.2247643546</v>
      </c>
      <c r="AH282" s="220"/>
      <c r="AI282" s="97"/>
      <c r="AJ282" s="97"/>
      <c r="AK282" s="97"/>
      <c r="AL282" s="97"/>
      <c r="AM282" s="97"/>
      <c r="AP282" s="157"/>
      <c r="AQ282" s="186"/>
      <c r="AR282" s="186"/>
      <c r="AS282" s="187"/>
      <c r="AT282" s="188"/>
      <c r="AU282" s="188"/>
      <c r="AV282" s="189"/>
      <c r="AW282" s="189"/>
      <c r="AX282" s="189"/>
      <c r="AY282" s="188"/>
      <c r="AZ282" s="190"/>
    </row>
    <row r="283" spans="1:52" ht="15.5" x14ac:dyDescent="0.35">
      <c r="A283" s="197">
        <f t="shared" si="67"/>
        <v>17</v>
      </c>
      <c r="B283" s="98">
        <f t="shared" si="74"/>
        <v>224</v>
      </c>
      <c r="C283" s="99">
        <f t="shared" ca="1" si="77"/>
        <v>52875</v>
      </c>
      <c r="D283" s="100">
        <f t="shared" ca="1" si="78"/>
        <v>213713.51142807765</v>
      </c>
      <c r="E283" s="100">
        <f t="shared" ca="1" si="79"/>
        <v>2756.9042974222016</v>
      </c>
      <c r="F283" s="100">
        <f t="shared" ca="1" si="80"/>
        <v>216470.41572549986</v>
      </c>
      <c r="G283" s="100">
        <f t="shared" ca="1" si="75"/>
        <v>11323.86373696095</v>
      </c>
      <c r="H283" s="100">
        <f t="shared" ca="1" si="68"/>
        <v>14080.768034383151</v>
      </c>
      <c r="I283" s="100">
        <f t="shared" ca="1" si="81"/>
        <v>36.545010454201282</v>
      </c>
      <c r="J283" s="100">
        <f t="shared" ca="1" si="69"/>
        <v>111</v>
      </c>
      <c r="K283" s="100">
        <f t="shared" ca="1" si="82"/>
        <v>14228.313044837352</v>
      </c>
      <c r="L283" s="101">
        <f t="shared" ca="1" si="83"/>
        <v>202389.6476911167</v>
      </c>
      <c r="M283" s="12"/>
      <c r="N283" s="12"/>
      <c r="O283" s="12"/>
      <c r="Q283" s="118">
        <f t="shared" ca="1" si="76"/>
        <v>339.71591210882849</v>
      </c>
      <c r="R283" s="119">
        <f t="shared" ca="1" si="66"/>
        <v>30</v>
      </c>
      <c r="S283" s="120">
        <v>365</v>
      </c>
      <c r="AC283" s="224">
        <v>6720</v>
      </c>
      <c r="AD283" s="225">
        <f t="shared" ca="1" si="70"/>
        <v>14080.768034383151</v>
      </c>
      <c r="AE283" s="226">
        <f t="shared" ca="1" si="71"/>
        <v>52875</v>
      </c>
      <c r="AF283" s="227">
        <f t="shared" ca="1" si="72"/>
        <v>14080.768034383151</v>
      </c>
      <c r="AG283" s="225">
        <f t="shared" ca="1" si="73"/>
        <v>14228.313044837352</v>
      </c>
      <c r="AH283" s="220"/>
      <c r="AI283" s="97"/>
      <c r="AJ283" s="97"/>
      <c r="AK283" s="97"/>
      <c r="AL283" s="97"/>
      <c r="AM283" s="97"/>
      <c r="AP283" s="157"/>
      <c r="AQ283" s="191"/>
      <c r="AR283" s="191"/>
      <c r="AS283" s="192"/>
      <c r="AT283" s="193"/>
      <c r="AU283" s="193"/>
      <c r="AV283" s="194"/>
      <c r="AW283" s="194"/>
      <c r="AX283" s="194"/>
      <c r="AY283" s="193"/>
      <c r="AZ283" s="195"/>
    </row>
    <row r="284" spans="1:52" ht="15.5" x14ac:dyDescent="0.35">
      <c r="A284" s="197">
        <f t="shared" si="67"/>
        <v>16</v>
      </c>
      <c r="B284" s="98">
        <f t="shared" si="74"/>
        <v>225</v>
      </c>
      <c r="C284" s="99">
        <f t="shared" ca="1" si="77"/>
        <v>52906</v>
      </c>
      <c r="D284" s="100">
        <f t="shared" ca="1" si="78"/>
        <v>202389.6476911167</v>
      </c>
      <c r="E284" s="100">
        <f t="shared" ca="1" si="79"/>
        <v>2610.8264552154055</v>
      </c>
      <c r="F284" s="100">
        <f t="shared" ca="1" si="80"/>
        <v>205000.4741463321</v>
      </c>
      <c r="G284" s="100">
        <f t="shared" ca="1" si="75"/>
        <v>11469.941579167746</v>
      </c>
      <c r="H284" s="100">
        <f t="shared" ca="1" si="68"/>
        <v>14080.768034383151</v>
      </c>
      <c r="I284" s="100">
        <f t="shared" ca="1" si="81"/>
        <v>34.608629755180957</v>
      </c>
      <c r="J284" s="100">
        <f t="shared" ca="1" si="69"/>
        <v>111</v>
      </c>
      <c r="K284" s="100">
        <f t="shared" ca="1" si="82"/>
        <v>14226.376664138332</v>
      </c>
      <c r="L284" s="101">
        <f t="shared" ca="1" si="83"/>
        <v>190919.70611194894</v>
      </c>
      <c r="M284" s="12"/>
      <c r="N284" s="12"/>
      <c r="O284" s="12"/>
      <c r="Q284" s="118">
        <f t="shared" ca="1" si="76"/>
        <v>344.09824737503237</v>
      </c>
      <c r="R284" s="119">
        <f t="shared" ca="1" si="66"/>
        <v>31</v>
      </c>
      <c r="S284" s="120">
        <v>365</v>
      </c>
      <c r="AC284" s="224">
        <v>6750</v>
      </c>
      <c r="AD284" s="225">
        <f t="shared" ca="1" si="70"/>
        <v>14080.768034383151</v>
      </c>
      <c r="AE284" s="226">
        <f t="shared" ca="1" si="71"/>
        <v>52906</v>
      </c>
      <c r="AF284" s="227">
        <f t="shared" ca="1" si="72"/>
        <v>14080.768034383151</v>
      </c>
      <c r="AG284" s="225">
        <f t="shared" ca="1" si="73"/>
        <v>14226.376664138332</v>
      </c>
      <c r="AH284" s="220"/>
      <c r="AI284" s="97"/>
      <c r="AJ284" s="97"/>
      <c r="AK284" s="97"/>
      <c r="AL284" s="97"/>
      <c r="AM284" s="97"/>
      <c r="AP284" s="157"/>
      <c r="AQ284" s="186"/>
      <c r="AR284" s="186"/>
      <c r="AS284" s="187"/>
      <c r="AT284" s="188"/>
      <c r="AU284" s="188"/>
      <c r="AV284" s="189"/>
      <c r="AW284" s="189"/>
      <c r="AX284" s="189"/>
      <c r="AY284" s="188"/>
      <c r="AZ284" s="190"/>
    </row>
    <row r="285" spans="1:52" ht="15.5" x14ac:dyDescent="0.35">
      <c r="A285" s="197">
        <f t="shared" si="67"/>
        <v>15</v>
      </c>
      <c r="B285" s="98">
        <f t="shared" si="74"/>
        <v>226</v>
      </c>
      <c r="C285" s="99">
        <f t="shared" ca="1" si="77"/>
        <v>52936</v>
      </c>
      <c r="D285" s="100">
        <f t="shared" ca="1" si="78"/>
        <v>190919.70611194894</v>
      </c>
      <c r="E285" s="100">
        <f t="shared" ca="1" si="79"/>
        <v>2462.8642088441411</v>
      </c>
      <c r="F285" s="100">
        <f t="shared" ca="1" si="80"/>
        <v>193382.57032079308</v>
      </c>
      <c r="G285" s="100">
        <f t="shared" ca="1" si="75"/>
        <v>11617.903825539008</v>
      </c>
      <c r="H285" s="100">
        <f t="shared" ca="1" si="68"/>
        <v>14080.768034383149</v>
      </c>
      <c r="I285" s="100">
        <f t="shared" ca="1" si="81"/>
        <v>32.647269745143269</v>
      </c>
      <c r="J285" s="100">
        <f t="shared" ca="1" si="69"/>
        <v>111</v>
      </c>
      <c r="K285" s="100">
        <f t="shared" ca="1" si="82"/>
        <v>14224.415304128292</v>
      </c>
      <c r="L285" s="101">
        <f t="shared" ca="1" si="83"/>
        <v>179301.80228640992</v>
      </c>
      <c r="M285" s="12"/>
      <c r="N285" s="12"/>
      <c r="O285" s="12"/>
      <c r="Q285" s="118">
        <f t="shared" ca="1" si="76"/>
        <v>348.53711476617025</v>
      </c>
      <c r="R285" s="119">
        <f t="shared" ca="1" si="66"/>
        <v>30</v>
      </c>
      <c r="S285" s="120">
        <v>365</v>
      </c>
      <c r="AC285" s="224">
        <v>6780</v>
      </c>
      <c r="AD285" s="225">
        <f t="shared" ca="1" si="70"/>
        <v>14080.768034383149</v>
      </c>
      <c r="AE285" s="226">
        <f t="shared" ca="1" si="71"/>
        <v>52936</v>
      </c>
      <c r="AF285" s="227">
        <f t="shared" ca="1" si="72"/>
        <v>14080.768034383149</v>
      </c>
      <c r="AG285" s="225">
        <f t="shared" ca="1" si="73"/>
        <v>14224.415304128292</v>
      </c>
      <c r="AH285" s="220"/>
      <c r="AI285" s="97"/>
      <c r="AJ285" s="97"/>
      <c r="AK285" s="97"/>
      <c r="AL285" s="97"/>
      <c r="AM285" s="97"/>
      <c r="AP285" s="157"/>
      <c r="AQ285" s="191"/>
      <c r="AR285" s="191"/>
      <c r="AS285" s="192"/>
      <c r="AT285" s="193"/>
      <c r="AU285" s="193"/>
      <c r="AV285" s="194"/>
      <c r="AW285" s="194"/>
      <c r="AX285" s="194"/>
      <c r="AY285" s="193"/>
      <c r="AZ285" s="195"/>
    </row>
    <row r="286" spans="1:52" ht="15.5" x14ac:dyDescent="0.35">
      <c r="A286" s="197">
        <f t="shared" si="67"/>
        <v>14</v>
      </c>
      <c r="B286" s="98">
        <f t="shared" si="74"/>
        <v>227</v>
      </c>
      <c r="C286" s="99">
        <f t="shared" ca="1" si="77"/>
        <v>52967</v>
      </c>
      <c r="D286" s="100">
        <f t="shared" ca="1" si="78"/>
        <v>179301.80228640992</v>
      </c>
      <c r="E286" s="100">
        <f t="shared" ca="1" si="79"/>
        <v>2312.9932494946879</v>
      </c>
      <c r="F286" s="100">
        <f t="shared" ca="1" si="80"/>
        <v>181614.79553590462</v>
      </c>
      <c r="G286" s="100">
        <f t="shared" ca="1" si="75"/>
        <v>11767.774784888461</v>
      </c>
      <c r="H286" s="100">
        <f t="shared" ca="1" si="68"/>
        <v>14080.768034383149</v>
      </c>
      <c r="I286" s="100">
        <f t="shared" ca="1" si="81"/>
        <v>30.660608190976099</v>
      </c>
      <c r="J286" s="100">
        <f t="shared" ca="1" si="69"/>
        <v>111</v>
      </c>
      <c r="K286" s="100">
        <f t="shared" ca="1" si="82"/>
        <v>14222.428642574125</v>
      </c>
      <c r="L286" s="101">
        <f t="shared" ca="1" si="83"/>
        <v>167534.02750152146</v>
      </c>
      <c r="M286" s="12"/>
      <c r="N286" s="12"/>
      <c r="O286" s="12"/>
      <c r="Q286" s="118">
        <f t="shared" ca="1" si="76"/>
        <v>353.03324354665381</v>
      </c>
      <c r="R286" s="119">
        <f t="shared" ca="1" si="66"/>
        <v>31</v>
      </c>
      <c r="S286" s="120">
        <v>365</v>
      </c>
      <c r="AC286" s="224">
        <v>6810</v>
      </c>
      <c r="AD286" s="225">
        <f t="shared" ca="1" si="70"/>
        <v>14080.768034383149</v>
      </c>
      <c r="AE286" s="226">
        <f t="shared" ca="1" si="71"/>
        <v>52967</v>
      </c>
      <c r="AF286" s="227">
        <f t="shared" ca="1" si="72"/>
        <v>14080.768034383149</v>
      </c>
      <c r="AG286" s="225">
        <f t="shared" ca="1" si="73"/>
        <v>14222.428642574125</v>
      </c>
      <c r="AH286" s="220"/>
      <c r="AI286" s="97"/>
      <c r="AJ286" s="97"/>
      <c r="AK286" s="97"/>
      <c r="AL286" s="97"/>
      <c r="AM286" s="97"/>
      <c r="AP286" s="157"/>
      <c r="AQ286" s="186"/>
      <c r="AR286" s="186"/>
      <c r="AS286" s="187"/>
      <c r="AT286" s="188"/>
      <c r="AU286" s="188"/>
      <c r="AV286" s="189"/>
      <c r="AW286" s="189"/>
      <c r="AX286" s="189"/>
      <c r="AY286" s="188"/>
      <c r="AZ286" s="190"/>
    </row>
    <row r="287" spans="1:52" ht="15.5" x14ac:dyDescent="0.35">
      <c r="A287" s="197">
        <f t="shared" si="67"/>
        <v>13</v>
      </c>
      <c r="B287" s="98">
        <f t="shared" si="74"/>
        <v>228</v>
      </c>
      <c r="C287" s="99">
        <f t="shared" ca="1" si="77"/>
        <v>52998</v>
      </c>
      <c r="D287" s="100">
        <f t="shared" ca="1" si="78"/>
        <v>167534.02750152146</v>
      </c>
      <c r="E287" s="100">
        <f t="shared" ca="1" si="79"/>
        <v>2161.1889547696269</v>
      </c>
      <c r="F287" s="100">
        <f t="shared" ca="1" si="80"/>
        <v>169695.21645629109</v>
      </c>
      <c r="G287" s="100">
        <f t="shared" ca="1" si="75"/>
        <v>11919.579079613522</v>
      </c>
      <c r="H287" s="100">
        <f t="shared" ca="1" si="68"/>
        <v>14080.768034383149</v>
      </c>
      <c r="I287" s="100">
        <f t="shared" ca="1" si="81"/>
        <v>28.648318702760172</v>
      </c>
      <c r="J287" s="100">
        <f t="shared" ca="1" si="69"/>
        <v>111</v>
      </c>
      <c r="K287" s="100">
        <f t="shared" ca="1" si="82"/>
        <v>14220.41635308591</v>
      </c>
      <c r="L287" s="101">
        <f t="shared" ca="1" si="83"/>
        <v>155614.44842190793</v>
      </c>
      <c r="M287" s="12"/>
      <c r="N287" s="12"/>
      <c r="O287" s="12"/>
      <c r="Q287" s="118">
        <f t="shared" ca="1" si="76"/>
        <v>357.58737238840564</v>
      </c>
      <c r="R287" s="119">
        <f t="shared" ca="1" si="66"/>
        <v>31</v>
      </c>
      <c r="S287" s="120">
        <v>365</v>
      </c>
      <c r="AC287" s="224">
        <v>6840</v>
      </c>
      <c r="AD287" s="225">
        <f t="shared" ca="1" si="70"/>
        <v>14080.768034383149</v>
      </c>
      <c r="AE287" s="226">
        <f t="shared" ca="1" si="71"/>
        <v>52998</v>
      </c>
      <c r="AF287" s="227">
        <f t="shared" ca="1" si="72"/>
        <v>14080.768034383149</v>
      </c>
      <c r="AG287" s="225">
        <f t="shared" ca="1" si="73"/>
        <v>14220.41635308591</v>
      </c>
      <c r="AH287" s="220"/>
      <c r="AI287" s="97"/>
      <c r="AJ287" s="97"/>
      <c r="AK287" s="97"/>
      <c r="AL287" s="97"/>
      <c r="AM287" s="97"/>
      <c r="AP287" s="157"/>
      <c r="AQ287" s="191"/>
      <c r="AR287" s="191"/>
      <c r="AS287" s="192"/>
      <c r="AT287" s="193"/>
      <c r="AU287" s="193"/>
      <c r="AV287" s="194"/>
      <c r="AW287" s="194"/>
      <c r="AX287" s="194"/>
      <c r="AY287" s="193"/>
      <c r="AZ287" s="195"/>
    </row>
    <row r="288" spans="1:52" ht="15.5" x14ac:dyDescent="0.35">
      <c r="A288" s="197">
        <f t="shared" si="67"/>
        <v>12</v>
      </c>
      <c r="B288" s="98">
        <f t="shared" si="74"/>
        <v>229</v>
      </c>
      <c r="C288" s="99">
        <f t="shared" ca="1" si="77"/>
        <v>53026</v>
      </c>
      <c r="D288" s="100">
        <f t="shared" ca="1" si="78"/>
        <v>155614.44842190793</v>
      </c>
      <c r="E288" s="100">
        <f t="shared" ca="1" si="79"/>
        <v>2007.4263846426122</v>
      </c>
      <c r="F288" s="100">
        <f t="shared" ca="1" si="80"/>
        <v>157621.87480655054</v>
      </c>
      <c r="G288" s="100">
        <f t="shared" ca="1" si="75"/>
        <v>12073.341649740536</v>
      </c>
      <c r="H288" s="100">
        <f t="shared" ca="1" si="68"/>
        <v>14080.768034383149</v>
      </c>
      <c r="I288" s="100">
        <f t="shared" ca="1" si="81"/>
        <v>26.610070680146258</v>
      </c>
      <c r="J288" s="100">
        <f t="shared" ca="1" si="69"/>
        <v>111</v>
      </c>
      <c r="K288" s="100">
        <f t="shared" ca="1" si="82"/>
        <v>14218.378105063295</v>
      </c>
      <c r="L288" s="101">
        <f t="shared" ca="1" si="83"/>
        <v>143541.1067721674</v>
      </c>
      <c r="M288" s="12"/>
      <c r="N288" s="12"/>
      <c r="O288" s="12"/>
      <c r="Q288" s="118">
        <f t="shared" ca="1" si="76"/>
        <v>362.20024949221607</v>
      </c>
      <c r="R288" s="119">
        <f t="shared" ca="1" si="66"/>
        <v>28</v>
      </c>
      <c r="S288" s="120">
        <v>365</v>
      </c>
      <c r="AC288" s="224">
        <v>6870</v>
      </c>
      <c r="AD288" s="225">
        <f t="shared" ca="1" si="70"/>
        <v>14080.768034383149</v>
      </c>
      <c r="AE288" s="226">
        <f t="shared" ca="1" si="71"/>
        <v>53026</v>
      </c>
      <c r="AF288" s="227">
        <f t="shared" ca="1" si="72"/>
        <v>14080.768034383149</v>
      </c>
      <c r="AG288" s="225">
        <f t="shared" ca="1" si="73"/>
        <v>14218.378105063295</v>
      </c>
      <c r="AH288" s="220"/>
      <c r="AI288" s="97"/>
      <c r="AJ288" s="97"/>
      <c r="AK288" s="97"/>
      <c r="AL288" s="97"/>
      <c r="AM288" s="97"/>
      <c r="AP288" s="157"/>
      <c r="AQ288" s="186"/>
      <c r="AR288" s="186"/>
      <c r="AS288" s="187"/>
      <c r="AT288" s="188"/>
      <c r="AU288" s="188"/>
      <c r="AV288" s="189"/>
      <c r="AW288" s="189"/>
      <c r="AX288" s="189"/>
      <c r="AY288" s="188"/>
      <c r="AZ288" s="190"/>
    </row>
    <row r="289" spans="1:52" ht="15.5" x14ac:dyDescent="0.35">
      <c r="A289" s="197">
        <f t="shared" si="67"/>
        <v>11</v>
      </c>
      <c r="B289" s="98">
        <f t="shared" si="74"/>
        <v>230</v>
      </c>
      <c r="C289" s="99">
        <f t="shared" ca="1" si="77"/>
        <v>53057</v>
      </c>
      <c r="D289" s="100">
        <f t="shared" ca="1" si="78"/>
        <v>143541.1067721674</v>
      </c>
      <c r="E289" s="100">
        <f t="shared" ca="1" si="79"/>
        <v>1851.6802773609595</v>
      </c>
      <c r="F289" s="100">
        <f t="shared" ca="1" si="80"/>
        <v>145392.78704952836</v>
      </c>
      <c r="G289" s="100">
        <f t="shared" ca="1" si="75"/>
        <v>12229.087757022191</v>
      </c>
      <c r="H289" s="100">
        <f t="shared" ca="1" si="68"/>
        <v>14080.768034383151</v>
      </c>
      <c r="I289" s="100">
        <f t="shared" ca="1" si="81"/>
        <v>24.545529258040627</v>
      </c>
      <c r="J289" s="100">
        <f t="shared" ca="1" si="69"/>
        <v>111</v>
      </c>
      <c r="K289" s="100">
        <f t="shared" ca="1" si="82"/>
        <v>14216.313563641192</v>
      </c>
      <c r="L289" s="101">
        <f t="shared" ca="1" si="83"/>
        <v>131312.01901514523</v>
      </c>
      <c r="M289" s="12"/>
      <c r="N289" s="12"/>
      <c r="O289" s="12"/>
      <c r="Q289" s="118">
        <f t="shared" ca="1" si="76"/>
        <v>366.8726327106657</v>
      </c>
      <c r="R289" s="119">
        <f t="shared" ca="1" si="66"/>
        <v>31</v>
      </c>
      <c r="S289" s="120">
        <v>365</v>
      </c>
      <c r="AC289" s="224">
        <v>6900</v>
      </c>
      <c r="AD289" s="225">
        <f t="shared" ca="1" si="70"/>
        <v>14080.768034383151</v>
      </c>
      <c r="AE289" s="226">
        <f t="shared" ca="1" si="71"/>
        <v>53057</v>
      </c>
      <c r="AF289" s="227">
        <f t="shared" ca="1" si="72"/>
        <v>14080.768034383151</v>
      </c>
      <c r="AG289" s="225">
        <f t="shared" ca="1" si="73"/>
        <v>14216.313563641192</v>
      </c>
      <c r="AH289" s="220"/>
      <c r="AI289" s="97"/>
      <c r="AJ289" s="97"/>
      <c r="AK289" s="97"/>
      <c r="AL289" s="97"/>
      <c r="AM289" s="97"/>
      <c r="AP289" s="157"/>
      <c r="AQ289" s="191"/>
      <c r="AR289" s="191"/>
      <c r="AS289" s="192"/>
      <c r="AT289" s="193"/>
      <c r="AU289" s="193"/>
      <c r="AV289" s="194"/>
      <c r="AW289" s="194"/>
      <c r="AX289" s="194"/>
      <c r="AY289" s="193"/>
      <c r="AZ289" s="195"/>
    </row>
    <row r="290" spans="1:52" ht="15.5" x14ac:dyDescent="0.35">
      <c r="A290" s="197">
        <f t="shared" si="67"/>
        <v>10</v>
      </c>
      <c r="B290" s="98">
        <f t="shared" si="74"/>
        <v>231</v>
      </c>
      <c r="C290" s="99">
        <f t="shared" ca="1" si="77"/>
        <v>53087</v>
      </c>
      <c r="D290" s="100">
        <f t="shared" ca="1" si="78"/>
        <v>131312.01901514523</v>
      </c>
      <c r="E290" s="100">
        <f t="shared" ca="1" si="79"/>
        <v>1693.9250452953734</v>
      </c>
      <c r="F290" s="100">
        <f t="shared" ca="1" si="80"/>
        <v>133005.94406044061</v>
      </c>
      <c r="G290" s="100">
        <f t="shared" ca="1" si="75"/>
        <v>12386.842989087778</v>
      </c>
      <c r="H290" s="100">
        <f t="shared" ca="1" si="68"/>
        <v>14080.768034383151</v>
      </c>
      <c r="I290" s="100">
        <f t="shared" ca="1" si="81"/>
        <v>22.454355251589835</v>
      </c>
      <c r="J290" s="100">
        <f t="shared" ca="1" si="69"/>
        <v>111</v>
      </c>
      <c r="K290" s="100">
        <f t="shared" ca="1" si="82"/>
        <v>14214.22238963474</v>
      </c>
      <c r="L290" s="101">
        <f t="shared" ca="1" si="83"/>
        <v>118925.17602605745</v>
      </c>
      <c r="M290" s="12"/>
      <c r="N290" s="12"/>
      <c r="O290" s="12"/>
      <c r="Q290" s="118">
        <f t="shared" ca="1" si="76"/>
        <v>371.60528967263332</v>
      </c>
      <c r="R290" s="119">
        <f t="shared" ca="1" si="66"/>
        <v>30</v>
      </c>
      <c r="S290" s="120">
        <v>365</v>
      </c>
      <c r="AC290" s="224">
        <v>6930</v>
      </c>
      <c r="AD290" s="225">
        <f t="shared" ca="1" si="70"/>
        <v>14080.768034383151</v>
      </c>
      <c r="AE290" s="226">
        <f t="shared" ca="1" si="71"/>
        <v>53087</v>
      </c>
      <c r="AF290" s="227">
        <f t="shared" ca="1" si="72"/>
        <v>14080.768034383151</v>
      </c>
      <c r="AG290" s="225">
        <f t="shared" ca="1" si="73"/>
        <v>14214.22238963474</v>
      </c>
      <c r="AH290" s="220"/>
      <c r="AI290" s="97"/>
      <c r="AJ290" s="97"/>
      <c r="AK290" s="97"/>
      <c r="AL290" s="97"/>
      <c r="AM290" s="97"/>
      <c r="AP290" s="157"/>
      <c r="AQ290" s="186"/>
      <c r="AR290" s="186"/>
      <c r="AS290" s="187"/>
      <c r="AT290" s="188"/>
      <c r="AU290" s="188"/>
      <c r="AV290" s="189"/>
      <c r="AW290" s="189"/>
      <c r="AX290" s="189"/>
      <c r="AY290" s="188"/>
      <c r="AZ290" s="190"/>
    </row>
    <row r="291" spans="1:52" ht="15.5" x14ac:dyDescent="0.35">
      <c r="A291" s="197">
        <f t="shared" si="67"/>
        <v>9</v>
      </c>
      <c r="B291" s="98">
        <f t="shared" si="74"/>
        <v>232</v>
      </c>
      <c r="C291" s="99">
        <f t="shared" ca="1" si="77"/>
        <v>53118</v>
      </c>
      <c r="D291" s="100">
        <f t="shared" ca="1" si="78"/>
        <v>118925.17602605745</v>
      </c>
      <c r="E291" s="100">
        <f t="shared" ca="1" si="79"/>
        <v>1534.134770736141</v>
      </c>
      <c r="F291" s="100">
        <f t="shared" ca="1" si="80"/>
        <v>120459.31079679359</v>
      </c>
      <c r="G291" s="100">
        <f t="shared" ca="1" si="75"/>
        <v>12546.633263647011</v>
      </c>
      <c r="H291" s="100">
        <f t="shared" ca="1" si="68"/>
        <v>14080.768034383151</v>
      </c>
      <c r="I291" s="100">
        <f t="shared" ca="1" si="81"/>
        <v>20.336205100455825</v>
      </c>
      <c r="J291" s="100">
        <f t="shared" ca="1" si="69"/>
        <v>111</v>
      </c>
      <c r="K291" s="100">
        <f t="shared" ca="1" si="82"/>
        <v>14212.104239483606</v>
      </c>
      <c r="L291" s="101">
        <f t="shared" ca="1" si="83"/>
        <v>106378.54276241045</v>
      </c>
      <c r="M291" s="12"/>
      <c r="N291" s="12"/>
      <c r="O291" s="12"/>
      <c r="Q291" s="118">
        <f t="shared" ca="1" si="76"/>
        <v>376.3989979094103</v>
      </c>
      <c r="R291" s="119">
        <f t="shared" ca="1" si="66"/>
        <v>31</v>
      </c>
      <c r="S291" s="120">
        <v>365</v>
      </c>
      <c r="AC291" s="224">
        <v>6960</v>
      </c>
      <c r="AD291" s="225">
        <f t="shared" ca="1" si="70"/>
        <v>14080.768034383151</v>
      </c>
      <c r="AE291" s="226">
        <f t="shared" ca="1" si="71"/>
        <v>53118</v>
      </c>
      <c r="AF291" s="227">
        <f t="shared" ca="1" si="72"/>
        <v>14080.768034383151</v>
      </c>
      <c r="AG291" s="225">
        <f t="shared" ca="1" si="73"/>
        <v>14212.104239483606</v>
      </c>
      <c r="AH291" s="220"/>
      <c r="AI291" s="97"/>
      <c r="AJ291" s="97"/>
      <c r="AK291" s="97"/>
      <c r="AL291" s="97"/>
      <c r="AM291" s="97"/>
      <c r="AP291" s="157"/>
      <c r="AQ291" s="191"/>
      <c r="AR291" s="191"/>
      <c r="AS291" s="192"/>
      <c r="AT291" s="193"/>
      <c r="AU291" s="193"/>
      <c r="AV291" s="194"/>
      <c r="AW291" s="194"/>
      <c r="AX291" s="194"/>
      <c r="AY291" s="193"/>
      <c r="AZ291" s="195"/>
    </row>
    <row r="292" spans="1:52" ht="15.5" x14ac:dyDescent="0.35">
      <c r="A292" s="197">
        <f t="shared" si="67"/>
        <v>8</v>
      </c>
      <c r="B292" s="98">
        <f t="shared" si="74"/>
        <v>233</v>
      </c>
      <c r="C292" s="99">
        <f t="shared" ca="1" si="77"/>
        <v>53148</v>
      </c>
      <c r="D292" s="100">
        <f t="shared" ca="1" si="78"/>
        <v>106378.54276241045</v>
      </c>
      <c r="E292" s="100">
        <f t="shared" ca="1" si="79"/>
        <v>1372.2832016350949</v>
      </c>
      <c r="F292" s="100">
        <f t="shared" ca="1" si="80"/>
        <v>107750.82596404554</v>
      </c>
      <c r="G292" s="100">
        <f t="shared" ca="1" si="75"/>
        <v>12708.484832748056</v>
      </c>
      <c r="H292" s="100">
        <f t="shared" ca="1" si="68"/>
        <v>14080.768034383151</v>
      </c>
      <c r="I292" s="100">
        <f t="shared" ca="1" si="81"/>
        <v>18.190730812372188</v>
      </c>
      <c r="J292" s="100">
        <f t="shared" ca="1" si="69"/>
        <v>111</v>
      </c>
      <c r="K292" s="100">
        <f t="shared" ca="1" si="82"/>
        <v>14209.958765195523</v>
      </c>
      <c r="L292" s="101">
        <f t="shared" ca="1" si="83"/>
        <v>93670.057929662391</v>
      </c>
      <c r="M292" s="12"/>
      <c r="N292" s="12"/>
      <c r="O292" s="12"/>
      <c r="Q292" s="118">
        <f t="shared" ca="1" si="76"/>
        <v>381.25454498244164</v>
      </c>
      <c r="R292" s="119">
        <f t="shared" ca="1" si="66"/>
        <v>30</v>
      </c>
      <c r="S292" s="120">
        <v>365</v>
      </c>
      <c r="AC292" s="224">
        <v>6990</v>
      </c>
      <c r="AD292" s="225">
        <f t="shared" ca="1" si="70"/>
        <v>14080.768034383151</v>
      </c>
      <c r="AE292" s="226">
        <f t="shared" ca="1" si="71"/>
        <v>53148</v>
      </c>
      <c r="AF292" s="227">
        <f t="shared" ca="1" si="72"/>
        <v>14080.768034383151</v>
      </c>
      <c r="AG292" s="225">
        <f t="shared" ca="1" si="73"/>
        <v>14209.958765195523</v>
      </c>
      <c r="AH292" s="220"/>
      <c r="AI292" s="97"/>
      <c r="AJ292" s="97"/>
      <c r="AK292" s="97"/>
      <c r="AL292" s="97"/>
      <c r="AM292" s="97"/>
      <c r="AP292" s="157"/>
      <c r="AQ292" s="186"/>
      <c r="AR292" s="186"/>
      <c r="AS292" s="187"/>
      <c r="AT292" s="188"/>
      <c r="AU292" s="188"/>
      <c r="AV292" s="189"/>
      <c r="AW292" s="189"/>
      <c r="AX292" s="189"/>
      <c r="AY292" s="188"/>
      <c r="AZ292" s="190"/>
    </row>
    <row r="293" spans="1:52" ht="15.5" x14ac:dyDescent="0.35">
      <c r="A293" s="197">
        <f t="shared" si="67"/>
        <v>7</v>
      </c>
      <c r="B293" s="98">
        <f t="shared" si="74"/>
        <v>234</v>
      </c>
      <c r="C293" s="99">
        <f t="shared" ca="1" si="77"/>
        <v>53179</v>
      </c>
      <c r="D293" s="100">
        <f t="shared" ca="1" si="78"/>
        <v>93670.057929662391</v>
      </c>
      <c r="E293" s="100">
        <f t="shared" ca="1" si="79"/>
        <v>1208.3437472926448</v>
      </c>
      <c r="F293" s="100">
        <f t="shared" ca="1" si="80"/>
        <v>94878.401676955036</v>
      </c>
      <c r="G293" s="100">
        <f t="shared" ca="1" si="75"/>
        <v>12872.424287090509</v>
      </c>
      <c r="H293" s="100">
        <f t="shared" ca="1" si="68"/>
        <v>14080.768034383154</v>
      </c>
      <c r="I293" s="100">
        <f t="shared" ca="1" si="81"/>
        <v>16.017579905972269</v>
      </c>
      <c r="J293" s="100">
        <f t="shared" ca="1" si="69"/>
        <v>111</v>
      </c>
      <c r="K293" s="100">
        <f t="shared" ca="1" si="82"/>
        <v>14207.785614289127</v>
      </c>
      <c r="L293" s="101">
        <f t="shared" ca="1" si="83"/>
        <v>80797.633642571876</v>
      </c>
      <c r="M293" s="12"/>
      <c r="N293" s="12"/>
      <c r="O293" s="12"/>
      <c r="Q293" s="118">
        <f t="shared" ca="1" si="76"/>
        <v>386.17272861271528</v>
      </c>
      <c r="R293" s="119">
        <f t="shared" ca="1" si="66"/>
        <v>31</v>
      </c>
      <c r="S293" s="120">
        <v>365</v>
      </c>
      <c r="AC293" s="224">
        <v>7020</v>
      </c>
      <c r="AD293" s="225">
        <f t="shared" ca="1" si="70"/>
        <v>14080.768034383154</v>
      </c>
      <c r="AE293" s="226">
        <f t="shared" ca="1" si="71"/>
        <v>53179</v>
      </c>
      <c r="AF293" s="227">
        <f t="shared" ca="1" si="72"/>
        <v>14080.768034383154</v>
      </c>
      <c r="AG293" s="225">
        <f t="shared" ca="1" si="73"/>
        <v>14207.785614289127</v>
      </c>
      <c r="AH293" s="220"/>
      <c r="AI293" s="97"/>
      <c r="AJ293" s="97"/>
      <c r="AK293" s="97"/>
      <c r="AL293" s="97"/>
      <c r="AM293" s="97"/>
      <c r="AP293" s="157"/>
      <c r="AQ293" s="191"/>
      <c r="AR293" s="191"/>
      <c r="AS293" s="192"/>
      <c r="AT293" s="193"/>
      <c r="AU293" s="193"/>
      <c r="AV293" s="194"/>
      <c r="AW293" s="194"/>
      <c r="AX293" s="194"/>
      <c r="AY293" s="193"/>
      <c r="AZ293" s="195"/>
    </row>
    <row r="294" spans="1:52" ht="15.5" x14ac:dyDescent="0.35">
      <c r="A294" s="197">
        <f t="shared" si="67"/>
        <v>6</v>
      </c>
      <c r="B294" s="98">
        <f t="shared" si="74"/>
        <v>235</v>
      </c>
      <c r="C294" s="99">
        <f t="shared" ca="1" si="77"/>
        <v>53210</v>
      </c>
      <c r="D294" s="100">
        <f t="shared" ca="1" si="78"/>
        <v>80797.633642571876</v>
      </c>
      <c r="E294" s="100">
        <f t="shared" ca="1" si="79"/>
        <v>1042.2894739891772</v>
      </c>
      <c r="F294" s="100">
        <f t="shared" ca="1" si="80"/>
        <v>81839.923116561054</v>
      </c>
      <c r="G294" s="100">
        <f t="shared" ca="1" si="75"/>
        <v>13038.478560393974</v>
      </c>
      <c r="H294" s="100">
        <f t="shared" ca="1" si="68"/>
        <v>14080.768034383151</v>
      </c>
      <c r="I294" s="100">
        <f t="shared" ca="1" si="81"/>
        <v>13.816395352879791</v>
      </c>
      <c r="J294" s="100">
        <f t="shared" ca="1" si="69"/>
        <v>111</v>
      </c>
      <c r="K294" s="100">
        <f t="shared" ca="1" si="82"/>
        <v>14205.584429736031</v>
      </c>
      <c r="L294" s="101">
        <f t="shared" ca="1" si="83"/>
        <v>67759.155082177895</v>
      </c>
      <c r="M294" s="12"/>
      <c r="N294" s="12"/>
      <c r="O294" s="12"/>
      <c r="Q294" s="118">
        <f t="shared" ca="1" si="76"/>
        <v>391.15435681181924</v>
      </c>
      <c r="R294" s="119">
        <f t="shared" ca="1" si="66"/>
        <v>31</v>
      </c>
      <c r="S294" s="120">
        <v>365</v>
      </c>
      <c r="AC294" s="224">
        <v>7050</v>
      </c>
      <c r="AD294" s="225">
        <f t="shared" ca="1" si="70"/>
        <v>14080.768034383151</v>
      </c>
      <c r="AE294" s="226">
        <f t="shared" ca="1" si="71"/>
        <v>53210</v>
      </c>
      <c r="AF294" s="227">
        <f t="shared" ca="1" si="72"/>
        <v>14080.768034383151</v>
      </c>
      <c r="AG294" s="225">
        <f t="shared" ca="1" si="73"/>
        <v>14205.584429736031</v>
      </c>
      <c r="AH294" s="220"/>
      <c r="AI294" s="97"/>
      <c r="AJ294" s="97"/>
      <c r="AK294" s="97"/>
      <c r="AL294" s="97"/>
      <c r="AM294" s="97"/>
      <c r="AP294" s="157"/>
      <c r="AQ294" s="186"/>
      <c r="AR294" s="186"/>
      <c r="AS294" s="186"/>
      <c r="AT294" s="189"/>
      <c r="AU294" s="188"/>
      <c r="AV294" s="189"/>
      <c r="AW294" s="188"/>
      <c r="AX294" s="188"/>
      <c r="AY294" s="188"/>
      <c r="AZ294" s="196"/>
    </row>
    <row r="295" spans="1:52" ht="15.5" x14ac:dyDescent="0.35">
      <c r="A295" s="197">
        <f t="shared" si="67"/>
        <v>5</v>
      </c>
      <c r="B295" s="98">
        <f t="shared" si="74"/>
        <v>236</v>
      </c>
      <c r="C295" s="99">
        <f t="shared" ca="1" si="77"/>
        <v>53240</v>
      </c>
      <c r="D295" s="100">
        <f t="shared" ca="1" si="78"/>
        <v>67759.155082177895</v>
      </c>
      <c r="E295" s="100">
        <f t="shared" ca="1" si="79"/>
        <v>874.09310056009485</v>
      </c>
      <c r="F295" s="100">
        <f t="shared" ca="1" si="80"/>
        <v>68633.248182737996</v>
      </c>
      <c r="G295" s="100">
        <f t="shared" ca="1" si="75"/>
        <v>13206.674933823051</v>
      </c>
      <c r="H295" s="100">
        <f t="shared" ca="1" si="68"/>
        <v>14080.768034383145</v>
      </c>
      <c r="I295" s="100">
        <f t="shared" ca="1" si="81"/>
        <v>11.58681551905242</v>
      </c>
      <c r="J295" s="100">
        <f t="shared" ca="1" si="69"/>
        <v>111</v>
      </c>
      <c r="K295" s="100">
        <f t="shared" ca="1" si="82"/>
        <v>14203.354849902198</v>
      </c>
      <c r="L295" s="101">
        <f t="shared" ca="1" si="83"/>
        <v>54552.480148354844</v>
      </c>
      <c r="M295" s="12"/>
      <c r="N295" s="12"/>
      <c r="O295" s="12"/>
      <c r="Q295" s="118">
        <f t="shared" ca="1" si="76"/>
        <v>396.20024801469151</v>
      </c>
      <c r="R295" s="119">
        <f t="shared" ref="R295:R298" ca="1" si="84">IF($B295&lt;=$J$21,C295-C294,)</f>
        <v>30</v>
      </c>
      <c r="S295" s="120">
        <v>365</v>
      </c>
      <c r="AC295" s="224">
        <v>7080</v>
      </c>
      <c r="AD295" s="225">
        <f t="shared" ca="1" si="70"/>
        <v>14080.768034383145</v>
      </c>
      <c r="AE295" s="226">
        <f t="shared" ca="1" si="71"/>
        <v>53240</v>
      </c>
      <c r="AF295" s="227">
        <f t="shared" ca="1" si="72"/>
        <v>14080.768034383145</v>
      </c>
      <c r="AG295" s="225">
        <f t="shared" ca="1" si="73"/>
        <v>14203.354849902198</v>
      </c>
      <c r="AP295" s="132"/>
      <c r="AQ295" s="132"/>
    </row>
    <row r="296" spans="1:52" ht="15.5" x14ac:dyDescent="0.35">
      <c r="A296" s="197">
        <f t="shared" si="67"/>
        <v>4</v>
      </c>
      <c r="B296" s="98">
        <f t="shared" si="74"/>
        <v>237</v>
      </c>
      <c r="C296" s="99">
        <f t="shared" ca="1" si="77"/>
        <v>53271</v>
      </c>
      <c r="D296" s="100">
        <f t="shared" ca="1" si="78"/>
        <v>54552.480148354844</v>
      </c>
      <c r="E296" s="100">
        <f t="shared" ca="1" si="79"/>
        <v>703.72699391377751</v>
      </c>
      <c r="F296" s="100">
        <f t="shared" ca="1" si="80"/>
        <v>55256.20714226862</v>
      </c>
      <c r="G296" s="100">
        <f t="shared" ca="1" si="75"/>
        <v>13377.041040469372</v>
      </c>
      <c r="H296" s="100">
        <f t="shared" ca="1" si="68"/>
        <v>14080.768034383149</v>
      </c>
      <c r="I296" s="100">
        <f t="shared" ca="1" si="81"/>
        <v>9.328474105368679</v>
      </c>
      <c r="J296" s="100">
        <f t="shared" ca="1" si="69"/>
        <v>111</v>
      </c>
      <c r="K296" s="100">
        <f t="shared" ca="1" si="82"/>
        <v>14201.096508488517</v>
      </c>
      <c r="L296" s="101">
        <f t="shared" ca="1" si="83"/>
        <v>41175.439107885468</v>
      </c>
      <c r="M296" s="12"/>
      <c r="N296" s="12"/>
      <c r="O296" s="12"/>
      <c r="Q296" s="118">
        <f t="shared" ca="1" si="76"/>
        <v>401.31123121408115</v>
      </c>
      <c r="R296" s="119">
        <f t="shared" ca="1" si="84"/>
        <v>31</v>
      </c>
      <c r="S296" s="120">
        <v>365</v>
      </c>
      <c r="AC296" s="224">
        <v>7110</v>
      </c>
      <c r="AD296" s="225">
        <f t="shared" ca="1" si="70"/>
        <v>14080.768034383149</v>
      </c>
      <c r="AE296" s="226">
        <f t="shared" ca="1" si="71"/>
        <v>53271</v>
      </c>
      <c r="AF296" s="227">
        <f t="shared" ca="1" si="72"/>
        <v>14080.768034383149</v>
      </c>
      <c r="AG296" s="225">
        <f t="shared" ca="1" si="73"/>
        <v>14201.096508488517</v>
      </c>
      <c r="AP296" s="132"/>
      <c r="AQ296" s="132"/>
    </row>
    <row r="297" spans="1:52" ht="15.5" x14ac:dyDescent="0.35">
      <c r="A297" s="197">
        <f t="shared" si="67"/>
        <v>3</v>
      </c>
      <c r="B297" s="98">
        <f t="shared" si="74"/>
        <v>238</v>
      </c>
      <c r="C297" s="99">
        <f t="shared" ca="1" si="77"/>
        <v>53301</v>
      </c>
      <c r="D297" s="100">
        <f t="shared" ca="1" si="78"/>
        <v>41175.439107885468</v>
      </c>
      <c r="E297" s="100">
        <f t="shared" ca="1" si="79"/>
        <v>531.16316449172257</v>
      </c>
      <c r="F297" s="100">
        <f t="shared" ca="1" si="80"/>
        <v>41706.602272377189</v>
      </c>
      <c r="G297" s="100">
        <f t="shared" ca="1" si="75"/>
        <v>13549.604869891426</v>
      </c>
      <c r="H297" s="100">
        <f t="shared" ca="1" si="68"/>
        <v>14080.768034383149</v>
      </c>
      <c r="I297" s="100">
        <f t="shared" ca="1" si="81"/>
        <v>7.0410000874484151</v>
      </c>
      <c r="J297" s="100">
        <f t="shared" ca="1" si="69"/>
        <v>111</v>
      </c>
      <c r="K297" s="100">
        <f t="shared" ca="1" si="82"/>
        <v>14198.809034470598</v>
      </c>
      <c r="L297" s="101">
        <f t="shared" ca="1" si="83"/>
        <v>27625.834237994044</v>
      </c>
      <c r="M297" s="12"/>
      <c r="N297" s="12"/>
      <c r="O297" s="12"/>
      <c r="Q297" s="118">
        <f t="shared" ca="1" si="76"/>
        <v>406.48814609674275</v>
      </c>
      <c r="R297" s="119">
        <f t="shared" ca="1" si="84"/>
        <v>30</v>
      </c>
      <c r="S297" s="120">
        <v>365</v>
      </c>
      <c r="AC297" s="224">
        <v>7140</v>
      </c>
      <c r="AD297" s="225">
        <f t="shared" ca="1" si="70"/>
        <v>14080.768034383149</v>
      </c>
      <c r="AE297" s="226">
        <f t="shared" ca="1" si="71"/>
        <v>53301</v>
      </c>
      <c r="AF297" s="227">
        <f t="shared" ca="1" si="72"/>
        <v>14080.768034383149</v>
      </c>
      <c r="AG297" s="225">
        <f t="shared" ca="1" si="73"/>
        <v>14198.809034470598</v>
      </c>
      <c r="AP297" s="132"/>
      <c r="AQ297" s="132"/>
    </row>
    <row r="298" spans="1:52" ht="15.5" x14ac:dyDescent="0.35">
      <c r="A298" s="197">
        <f t="shared" si="67"/>
        <v>2</v>
      </c>
      <c r="B298" s="98">
        <f t="shared" si="74"/>
        <v>239</v>
      </c>
      <c r="C298" s="99">
        <f t="shared" ca="1" si="77"/>
        <v>53332</v>
      </c>
      <c r="D298" s="100">
        <f t="shared" ca="1" si="78"/>
        <v>27625.834237994044</v>
      </c>
      <c r="E298" s="100">
        <f t="shared" ca="1" si="79"/>
        <v>356.37326167012316</v>
      </c>
      <c r="F298" s="100">
        <f t="shared" ca="1" si="80"/>
        <v>27982.207499664168</v>
      </c>
      <c r="G298" s="100">
        <f t="shared" ca="1" si="75"/>
        <v>13724.394772713022</v>
      </c>
      <c r="H298" s="100">
        <f t="shared" ca="1" si="68"/>
        <v>14080.768034383145</v>
      </c>
      <c r="I298" s="100">
        <f t="shared" ca="1" si="81"/>
        <v>4.7240176546969819</v>
      </c>
      <c r="J298" s="100">
        <f t="shared" ca="1" si="69"/>
        <v>111</v>
      </c>
      <c r="K298" s="100">
        <f t="shared" ca="1" si="82"/>
        <v>14196.492052037842</v>
      </c>
      <c r="L298" s="101">
        <f t="shared" ca="1" si="83"/>
        <v>13901.439465281022</v>
      </c>
      <c r="M298" s="12"/>
      <c r="N298" s="12"/>
      <c r="O298" s="12"/>
      <c r="Q298" s="118">
        <f t="shared" ca="1" si="76"/>
        <v>411.73184318139062</v>
      </c>
      <c r="R298" s="119">
        <f t="shared" ca="1" si="84"/>
        <v>31</v>
      </c>
      <c r="S298" s="120">
        <v>365</v>
      </c>
      <c r="AC298" s="224">
        <v>7170</v>
      </c>
      <c r="AD298" s="225">
        <f t="shared" ca="1" si="70"/>
        <v>14080.768034383145</v>
      </c>
      <c r="AE298" s="226">
        <f t="shared" ca="1" si="71"/>
        <v>53332</v>
      </c>
      <c r="AF298" s="227">
        <f t="shared" ca="1" si="72"/>
        <v>14080.768034383145</v>
      </c>
      <c r="AG298" s="225">
        <f t="shared" ca="1" si="73"/>
        <v>14196.492052037842</v>
      </c>
      <c r="AP298" s="132"/>
      <c r="AQ298" s="132"/>
    </row>
    <row r="299" spans="1:52" ht="15.5" x14ac:dyDescent="0.35">
      <c r="A299" s="197">
        <f t="shared" si="67"/>
        <v>1</v>
      </c>
      <c r="B299" s="98">
        <f t="shared" si="74"/>
        <v>240</v>
      </c>
      <c r="C299" s="99">
        <f t="shared" ca="1" si="77"/>
        <v>53363</v>
      </c>
      <c r="D299" s="100">
        <f t="shared" ca="1" si="78"/>
        <v>13901.439465281022</v>
      </c>
      <c r="E299" s="100">
        <f t="shared" ca="1" si="79"/>
        <v>179.32856910212519</v>
      </c>
      <c r="F299" s="100">
        <f t="shared" ca="1" si="80"/>
        <v>14080.768034383147</v>
      </c>
      <c r="G299" s="100">
        <f t="shared" ca="1" si="75"/>
        <v>13901.439465281024</v>
      </c>
      <c r="H299" s="100">
        <f t="shared" ca="1" si="68"/>
        <v>14080.768034383149</v>
      </c>
      <c r="I299" s="100">
        <f t="shared" ca="1" si="81"/>
        <v>2.377146148563055</v>
      </c>
      <c r="J299" s="100">
        <f t="shared" ca="1" si="69"/>
        <v>111</v>
      </c>
      <c r="K299" s="100">
        <f t="shared" ca="1" si="82"/>
        <v>14194.145180531712</v>
      </c>
      <c r="L299" s="101">
        <f t="shared" ca="1" si="83"/>
        <v>-1.8189894035458565E-12</v>
      </c>
      <c r="M299" s="12"/>
      <c r="N299" s="12"/>
      <c r="O299" s="12"/>
      <c r="Q299" s="118">
        <f t="shared" ref="Q299:Q362" ca="1" si="85">IFERROR(G299*$Q$44,0)</f>
        <v>417.04318395843069</v>
      </c>
      <c r="R299" s="119">
        <f t="shared" ref="R299:R362" ca="1" si="86">IF($B299&lt;=$J$21,C299-C298,)</f>
        <v>31</v>
      </c>
      <c r="S299" s="120">
        <v>365</v>
      </c>
      <c r="AC299" s="224">
        <v>7200</v>
      </c>
      <c r="AD299" s="225">
        <f t="shared" ca="1" si="70"/>
        <v>14080.768034383149</v>
      </c>
      <c r="AE299" s="226">
        <f t="shared" ca="1" si="71"/>
        <v>53363</v>
      </c>
      <c r="AF299" s="227">
        <f t="shared" ca="1" si="72"/>
        <v>14080.768034383149</v>
      </c>
      <c r="AG299" s="225">
        <f t="shared" ca="1" si="73"/>
        <v>14194.145180531712</v>
      </c>
      <c r="AP299" s="132"/>
      <c r="AQ299" s="132"/>
    </row>
    <row r="300" spans="1:52" ht="15.5" x14ac:dyDescent="0.35">
      <c r="A300" s="197" t="str">
        <f>IFERROR(IF(A299-1&lt;1,"",A299-1),"")</f>
        <v/>
      </c>
      <c r="B300" s="98" t="str">
        <f t="shared" ref="B300:B317" si="87">IF(IF(AND(B299&gt;0,B299&lt;$J$21),B299+1,0)=0,"",IF(AND(B299&gt;0,B299&lt;$J$21),B299+1,0))</f>
        <v/>
      </c>
      <c r="C300" s="99" t="str">
        <f t="shared" ref="C300:C363" si="88">IFERROR(IF(B300&lt;=$J$21,DATE(YEAR(C299),MONTH(C299)+1,DAY(C299)),""),"")</f>
        <v/>
      </c>
      <c r="D300" s="100" t="str">
        <f t="shared" ref="D300:D363" si="89">IF(B300="","",L299)</f>
        <v/>
      </c>
      <c r="E300" s="100" t="str">
        <f t="shared" ref="E300:E363" si="90">IFERROR(D300*TAXA,"")</f>
        <v/>
      </c>
      <c r="F300" s="100" t="str">
        <f t="shared" ref="F300:F363" si="91">IFERROR(D300+E300,"")</f>
        <v/>
      </c>
      <c r="G300" s="100" t="str">
        <f t="shared" ref="G300:G363" si="92">IFERROR(IF(C300="","",IF(SISTEMA_AMORTIZAÇÃO=PRICE_PRE,H300-E300,
IF(SISTEMA_AMORTIZAÇÃO=SAC_PRE,VALOR_CREDITO_BRUTO/PRAZO,
IF(SISTEMA_AMORTIZAÇÃO=SAC_POS,VALOR_CREDITO_BRUTO/PRAZO,)))),"")</f>
        <v/>
      </c>
      <c r="H300" s="100" t="str">
        <f t="shared" ref="H300:H363" si="93">IF($D$9&gt;=B300,0,IF(D300="","",
IF(SISTEMA_AMORTIZAÇÃO=PRICE_PRE,(PMT(TAXA,A300,$D300,)*-1),
IF(SISTEMA_AMORTIZAÇÃO=SAC_POS,(D300/A300)+(D300*TAXA)))))</f>
        <v/>
      </c>
      <c r="I300" s="100" t="str">
        <f t="shared" ref="I300:I363" si="94">IFERROR(D300*$K$32,"")</f>
        <v/>
      </c>
      <c r="J300" s="100" t="str">
        <f t="shared" si="69"/>
        <v/>
      </c>
      <c r="K300" s="100" t="str">
        <f t="shared" ref="K300:K363" si="95">IFERROR(SUM(J300+I300+H300),"")</f>
        <v/>
      </c>
      <c r="L300" s="101" t="str">
        <f t="shared" ref="L300:L363" si="96">IFERROR(D300-G300,"")</f>
        <v/>
      </c>
      <c r="M300" s="12"/>
      <c r="N300" s="12"/>
      <c r="O300" s="12"/>
      <c r="Q300" s="118">
        <f t="shared" si="85"/>
        <v>0</v>
      </c>
      <c r="R300" s="119">
        <f t="shared" si="86"/>
        <v>0</v>
      </c>
      <c r="S300" s="120">
        <v>365</v>
      </c>
      <c r="AC300" s="224">
        <v>7230</v>
      </c>
      <c r="AD300" s="225">
        <f>IF(H300="",0,"H298")</f>
        <v>0</v>
      </c>
      <c r="AE300" s="226">
        <f>IF(C300="",0,C300)</f>
        <v>0</v>
      </c>
      <c r="AF300" s="227">
        <f>IF(AD300="",0,AD300)</f>
        <v>0</v>
      </c>
      <c r="AG300" s="225">
        <f>IF(K300="",0,K300)</f>
        <v>0</v>
      </c>
      <c r="AP300" s="132"/>
      <c r="AQ300" s="132"/>
    </row>
    <row r="301" spans="1:52" ht="15.5" x14ac:dyDescent="0.35">
      <c r="A301" s="197" t="str">
        <f t="shared" ref="A301:A364" si="97">IFERROR(IF(A300-1&lt;1,"",A300-1),"")</f>
        <v/>
      </c>
      <c r="B301" s="98" t="str">
        <f t="shared" si="87"/>
        <v/>
      </c>
      <c r="C301" s="99" t="str">
        <f t="shared" si="88"/>
        <v/>
      </c>
      <c r="D301" s="100" t="str">
        <f t="shared" si="89"/>
        <v/>
      </c>
      <c r="E301" s="100" t="str">
        <f t="shared" si="90"/>
        <v/>
      </c>
      <c r="F301" s="100" t="str">
        <f t="shared" si="91"/>
        <v/>
      </c>
      <c r="G301" s="100" t="str">
        <f t="shared" si="92"/>
        <v/>
      </c>
      <c r="H301" s="100" t="str">
        <f t="shared" si="93"/>
        <v/>
      </c>
      <c r="I301" s="100" t="str">
        <f t="shared" si="94"/>
        <v/>
      </c>
      <c r="J301" s="100" t="str">
        <f t="shared" si="69"/>
        <v/>
      </c>
      <c r="K301" s="100" t="str">
        <f t="shared" si="95"/>
        <v/>
      </c>
      <c r="L301" s="101" t="str">
        <f t="shared" si="96"/>
        <v/>
      </c>
      <c r="M301" s="12"/>
      <c r="N301" s="12"/>
      <c r="O301" s="12"/>
      <c r="Q301" s="118">
        <f t="shared" si="85"/>
        <v>0</v>
      </c>
      <c r="R301" s="119">
        <f t="shared" si="86"/>
        <v>0</v>
      </c>
      <c r="S301" s="120">
        <v>365</v>
      </c>
      <c r="AC301" s="224">
        <v>7260</v>
      </c>
      <c r="AD301" s="225">
        <f t="shared" ref="AD301:AD364" si="98">IF(H301="",0,"H298")</f>
        <v>0</v>
      </c>
      <c r="AE301" s="226">
        <f t="shared" ref="AE301:AE364" si="99">IF(C301="",0,C301)</f>
        <v>0</v>
      </c>
      <c r="AF301" s="227">
        <f t="shared" ref="AF301:AF364" si="100">IF(AD301="",0,AD301)</f>
        <v>0</v>
      </c>
      <c r="AG301" s="225">
        <f t="shared" ref="AG301:AG364" si="101">IF(K301="",0,K301)</f>
        <v>0</v>
      </c>
      <c r="AP301" s="132"/>
      <c r="AQ301" s="132"/>
    </row>
    <row r="302" spans="1:52" ht="15.5" x14ac:dyDescent="0.35">
      <c r="A302" s="197" t="str">
        <f t="shared" si="97"/>
        <v/>
      </c>
      <c r="B302" s="98" t="str">
        <f t="shared" si="87"/>
        <v/>
      </c>
      <c r="C302" s="99" t="str">
        <f t="shared" si="88"/>
        <v/>
      </c>
      <c r="D302" s="100" t="str">
        <f t="shared" si="89"/>
        <v/>
      </c>
      <c r="E302" s="100" t="str">
        <f t="shared" si="90"/>
        <v/>
      </c>
      <c r="F302" s="100" t="str">
        <f t="shared" si="91"/>
        <v/>
      </c>
      <c r="G302" s="100" t="str">
        <f t="shared" si="92"/>
        <v/>
      </c>
      <c r="H302" s="100" t="str">
        <f t="shared" si="93"/>
        <v/>
      </c>
      <c r="I302" s="100" t="str">
        <f t="shared" si="94"/>
        <v/>
      </c>
      <c r="J302" s="100" t="str">
        <f t="shared" si="69"/>
        <v/>
      </c>
      <c r="K302" s="100" t="str">
        <f t="shared" si="95"/>
        <v/>
      </c>
      <c r="L302" s="101" t="str">
        <f t="shared" si="96"/>
        <v/>
      </c>
      <c r="M302" s="12"/>
      <c r="N302" s="12"/>
      <c r="O302" s="12"/>
      <c r="Q302" s="118">
        <f t="shared" si="85"/>
        <v>0</v>
      </c>
      <c r="R302" s="119">
        <f t="shared" si="86"/>
        <v>0</v>
      </c>
      <c r="S302" s="120">
        <v>365</v>
      </c>
      <c r="AC302" s="224">
        <v>7290</v>
      </c>
      <c r="AD302" s="225">
        <f t="shared" si="98"/>
        <v>0</v>
      </c>
      <c r="AE302" s="236">
        <f t="shared" si="99"/>
        <v>0</v>
      </c>
      <c r="AF302" s="225">
        <f t="shared" si="100"/>
        <v>0</v>
      </c>
      <c r="AG302" s="225">
        <f t="shared" si="101"/>
        <v>0</v>
      </c>
      <c r="AP302" s="132"/>
      <c r="AQ302" s="132"/>
    </row>
    <row r="303" spans="1:52" ht="15.5" x14ac:dyDescent="0.35">
      <c r="A303" s="197" t="str">
        <f t="shared" si="97"/>
        <v/>
      </c>
      <c r="B303" s="98" t="str">
        <f t="shared" si="87"/>
        <v/>
      </c>
      <c r="C303" s="99" t="str">
        <f t="shared" si="88"/>
        <v/>
      </c>
      <c r="D303" s="100" t="str">
        <f t="shared" si="89"/>
        <v/>
      </c>
      <c r="E303" s="100" t="str">
        <f t="shared" si="90"/>
        <v/>
      </c>
      <c r="F303" s="100" t="str">
        <f t="shared" si="91"/>
        <v/>
      </c>
      <c r="G303" s="100" t="str">
        <f t="shared" si="92"/>
        <v/>
      </c>
      <c r="H303" s="100" t="str">
        <f t="shared" si="93"/>
        <v/>
      </c>
      <c r="I303" s="100" t="str">
        <f t="shared" si="94"/>
        <v/>
      </c>
      <c r="J303" s="100" t="str">
        <f t="shared" si="69"/>
        <v/>
      </c>
      <c r="K303" s="100" t="str">
        <f t="shared" si="95"/>
        <v/>
      </c>
      <c r="L303" s="101" t="str">
        <f t="shared" si="96"/>
        <v/>
      </c>
      <c r="M303" s="12"/>
      <c r="N303" s="12"/>
      <c r="O303" s="12"/>
      <c r="Q303" s="118">
        <f t="shared" si="85"/>
        <v>0</v>
      </c>
      <c r="R303" s="119">
        <f t="shared" si="86"/>
        <v>0</v>
      </c>
      <c r="S303" s="120">
        <v>365</v>
      </c>
      <c r="AC303" s="224">
        <v>7320</v>
      </c>
      <c r="AD303" s="225">
        <f t="shared" si="98"/>
        <v>0</v>
      </c>
      <c r="AE303" s="236">
        <f t="shared" si="99"/>
        <v>0</v>
      </c>
      <c r="AF303" s="225">
        <f t="shared" si="100"/>
        <v>0</v>
      </c>
      <c r="AG303" s="225">
        <f t="shared" si="101"/>
        <v>0</v>
      </c>
      <c r="AP303" s="132"/>
      <c r="AQ303" s="132"/>
    </row>
    <row r="304" spans="1:52" ht="15.5" x14ac:dyDescent="0.35">
      <c r="A304" s="197" t="str">
        <f t="shared" si="97"/>
        <v/>
      </c>
      <c r="B304" s="98" t="str">
        <f t="shared" si="87"/>
        <v/>
      </c>
      <c r="C304" s="99" t="str">
        <f t="shared" si="88"/>
        <v/>
      </c>
      <c r="D304" s="100" t="str">
        <f t="shared" si="89"/>
        <v/>
      </c>
      <c r="E304" s="100" t="str">
        <f t="shared" si="90"/>
        <v/>
      </c>
      <c r="F304" s="100" t="str">
        <f t="shared" si="91"/>
        <v/>
      </c>
      <c r="G304" s="100" t="str">
        <f t="shared" si="92"/>
        <v/>
      </c>
      <c r="H304" s="100" t="str">
        <f t="shared" si="93"/>
        <v/>
      </c>
      <c r="I304" s="100" t="str">
        <f t="shared" si="94"/>
        <v/>
      </c>
      <c r="J304" s="100" t="str">
        <f t="shared" si="69"/>
        <v/>
      </c>
      <c r="K304" s="100" t="str">
        <f t="shared" si="95"/>
        <v/>
      </c>
      <c r="L304" s="101" t="str">
        <f t="shared" si="96"/>
        <v/>
      </c>
      <c r="M304" s="12"/>
      <c r="N304" s="12"/>
      <c r="O304" s="12"/>
      <c r="Q304" s="118">
        <f t="shared" si="85"/>
        <v>0</v>
      </c>
      <c r="R304" s="119">
        <f t="shared" si="86"/>
        <v>0</v>
      </c>
      <c r="S304" s="120">
        <v>365</v>
      </c>
      <c r="AC304" s="224">
        <v>7350</v>
      </c>
      <c r="AD304" s="225">
        <f t="shared" si="98"/>
        <v>0</v>
      </c>
      <c r="AE304" s="236">
        <f t="shared" si="99"/>
        <v>0</v>
      </c>
      <c r="AF304" s="225">
        <f t="shared" si="100"/>
        <v>0</v>
      </c>
      <c r="AG304" s="225">
        <f t="shared" si="101"/>
        <v>0</v>
      </c>
      <c r="AP304" s="132"/>
      <c r="AQ304" s="132"/>
    </row>
    <row r="305" spans="1:43" ht="15.5" x14ac:dyDescent="0.35">
      <c r="A305" s="197" t="str">
        <f t="shared" si="97"/>
        <v/>
      </c>
      <c r="B305" s="98" t="str">
        <f t="shared" si="87"/>
        <v/>
      </c>
      <c r="C305" s="99" t="str">
        <f t="shared" si="88"/>
        <v/>
      </c>
      <c r="D305" s="100" t="str">
        <f t="shared" si="89"/>
        <v/>
      </c>
      <c r="E305" s="100" t="str">
        <f t="shared" si="90"/>
        <v/>
      </c>
      <c r="F305" s="100" t="str">
        <f t="shared" si="91"/>
        <v/>
      </c>
      <c r="G305" s="100" t="str">
        <f t="shared" si="92"/>
        <v/>
      </c>
      <c r="H305" s="100" t="str">
        <f t="shared" si="93"/>
        <v/>
      </c>
      <c r="I305" s="100" t="str">
        <f t="shared" si="94"/>
        <v/>
      </c>
      <c r="J305" s="100" t="str">
        <f t="shared" si="69"/>
        <v/>
      </c>
      <c r="K305" s="100" t="str">
        <f t="shared" si="95"/>
        <v/>
      </c>
      <c r="L305" s="101" t="str">
        <f t="shared" si="96"/>
        <v/>
      </c>
      <c r="M305" s="12"/>
      <c r="N305" s="12"/>
      <c r="O305" s="12"/>
      <c r="Q305" s="118">
        <f t="shared" si="85"/>
        <v>0</v>
      </c>
      <c r="R305" s="119">
        <f t="shared" si="86"/>
        <v>0</v>
      </c>
      <c r="S305" s="120">
        <v>365</v>
      </c>
      <c r="AC305" s="224">
        <v>7380</v>
      </c>
      <c r="AD305" s="225">
        <f t="shared" si="98"/>
        <v>0</v>
      </c>
      <c r="AE305" s="236">
        <f t="shared" si="99"/>
        <v>0</v>
      </c>
      <c r="AF305" s="225">
        <f t="shared" si="100"/>
        <v>0</v>
      </c>
      <c r="AG305" s="225">
        <f t="shared" si="101"/>
        <v>0</v>
      </c>
      <c r="AP305" s="132"/>
      <c r="AQ305" s="132"/>
    </row>
    <row r="306" spans="1:43" ht="15.5" x14ac:dyDescent="0.35">
      <c r="A306" s="197" t="str">
        <f t="shared" si="97"/>
        <v/>
      </c>
      <c r="B306" s="98" t="str">
        <f t="shared" si="87"/>
        <v/>
      </c>
      <c r="C306" s="99" t="str">
        <f t="shared" si="88"/>
        <v/>
      </c>
      <c r="D306" s="100" t="str">
        <f t="shared" si="89"/>
        <v/>
      </c>
      <c r="E306" s="100" t="str">
        <f t="shared" si="90"/>
        <v/>
      </c>
      <c r="F306" s="100" t="str">
        <f t="shared" si="91"/>
        <v/>
      </c>
      <c r="G306" s="100" t="str">
        <f t="shared" si="92"/>
        <v/>
      </c>
      <c r="H306" s="100" t="str">
        <f t="shared" si="93"/>
        <v/>
      </c>
      <c r="I306" s="100" t="str">
        <f t="shared" si="94"/>
        <v/>
      </c>
      <c r="J306" s="100" t="str">
        <f t="shared" si="69"/>
        <v/>
      </c>
      <c r="K306" s="100" t="str">
        <f t="shared" si="95"/>
        <v/>
      </c>
      <c r="L306" s="101" t="str">
        <f t="shared" si="96"/>
        <v/>
      </c>
      <c r="M306" s="12"/>
      <c r="N306" s="12"/>
      <c r="O306" s="12"/>
      <c r="Q306" s="118">
        <f t="shared" si="85"/>
        <v>0</v>
      </c>
      <c r="R306" s="119">
        <f t="shared" si="86"/>
        <v>0</v>
      </c>
      <c r="S306" s="120">
        <v>365</v>
      </c>
      <c r="AC306" s="224">
        <v>7410</v>
      </c>
      <c r="AD306" s="225">
        <f t="shared" si="98"/>
        <v>0</v>
      </c>
      <c r="AE306" s="236">
        <f t="shared" si="99"/>
        <v>0</v>
      </c>
      <c r="AF306" s="225">
        <f t="shared" si="100"/>
        <v>0</v>
      </c>
      <c r="AG306" s="225">
        <f t="shared" si="101"/>
        <v>0</v>
      </c>
      <c r="AP306" s="132"/>
      <c r="AQ306" s="132"/>
    </row>
    <row r="307" spans="1:43" ht="15.5" x14ac:dyDescent="0.35">
      <c r="A307" s="197" t="str">
        <f t="shared" si="97"/>
        <v/>
      </c>
      <c r="B307" s="98" t="str">
        <f t="shared" si="87"/>
        <v/>
      </c>
      <c r="C307" s="99" t="str">
        <f t="shared" si="88"/>
        <v/>
      </c>
      <c r="D307" s="100" t="str">
        <f t="shared" si="89"/>
        <v/>
      </c>
      <c r="E307" s="100" t="str">
        <f t="shared" si="90"/>
        <v/>
      </c>
      <c r="F307" s="100" t="str">
        <f t="shared" si="91"/>
        <v/>
      </c>
      <c r="G307" s="100" t="str">
        <f t="shared" si="92"/>
        <v/>
      </c>
      <c r="H307" s="100" t="str">
        <f t="shared" si="93"/>
        <v/>
      </c>
      <c r="I307" s="100" t="str">
        <f t="shared" si="94"/>
        <v/>
      </c>
      <c r="J307" s="100" t="str">
        <f t="shared" si="69"/>
        <v/>
      </c>
      <c r="K307" s="100" t="str">
        <f t="shared" si="95"/>
        <v/>
      </c>
      <c r="L307" s="101" t="str">
        <f t="shared" si="96"/>
        <v/>
      </c>
      <c r="M307" s="12"/>
      <c r="N307" s="12"/>
      <c r="O307" s="12"/>
      <c r="Q307" s="118">
        <f t="shared" si="85"/>
        <v>0</v>
      </c>
      <c r="R307" s="119">
        <f t="shared" si="86"/>
        <v>0</v>
      </c>
      <c r="S307" s="120">
        <v>365</v>
      </c>
      <c r="AC307" s="224">
        <v>7440</v>
      </c>
      <c r="AD307" s="225">
        <f t="shared" si="98"/>
        <v>0</v>
      </c>
      <c r="AE307" s="236">
        <f t="shared" si="99"/>
        <v>0</v>
      </c>
      <c r="AF307" s="225">
        <f t="shared" si="100"/>
        <v>0</v>
      </c>
      <c r="AG307" s="225">
        <f t="shared" si="101"/>
        <v>0</v>
      </c>
      <c r="AP307" s="132"/>
      <c r="AQ307" s="132"/>
    </row>
    <row r="308" spans="1:43" ht="15.5" x14ac:dyDescent="0.35">
      <c r="A308" s="197" t="str">
        <f t="shared" si="97"/>
        <v/>
      </c>
      <c r="B308" s="98" t="str">
        <f t="shared" si="87"/>
        <v/>
      </c>
      <c r="C308" s="99" t="str">
        <f t="shared" si="88"/>
        <v/>
      </c>
      <c r="D308" s="100" t="str">
        <f t="shared" si="89"/>
        <v/>
      </c>
      <c r="E308" s="100" t="str">
        <f t="shared" si="90"/>
        <v/>
      </c>
      <c r="F308" s="100" t="str">
        <f t="shared" si="91"/>
        <v/>
      </c>
      <c r="G308" s="100" t="str">
        <f t="shared" si="92"/>
        <v/>
      </c>
      <c r="H308" s="100" t="str">
        <f t="shared" si="93"/>
        <v/>
      </c>
      <c r="I308" s="100" t="str">
        <f t="shared" si="94"/>
        <v/>
      </c>
      <c r="J308" s="100" t="str">
        <f t="shared" si="69"/>
        <v/>
      </c>
      <c r="K308" s="100" t="str">
        <f t="shared" si="95"/>
        <v/>
      </c>
      <c r="L308" s="101" t="str">
        <f t="shared" si="96"/>
        <v/>
      </c>
      <c r="M308" s="12"/>
      <c r="N308" s="12"/>
      <c r="O308" s="12"/>
      <c r="Q308" s="118">
        <f t="shared" si="85"/>
        <v>0</v>
      </c>
      <c r="R308" s="119">
        <f t="shared" si="86"/>
        <v>0</v>
      </c>
      <c r="S308" s="120">
        <v>365</v>
      </c>
      <c r="AC308" s="224">
        <v>7470</v>
      </c>
      <c r="AD308" s="225">
        <f t="shared" si="98"/>
        <v>0</v>
      </c>
      <c r="AE308" s="236">
        <f t="shared" si="99"/>
        <v>0</v>
      </c>
      <c r="AF308" s="225">
        <f t="shared" si="100"/>
        <v>0</v>
      </c>
      <c r="AG308" s="225">
        <f t="shared" si="101"/>
        <v>0</v>
      </c>
      <c r="AP308" s="132"/>
      <c r="AQ308" s="132"/>
    </row>
    <row r="309" spans="1:43" ht="15.5" x14ac:dyDescent="0.35">
      <c r="A309" s="197" t="str">
        <f t="shared" si="97"/>
        <v/>
      </c>
      <c r="B309" s="98" t="str">
        <f t="shared" si="87"/>
        <v/>
      </c>
      <c r="C309" s="99" t="str">
        <f t="shared" si="88"/>
        <v/>
      </c>
      <c r="D309" s="100" t="str">
        <f t="shared" si="89"/>
        <v/>
      </c>
      <c r="E309" s="100" t="str">
        <f t="shared" si="90"/>
        <v/>
      </c>
      <c r="F309" s="100" t="str">
        <f t="shared" si="91"/>
        <v/>
      </c>
      <c r="G309" s="100" t="str">
        <f t="shared" si="92"/>
        <v/>
      </c>
      <c r="H309" s="100" t="str">
        <f t="shared" si="93"/>
        <v/>
      </c>
      <c r="I309" s="100" t="str">
        <f t="shared" si="94"/>
        <v/>
      </c>
      <c r="J309" s="100" t="str">
        <f t="shared" si="69"/>
        <v/>
      </c>
      <c r="K309" s="100" t="str">
        <f t="shared" si="95"/>
        <v/>
      </c>
      <c r="L309" s="101" t="str">
        <f t="shared" si="96"/>
        <v/>
      </c>
      <c r="M309" s="12"/>
      <c r="N309" s="12"/>
      <c r="O309" s="12"/>
      <c r="Q309" s="118">
        <f t="shared" si="85"/>
        <v>0</v>
      </c>
      <c r="R309" s="119">
        <f t="shared" si="86"/>
        <v>0</v>
      </c>
      <c r="S309" s="120">
        <v>365</v>
      </c>
      <c r="AC309" s="224">
        <v>7500</v>
      </c>
      <c r="AD309" s="225">
        <f t="shared" si="98"/>
        <v>0</v>
      </c>
      <c r="AE309" s="236">
        <f t="shared" si="99"/>
        <v>0</v>
      </c>
      <c r="AF309" s="225">
        <f t="shared" si="100"/>
        <v>0</v>
      </c>
      <c r="AG309" s="225">
        <f t="shared" si="101"/>
        <v>0</v>
      </c>
      <c r="AP309" s="132"/>
      <c r="AQ309" s="132"/>
    </row>
    <row r="310" spans="1:43" ht="15.5" x14ac:dyDescent="0.35">
      <c r="A310" s="197" t="str">
        <f t="shared" si="97"/>
        <v/>
      </c>
      <c r="B310" s="98" t="str">
        <f t="shared" si="87"/>
        <v/>
      </c>
      <c r="C310" s="99" t="str">
        <f t="shared" si="88"/>
        <v/>
      </c>
      <c r="D310" s="100" t="str">
        <f t="shared" si="89"/>
        <v/>
      </c>
      <c r="E310" s="100" t="str">
        <f t="shared" si="90"/>
        <v/>
      </c>
      <c r="F310" s="100" t="str">
        <f t="shared" si="91"/>
        <v/>
      </c>
      <c r="G310" s="100" t="str">
        <f t="shared" si="92"/>
        <v/>
      </c>
      <c r="H310" s="100" t="str">
        <f t="shared" si="93"/>
        <v/>
      </c>
      <c r="I310" s="100" t="str">
        <f t="shared" si="94"/>
        <v/>
      </c>
      <c r="J310" s="100" t="str">
        <f t="shared" si="69"/>
        <v/>
      </c>
      <c r="K310" s="100" t="str">
        <f t="shared" si="95"/>
        <v/>
      </c>
      <c r="L310" s="101" t="str">
        <f t="shared" si="96"/>
        <v/>
      </c>
      <c r="M310" s="12"/>
      <c r="N310" s="12"/>
      <c r="O310" s="12"/>
      <c r="Q310" s="118">
        <f t="shared" si="85"/>
        <v>0</v>
      </c>
      <c r="R310" s="119">
        <f t="shared" si="86"/>
        <v>0</v>
      </c>
      <c r="S310" s="120">
        <v>365</v>
      </c>
      <c r="AC310" s="224">
        <v>7530</v>
      </c>
      <c r="AD310" s="225">
        <f t="shared" si="98"/>
        <v>0</v>
      </c>
      <c r="AE310" s="236">
        <f t="shared" si="99"/>
        <v>0</v>
      </c>
      <c r="AF310" s="225">
        <f t="shared" si="100"/>
        <v>0</v>
      </c>
      <c r="AG310" s="225">
        <f t="shared" si="101"/>
        <v>0</v>
      </c>
      <c r="AP310" s="132"/>
      <c r="AQ310" s="132"/>
    </row>
    <row r="311" spans="1:43" ht="15.5" x14ac:dyDescent="0.35">
      <c r="A311" s="197" t="str">
        <f t="shared" si="97"/>
        <v/>
      </c>
      <c r="B311" s="98" t="str">
        <f t="shared" si="87"/>
        <v/>
      </c>
      <c r="C311" s="99" t="str">
        <f t="shared" si="88"/>
        <v/>
      </c>
      <c r="D311" s="100" t="str">
        <f t="shared" si="89"/>
        <v/>
      </c>
      <c r="E311" s="100" t="str">
        <f t="shared" si="90"/>
        <v/>
      </c>
      <c r="F311" s="100" t="str">
        <f t="shared" si="91"/>
        <v/>
      </c>
      <c r="G311" s="100" t="str">
        <f t="shared" si="92"/>
        <v/>
      </c>
      <c r="H311" s="100" t="str">
        <f t="shared" si="93"/>
        <v/>
      </c>
      <c r="I311" s="100" t="str">
        <f t="shared" si="94"/>
        <v/>
      </c>
      <c r="J311" s="100" t="str">
        <f t="shared" si="69"/>
        <v/>
      </c>
      <c r="K311" s="100" t="str">
        <f t="shared" si="95"/>
        <v/>
      </c>
      <c r="L311" s="101" t="str">
        <f t="shared" si="96"/>
        <v/>
      </c>
      <c r="M311" s="12"/>
      <c r="N311" s="12"/>
      <c r="O311" s="12"/>
      <c r="Q311" s="118">
        <f t="shared" si="85"/>
        <v>0</v>
      </c>
      <c r="R311" s="119">
        <f t="shared" si="86"/>
        <v>0</v>
      </c>
      <c r="S311" s="120">
        <v>365</v>
      </c>
      <c r="AC311" s="224">
        <v>7560</v>
      </c>
      <c r="AD311" s="225">
        <f t="shared" si="98"/>
        <v>0</v>
      </c>
      <c r="AE311" s="236">
        <f t="shared" si="99"/>
        <v>0</v>
      </c>
      <c r="AF311" s="225">
        <f t="shared" si="100"/>
        <v>0</v>
      </c>
      <c r="AG311" s="225">
        <f t="shared" si="101"/>
        <v>0</v>
      </c>
      <c r="AP311" s="132"/>
      <c r="AQ311" s="132"/>
    </row>
    <row r="312" spans="1:43" ht="15.5" x14ac:dyDescent="0.35">
      <c r="A312" s="197" t="str">
        <f t="shared" si="97"/>
        <v/>
      </c>
      <c r="B312" s="98" t="str">
        <f t="shared" si="87"/>
        <v/>
      </c>
      <c r="C312" s="99" t="str">
        <f t="shared" si="88"/>
        <v/>
      </c>
      <c r="D312" s="100" t="str">
        <f t="shared" si="89"/>
        <v/>
      </c>
      <c r="E312" s="100" t="str">
        <f t="shared" si="90"/>
        <v/>
      </c>
      <c r="F312" s="100" t="str">
        <f t="shared" si="91"/>
        <v/>
      </c>
      <c r="G312" s="100" t="str">
        <f t="shared" si="92"/>
        <v/>
      </c>
      <c r="H312" s="100" t="str">
        <f t="shared" si="93"/>
        <v/>
      </c>
      <c r="I312" s="100" t="str">
        <f t="shared" si="94"/>
        <v/>
      </c>
      <c r="J312" s="100" t="str">
        <f t="shared" si="69"/>
        <v/>
      </c>
      <c r="K312" s="100" t="str">
        <f t="shared" si="95"/>
        <v/>
      </c>
      <c r="L312" s="101" t="str">
        <f t="shared" si="96"/>
        <v/>
      </c>
      <c r="M312" s="12"/>
      <c r="N312" s="12"/>
      <c r="O312" s="12"/>
      <c r="Q312" s="118">
        <f t="shared" si="85"/>
        <v>0</v>
      </c>
      <c r="R312" s="119">
        <f t="shared" si="86"/>
        <v>0</v>
      </c>
      <c r="S312" s="120">
        <v>365</v>
      </c>
      <c r="AC312" s="224">
        <v>7590</v>
      </c>
      <c r="AD312" s="225">
        <f t="shared" si="98"/>
        <v>0</v>
      </c>
      <c r="AE312" s="236">
        <f t="shared" si="99"/>
        <v>0</v>
      </c>
      <c r="AF312" s="225">
        <f t="shared" si="100"/>
        <v>0</v>
      </c>
      <c r="AG312" s="225">
        <f t="shared" si="101"/>
        <v>0</v>
      </c>
      <c r="AP312" s="132"/>
      <c r="AQ312" s="132"/>
    </row>
    <row r="313" spans="1:43" ht="15.5" x14ac:dyDescent="0.35">
      <c r="A313" s="197" t="str">
        <f t="shared" si="97"/>
        <v/>
      </c>
      <c r="B313" s="98" t="str">
        <f t="shared" si="87"/>
        <v/>
      </c>
      <c r="C313" s="99" t="str">
        <f t="shared" si="88"/>
        <v/>
      </c>
      <c r="D313" s="100" t="str">
        <f t="shared" si="89"/>
        <v/>
      </c>
      <c r="E313" s="100" t="str">
        <f t="shared" si="90"/>
        <v/>
      </c>
      <c r="F313" s="100" t="str">
        <f t="shared" si="91"/>
        <v/>
      </c>
      <c r="G313" s="100" t="str">
        <f t="shared" si="92"/>
        <v/>
      </c>
      <c r="H313" s="100" t="str">
        <f t="shared" si="93"/>
        <v/>
      </c>
      <c r="I313" s="100" t="str">
        <f t="shared" si="94"/>
        <v/>
      </c>
      <c r="J313" s="100" t="str">
        <f t="shared" si="69"/>
        <v/>
      </c>
      <c r="K313" s="100" t="str">
        <f t="shared" si="95"/>
        <v/>
      </c>
      <c r="L313" s="101" t="str">
        <f t="shared" si="96"/>
        <v/>
      </c>
      <c r="M313" s="12"/>
      <c r="N313" s="12"/>
      <c r="O313" s="12"/>
      <c r="Q313" s="118">
        <f t="shared" si="85"/>
        <v>0</v>
      </c>
      <c r="R313" s="119">
        <f t="shared" si="86"/>
        <v>0</v>
      </c>
      <c r="S313" s="120">
        <v>365</v>
      </c>
      <c r="AC313" s="224">
        <v>7620</v>
      </c>
      <c r="AD313" s="225">
        <f t="shared" si="98"/>
        <v>0</v>
      </c>
      <c r="AE313" s="236">
        <f t="shared" si="99"/>
        <v>0</v>
      </c>
      <c r="AF313" s="225">
        <f t="shared" si="100"/>
        <v>0</v>
      </c>
      <c r="AG313" s="225">
        <f t="shared" si="101"/>
        <v>0</v>
      </c>
      <c r="AP313" s="132"/>
      <c r="AQ313" s="132"/>
    </row>
    <row r="314" spans="1:43" ht="15.5" x14ac:dyDescent="0.35">
      <c r="A314" s="197" t="str">
        <f t="shared" si="97"/>
        <v/>
      </c>
      <c r="B314" s="98" t="str">
        <f t="shared" si="87"/>
        <v/>
      </c>
      <c r="C314" s="99" t="str">
        <f t="shared" si="88"/>
        <v/>
      </c>
      <c r="D314" s="100" t="str">
        <f t="shared" si="89"/>
        <v/>
      </c>
      <c r="E314" s="100" t="str">
        <f t="shared" si="90"/>
        <v/>
      </c>
      <c r="F314" s="100" t="str">
        <f t="shared" si="91"/>
        <v/>
      </c>
      <c r="G314" s="100" t="str">
        <f t="shared" si="92"/>
        <v/>
      </c>
      <c r="H314" s="100" t="str">
        <f t="shared" si="93"/>
        <v/>
      </c>
      <c r="I314" s="100" t="str">
        <f t="shared" si="94"/>
        <v/>
      </c>
      <c r="J314" s="100" t="str">
        <f t="shared" si="69"/>
        <v/>
      </c>
      <c r="K314" s="100" t="str">
        <f t="shared" si="95"/>
        <v/>
      </c>
      <c r="L314" s="101" t="str">
        <f t="shared" si="96"/>
        <v/>
      </c>
      <c r="M314" s="12"/>
      <c r="N314" s="12"/>
      <c r="O314" s="12"/>
      <c r="Q314" s="118">
        <f t="shared" si="85"/>
        <v>0</v>
      </c>
      <c r="R314" s="119">
        <f t="shared" si="86"/>
        <v>0</v>
      </c>
      <c r="S314" s="120">
        <v>365</v>
      </c>
      <c r="AC314" s="224">
        <v>7650</v>
      </c>
      <c r="AD314" s="225">
        <f t="shared" si="98"/>
        <v>0</v>
      </c>
      <c r="AE314" s="236">
        <f t="shared" si="99"/>
        <v>0</v>
      </c>
      <c r="AF314" s="225">
        <f t="shared" si="100"/>
        <v>0</v>
      </c>
      <c r="AG314" s="225">
        <f t="shared" si="101"/>
        <v>0</v>
      </c>
      <c r="AP314" s="132"/>
      <c r="AQ314" s="132"/>
    </row>
    <row r="315" spans="1:43" ht="15.5" x14ac:dyDescent="0.35">
      <c r="A315" s="197" t="str">
        <f t="shared" si="97"/>
        <v/>
      </c>
      <c r="B315" s="98" t="str">
        <f t="shared" si="87"/>
        <v/>
      </c>
      <c r="C315" s="99" t="str">
        <f t="shared" si="88"/>
        <v/>
      </c>
      <c r="D315" s="100" t="str">
        <f t="shared" si="89"/>
        <v/>
      </c>
      <c r="E315" s="100" t="str">
        <f t="shared" si="90"/>
        <v/>
      </c>
      <c r="F315" s="100" t="str">
        <f t="shared" si="91"/>
        <v/>
      </c>
      <c r="G315" s="100" t="str">
        <f t="shared" si="92"/>
        <v/>
      </c>
      <c r="H315" s="100" t="str">
        <f t="shared" si="93"/>
        <v/>
      </c>
      <c r="I315" s="100" t="str">
        <f t="shared" si="94"/>
        <v/>
      </c>
      <c r="J315" s="100" t="str">
        <f t="shared" si="69"/>
        <v/>
      </c>
      <c r="K315" s="100" t="str">
        <f t="shared" si="95"/>
        <v/>
      </c>
      <c r="L315" s="101" t="str">
        <f t="shared" si="96"/>
        <v/>
      </c>
      <c r="M315" s="12"/>
      <c r="N315" s="12"/>
      <c r="O315" s="12"/>
      <c r="Q315" s="118">
        <f t="shared" si="85"/>
        <v>0</v>
      </c>
      <c r="R315" s="119">
        <f t="shared" si="86"/>
        <v>0</v>
      </c>
      <c r="S315" s="120">
        <v>365</v>
      </c>
      <c r="AC315" s="224">
        <v>7680</v>
      </c>
      <c r="AD315" s="225">
        <f t="shared" si="98"/>
        <v>0</v>
      </c>
      <c r="AE315" s="236">
        <f t="shared" si="99"/>
        <v>0</v>
      </c>
      <c r="AF315" s="225">
        <f t="shared" si="100"/>
        <v>0</v>
      </c>
      <c r="AG315" s="225">
        <f t="shared" si="101"/>
        <v>0</v>
      </c>
      <c r="AP315" s="132"/>
      <c r="AQ315" s="132"/>
    </row>
    <row r="316" spans="1:43" ht="15.5" x14ac:dyDescent="0.35">
      <c r="A316" s="197" t="str">
        <f t="shared" si="97"/>
        <v/>
      </c>
      <c r="B316" s="98" t="str">
        <f t="shared" si="87"/>
        <v/>
      </c>
      <c r="C316" s="99" t="str">
        <f t="shared" si="88"/>
        <v/>
      </c>
      <c r="D316" s="100" t="str">
        <f t="shared" si="89"/>
        <v/>
      </c>
      <c r="E316" s="100" t="str">
        <f t="shared" si="90"/>
        <v/>
      </c>
      <c r="F316" s="100" t="str">
        <f t="shared" si="91"/>
        <v/>
      </c>
      <c r="G316" s="100" t="str">
        <f t="shared" si="92"/>
        <v/>
      </c>
      <c r="H316" s="100" t="str">
        <f t="shared" si="93"/>
        <v/>
      </c>
      <c r="I316" s="100" t="str">
        <f t="shared" si="94"/>
        <v/>
      </c>
      <c r="J316" s="100" t="str">
        <f t="shared" si="69"/>
        <v/>
      </c>
      <c r="K316" s="100" t="str">
        <f t="shared" si="95"/>
        <v/>
      </c>
      <c r="L316" s="101" t="str">
        <f t="shared" si="96"/>
        <v/>
      </c>
      <c r="M316" s="12"/>
      <c r="N316" s="12"/>
      <c r="O316" s="12"/>
      <c r="Q316" s="118">
        <f t="shared" si="85"/>
        <v>0</v>
      </c>
      <c r="R316" s="119">
        <f t="shared" si="86"/>
        <v>0</v>
      </c>
      <c r="S316" s="120">
        <v>365</v>
      </c>
      <c r="AC316" s="224">
        <v>7710</v>
      </c>
      <c r="AD316" s="225">
        <f t="shared" si="98"/>
        <v>0</v>
      </c>
      <c r="AE316" s="236">
        <f t="shared" si="99"/>
        <v>0</v>
      </c>
      <c r="AF316" s="225">
        <f t="shared" si="100"/>
        <v>0</v>
      </c>
      <c r="AG316" s="225">
        <f t="shared" si="101"/>
        <v>0</v>
      </c>
      <c r="AP316" s="132"/>
      <c r="AQ316" s="132"/>
    </row>
    <row r="317" spans="1:43" ht="15.5" x14ac:dyDescent="0.35">
      <c r="A317" s="197" t="str">
        <f t="shared" si="97"/>
        <v/>
      </c>
      <c r="B317" s="98" t="str">
        <f t="shared" si="87"/>
        <v/>
      </c>
      <c r="C317" s="99" t="str">
        <f t="shared" si="88"/>
        <v/>
      </c>
      <c r="D317" s="100" t="str">
        <f t="shared" si="89"/>
        <v/>
      </c>
      <c r="E317" s="100" t="str">
        <f t="shared" si="90"/>
        <v/>
      </c>
      <c r="F317" s="100" t="str">
        <f t="shared" si="91"/>
        <v/>
      </c>
      <c r="G317" s="100" t="str">
        <f t="shared" si="92"/>
        <v/>
      </c>
      <c r="H317" s="100" t="str">
        <f t="shared" si="93"/>
        <v/>
      </c>
      <c r="I317" s="100" t="str">
        <f t="shared" si="94"/>
        <v/>
      </c>
      <c r="J317" s="100" t="str">
        <f t="shared" ref="J317:J380" si="102">IF(B317="","",IF(L316="","",IF(L316=0,"",$K$33*$J$17)))</f>
        <v/>
      </c>
      <c r="K317" s="100" t="str">
        <f t="shared" si="95"/>
        <v/>
      </c>
      <c r="L317" s="101" t="str">
        <f t="shared" si="96"/>
        <v/>
      </c>
      <c r="M317" s="12"/>
      <c r="N317" s="12"/>
      <c r="O317" s="12"/>
      <c r="Q317" s="118">
        <f t="shared" si="85"/>
        <v>0</v>
      </c>
      <c r="R317" s="119">
        <f t="shared" si="86"/>
        <v>0</v>
      </c>
      <c r="S317" s="120">
        <v>365</v>
      </c>
      <c r="AC317" s="224">
        <v>7740</v>
      </c>
      <c r="AD317" s="225">
        <f t="shared" si="98"/>
        <v>0</v>
      </c>
      <c r="AE317" s="236">
        <f t="shared" si="99"/>
        <v>0</v>
      </c>
      <c r="AF317" s="225">
        <f t="shared" si="100"/>
        <v>0</v>
      </c>
      <c r="AG317" s="225">
        <f t="shared" si="101"/>
        <v>0</v>
      </c>
      <c r="AP317" s="132"/>
      <c r="AQ317" s="132"/>
    </row>
    <row r="318" spans="1:43" ht="15.5" x14ac:dyDescent="0.35">
      <c r="A318" s="197" t="str">
        <f t="shared" si="97"/>
        <v/>
      </c>
      <c r="B318" s="98" t="str">
        <f t="shared" ref="B318:B381" si="103">IF(IF(AND(B317&gt;0,B317&lt;$J$21),B317+1,0)=0,"",IF(AND(B317&gt;0,B317&lt;$J$21),B317+1,0))</f>
        <v/>
      </c>
      <c r="C318" s="99" t="str">
        <f t="shared" si="88"/>
        <v/>
      </c>
      <c r="D318" s="100" t="str">
        <f t="shared" si="89"/>
        <v/>
      </c>
      <c r="E318" s="100" t="str">
        <f t="shared" si="90"/>
        <v/>
      </c>
      <c r="F318" s="100" t="str">
        <f t="shared" si="91"/>
        <v/>
      </c>
      <c r="G318" s="100" t="str">
        <f t="shared" si="92"/>
        <v/>
      </c>
      <c r="H318" s="100" t="str">
        <f t="shared" si="93"/>
        <v/>
      </c>
      <c r="I318" s="100" t="str">
        <f t="shared" si="94"/>
        <v/>
      </c>
      <c r="J318" s="100" t="str">
        <f t="shared" si="102"/>
        <v/>
      </c>
      <c r="K318" s="100" t="str">
        <f t="shared" si="95"/>
        <v/>
      </c>
      <c r="L318" s="101" t="str">
        <f t="shared" si="96"/>
        <v/>
      </c>
      <c r="M318" s="12"/>
      <c r="N318" s="12"/>
      <c r="O318" s="12"/>
      <c r="Q318" s="118">
        <f t="shared" si="85"/>
        <v>0</v>
      </c>
      <c r="R318" s="119">
        <f t="shared" si="86"/>
        <v>0</v>
      </c>
      <c r="S318" s="120">
        <v>365</v>
      </c>
      <c r="AC318" s="224">
        <v>7770</v>
      </c>
      <c r="AD318" s="225">
        <f t="shared" si="98"/>
        <v>0</v>
      </c>
      <c r="AE318" s="236">
        <f t="shared" si="99"/>
        <v>0</v>
      </c>
      <c r="AF318" s="225">
        <f t="shared" si="100"/>
        <v>0</v>
      </c>
      <c r="AG318" s="225">
        <f t="shared" si="101"/>
        <v>0</v>
      </c>
      <c r="AP318" s="132"/>
      <c r="AQ318" s="132"/>
    </row>
    <row r="319" spans="1:43" ht="15.5" x14ac:dyDescent="0.35">
      <c r="A319" s="197" t="str">
        <f t="shared" si="97"/>
        <v/>
      </c>
      <c r="B319" s="98" t="str">
        <f t="shared" si="103"/>
        <v/>
      </c>
      <c r="C319" s="99" t="str">
        <f t="shared" si="88"/>
        <v/>
      </c>
      <c r="D319" s="100" t="str">
        <f t="shared" si="89"/>
        <v/>
      </c>
      <c r="E319" s="100" t="str">
        <f t="shared" si="90"/>
        <v/>
      </c>
      <c r="F319" s="100" t="str">
        <f t="shared" si="91"/>
        <v/>
      </c>
      <c r="G319" s="100" t="str">
        <f t="shared" si="92"/>
        <v/>
      </c>
      <c r="H319" s="100" t="str">
        <f t="shared" si="93"/>
        <v/>
      </c>
      <c r="I319" s="100" t="str">
        <f t="shared" si="94"/>
        <v/>
      </c>
      <c r="J319" s="100" t="str">
        <f t="shared" si="102"/>
        <v/>
      </c>
      <c r="K319" s="100" t="str">
        <f t="shared" si="95"/>
        <v/>
      </c>
      <c r="L319" s="101" t="str">
        <f t="shared" si="96"/>
        <v/>
      </c>
      <c r="M319" s="12"/>
      <c r="N319" s="12"/>
      <c r="O319" s="12"/>
      <c r="Q319" s="118">
        <f t="shared" si="85"/>
        <v>0</v>
      </c>
      <c r="R319" s="119">
        <f t="shared" si="86"/>
        <v>0</v>
      </c>
      <c r="S319" s="120">
        <v>365</v>
      </c>
      <c r="AC319" s="224">
        <v>7800</v>
      </c>
      <c r="AD319" s="225">
        <f t="shared" si="98"/>
        <v>0</v>
      </c>
      <c r="AE319" s="236">
        <f t="shared" si="99"/>
        <v>0</v>
      </c>
      <c r="AF319" s="225">
        <f t="shared" si="100"/>
        <v>0</v>
      </c>
      <c r="AG319" s="225">
        <f t="shared" si="101"/>
        <v>0</v>
      </c>
      <c r="AP319" s="132"/>
      <c r="AQ319" s="132"/>
    </row>
    <row r="320" spans="1:43" ht="15.5" x14ac:dyDescent="0.35">
      <c r="A320" s="197" t="str">
        <f t="shared" si="97"/>
        <v/>
      </c>
      <c r="B320" s="98" t="str">
        <f t="shared" si="103"/>
        <v/>
      </c>
      <c r="C320" s="99" t="str">
        <f t="shared" si="88"/>
        <v/>
      </c>
      <c r="D320" s="100" t="str">
        <f t="shared" si="89"/>
        <v/>
      </c>
      <c r="E320" s="100" t="str">
        <f t="shared" si="90"/>
        <v/>
      </c>
      <c r="F320" s="100" t="str">
        <f t="shared" si="91"/>
        <v/>
      </c>
      <c r="G320" s="100" t="str">
        <f t="shared" si="92"/>
        <v/>
      </c>
      <c r="H320" s="100" t="str">
        <f t="shared" si="93"/>
        <v/>
      </c>
      <c r="I320" s="100" t="str">
        <f t="shared" si="94"/>
        <v/>
      </c>
      <c r="J320" s="100" t="str">
        <f t="shared" si="102"/>
        <v/>
      </c>
      <c r="K320" s="100" t="str">
        <f t="shared" si="95"/>
        <v/>
      </c>
      <c r="L320" s="101" t="str">
        <f t="shared" si="96"/>
        <v/>
      </c>
      <c r="M320" s="12"/>
      <c r="N320" s="12"/>
      <c r="O320" s="12"/>
      <c r="Q320" s="118">
        <f t="shared" si="85"/>
        <v>0</v>
      </c>
      <c r="R320" s="119">
        <f t="shared" si="86"/>
        <v>0</v>
      </c>
      <c r="S320" s="120">
        <v>365</v>
      </c>
      <c r="AC320" s="224">
        <v>7830</v>
      </c>
      <c r="AD320" s="225">
        <f t="shared" si="98"/>
        <v>0</v>
      </c>
      <c r="AE320" s="236">
        <f t="shared" si="99"/>
        <v>0</v>
      </c>
      <c r="AF320" s="225">
        <f t="shared" si="100"/>
        <v>0</v>
      </c>
      <c r="AG320" s="225">
        <f t="shared" si="101"/>
        <v>0</v>
      </c>
      <c r="AP320" s="132"/>
      <c r="AQ320" s="132"/>
    </row>
    <row r="321" spans="1:43" ht="15.5" x14ac:dyDescent="0.35">
      <c r="A321" s="197" t="str">
        <f t="shared" si="97"/>
        <v/>
      </c>
      <c r="B321" s="98" t="str">
        <f t="shared" si="103"/>
        <v/>
      </c>
      <c r="C321" s="99" t="str">
        <f t="shared" si="88"/>
        <v/>
      </c>
      <c r="D321" s="100" t="str">
        <f t="shared" si="89"/>
        <v/>
      </c>
      <c r="E321" s="100" t="str">
        <f t="shared" si="90"/>
        <v/>
      </c>
      <c r="F321" s="100" t="str">
        <f t="shared" si="91"/>
        <v/>
      </c>
      <c r="G321" s="100" t="str">
        <f t="shared" si="92"/>
        <v/>
      </c>
      <c r="H321" s="100" t="str">
        <f t="shared" si="93"/>
        <v/>
      </c>
      <c r="I321" s="100" t="str">
        <f t="shared" si="94"/>
        <v/>
      </c>
      <c r="J321" s="100" t="str">
        <f t="shared" si="102"/>
        <v/>
      </c>
      <c r="K321" s="100" t="str">
        <f t="shared" si="95"/>
        <v/>
      </c>
      <c r="L321" s="101" t="str">
        <f t="shared" si="96"/>
        <v/>
      </c>
      <c r="M321" s="12"/>
      <c r="N321" s="12"/>
      <c r="O321" s="12"/>
      <c r="Q321" s="118">
        <f t="shared" si="85"/>
        <v>0</v>
      </c>
      <c r="R321" s="119">
        <f t="shared" si="86"/>
        <v>0</v>
      </c>
      <c r="S321" s="120">
        <v>365</v>
      </c>
      <c r="AC321" s="224">
        <v>7860</v>
      </c>
      <c r="AD321" s="225">
        <f t="shared" si="98"/>
        <v>0</v>
      </c>
      <c r="AE321" s="236">
        <f t="shared" si="99"/>
        <v>0</v>
      </c>
      <c r="AF321" s="225">
        <f t="shared" si="100"/>
        <v>0</v>
      </c>
      <c r="AG321" s="225">
        <f t="shared" si="101"/>
        <v>0</v>
      </c>
      <c r="AP321" s="132"/>
      <c r="AQ321" s="132"/>
    </row>
    <row r="322" spans="1:43" ht="15.5" x14ac:dyDescent="0.35">
      <c r="A322" s="197" t="str">
        <f t="shared" si="97"/>
        <v/>
      </c>
      <c r="B322" s="98" t="str">
        <f t="shared" si="103"/>
        <v/>
      </c>
      <c r="C322" s="99" t="str">
        <f t="shared" si="88"/>
        <v/>
      </c>
      <c r="D322" s="100" t="str">
        <f t="shared" si="89"/>
        <v/>
      </c>
      <c r="E322" s="100" t="str">
        <f t="shared" si="90"/>
        <v/>
      </c>
      <c r="F322" s="100" t="str">
        <f t="shared" si="91"/>
        <v/>
      </c>
      <c r="G322" s="100" t="str">
        <f t="shared" si="92"/>
        <v/>
      </c>
      <c r="H322" s="100" t="str">
        <f t="shared" si="93"/>
        <v/>
      </c>
      <c r="I322" s="100" t="str">
        <f t="shared" si="94"/>
        <v/>
      </c>
      <c r="J322" s="100" t="str">
        <f t="shared" si="102"/>
        <v/>
      </c>
      <c r="K322" s="100" t="str">
        <f t="shared" si="95"/>
        <v/>
      </c>
      <c r="L322" s="101" t="str">
        <f t="shared" si="96"/>
        <v/>
      </c>
      <c r="M322" s="12"/>
      <c r="N322" s="12"/>
      <c r="O322" s="12"/>
      <c r="Q322" s="118">
        <f t="shared" si="85"/>
        <v>0</v>
      </c>
      <c r="R322" s="119">
        <f t="shared" si="86"/>
        <v>0</v>
      </c>
      <c r="S322" s="120">
        <v>365</v>
      </c>
      <c r="AC322" s="224">
        <v>7890</v>
      </c>
      <c r="AD322" s="225">
        <f t="shared" si="98"/>
        <v>0</v>
      </c>
      <c r="AE322" s="236">
        <f t="shared" si="99"/>
        <v>0</v>
      </c>
      <c r="AF322" s="225">
        <f t="shared" si="100"/>
        <v>0</v>
      </c>
      <c r="AG322" s="225">
        <f t="shared" si="101"/>
        <v>0</v>
      </c>
      <c r="AP322" s="132"/>
      <c r="AQ322" s="132"/>
    </row>
    <row r="323" spans="1:43" ht="15.5" x14ac:dyDescent="0.35">
      <c r="A323" s="197" t="str">
        <f t="shared" si="97"/>
        <v/>
      </c>
      <c r="B323" s="98" t="str">
        <f t="shared" si="103"/>
        <v/>
      </c>
      <c r="C323" s="99" t="str">
        <f t="shared" si="88"/>
        <v/>
      </c>
      <c r="D323" s="100" t="str">
        <f t="shared" si="89"/>
        <v/>
      </c>
      <c r="E323" s="100" t="str">
        <f t="shared" si="90"/>
        <v/>
      </c>
      <c r="F323" s="100" t="str">
        <f t="shared" si="91"/>
        <v/>
      </c>
      <c r="G323" s="100" t="str">
        <f t="shared" si="92"/>
        <v/>
      </c>
      <c r="H323" s="100" t="str">
        <f t="shared" si="93"/>
        <v/>
      </c>
      <c r="I323" s="100" t="str">
        <f t="shared" si="94"/>
        <v/>
      </c>
      <c r="J323" s="100" t="str">
        <f t="shared" si="102"/>
        <v/>
      </c>
      <c r="K323" s="100" t="str">
        <f t="shared" si="95"/>
        <v/>
      </c>
      <c r="L323" s="101" t="str">
        <f t="shared" si="96"/>
        <v/>
      </c>
      <c r="M323" s="12"/>
      <c r="N323" s="12"/>
      <c r="O323" s="12"/>
      <c r="Q323" s="118">
        <f t="shared" si="85"/>
        <v>0</v>
      </c>
      <c r="R323" s="119">
        <f t="shared" si="86"/>
        <v>0</v>
      </c>
      <c r="S323" s="120">
        <v>365</v>
      </c>
      <c r="AC323" s="224">
        <v>7920</v>
      </c>
      <c r="AD323" s="225">
        <f t="shared" si="98"/>
        <v>0</v>
      </c>
      <c r="AE323" s="236">
        <f t="shared" si="99"/>
        <v>0</v>
      </c>
      <c r="AF323" s="225">
        <f t="shared" si="100"/>
        <v>0</v>
      </c>
      <c r="AG323" s="225">
        <f t="shared" si="101"/>
        <v>0</v>
      </c>
      <c r="AP323" s="132"/>
      <c r="AQ323" s="132"/>
    </row>
    <row r="324" spans="1:43" ht="15.5" x14ac:dyDescent="0.35">
      <c r="A324" s="197" t="str">
        <f t="shared" si="97"/>
        <v/>
      </c>
      <c r="B324" s="98" t="str">
        <f t="shared" si="103"/>
        <v/>
      </c>
      <c r="C324" s="99" t="str">
        <f t="shared" si="88"/>
        <v/>
      </c>
      <c r="D324" s="100" t="str">
        <f t="shared" si="89"/>
        <v/>
      </c>
      <c r="E324" s="100" t="str">
        <f t="shared" si="90"/>
        <v/>
      </c>
      <c r="F324" s="100" t="str">
        <f t="shared" si="91"/>
        <v/>
      </c>
      <c r="G324" s="100" t="str">
        <f t="shared" si="92"/>
        <v/>
      </c>
      <c r="H324" s="100" t="str">
        <f t="shared" si="93"/>
        <v/>
      </c>
      <c r="I324" s="100" t="str">
        <f t="shared" si="94"/>
        <v/>
      </c>
      <c r="J324" s="100" t="str">
        <f t="shared" si="102"/>
        <v/>
      </c>
      <c r="K324" s="100" t="str">
        <f t="shared" si="95"/>
        <v/>
      </c>
      <c r="L324" s="101" t="str">
        <f t="shared" si="96"/>
        <v/>
      </c>
      <c r="M324" s="12"/>
      <c r="N324" s="12"/>
      <c r="O324" s="12"/>
      <c r="Q324" s="118">
        <f t="shared" si="85"/>
        <v>0</v>
      </c>
      <c r="R324" s="119">
        <f t="shared" si="86"/>
        <v>0</v>
      </c>
      <c r="S324" s="120">
        <v>365</v>
      </c>
      <c r="AC324" s="224">
        <v>7950</v>
      </c>
      <c r="AD324" s="225">
        <f t="shared" si="98"/>
        <v>0</v>
      </c>
      <c r="AE324" s="236">
        <f t="shared" si="99"/>
        <v>0</v>
      </c>
      <c r="AF324" s="225">
        <f t="shared" si="100"/>
        <v>0</v>
      </c>
      <c r="AG324" s="225">
        <f t="shared" si="101"/>
        <v>0</v>
      </c>
      <c r="AP324" s="132"/>
      <c r="AQ324" s="132"/>
    </row>
    <row r="325" spans="1:43" ht="15.5" x14ac:dyDescent="0.35">
      <c r="A325" s="197" t="str">
        <f t="shared" si="97"/>
        <v/>
      </c>
      <c r="B325" s="98" t="str">
        <f t="shared" si="103"/>
        <v/>
      </c>
      <c r="C325" s="99" t="str">
        <f t="shared" si="88"/>
        <v/>
      </c>
      <c r="D325" s="100" t="str">
        <f t="shared" si="89"/>
        <v/>
      </c>
      <c r="E325" s="100" t="str">
        <f t="shared" si="90"/>
        <v/>
      </c>
      <c r="F325" s="100" t="str">
        <f t="shared" si="91"/>
        <v/>
      </c>
      <c r="G325" s="100" t="str">
        <f t="shared" si="92"/>
        <v/>
      </c>
      <c r="H325" s="100" t="str">
        <f t="shared" si="93"/>
        <v/>
      </c>
      <c r="I325" s="100" t="str">
        <f t="shared" si="94"/>
        <v/>
      </c>
      <c r="J325" s="100" t="str">
        <f t="shared" si="102"/>
        <v/>
      </c>
      <c r="K325" s="100" t="str">
        <f t="shared" si="95"/>
        <v/>
      </c>
      <c r="L325" s="101" t="str">
        <f t="shared" si="96"/>
        <v/>
      </c>
      <c r="M325" s="12"/>
      <c r="N325" s="12"/>
      <c r="O325" s="12"/>
      <c r="Q325" s="118">
        <f t="shared" si="85"/>
        <v>0</v>
      </c>
      <c r="R325" s="119">
        <f t="shared" si="86"/>
        <v>0</v>
      </c>
      <c r="S325" s="120">
        <v>365</v>
      </c>
      <c r="AC325" s="224">
        <v>7980</v>
      </c>
      <c r="AD325" s="225">
        <f t="shared" si="98"/>
        <v>0</v>
      </c>
      <c r="AE325" s="236">
        <f t="shared" si="99"/>
        <v>0</v>
      </c>
      <c r="AF325" s="225">
        <f t="shared" si="100"/>
        <v>0</v>
      </c>
      <c r="AG325" s="225">
        <f t="shared" si="101"/>
        <v>0</v>
      </c>
      <c r="AP325" s="132"/>
      <c r="AQ325" s="132"/>
    </row>
    <row r="326" spans="1:43" ht="15.5" x14ac:dyDescent="0.35">
      <c r="A326" s="197" t="str">
        <f t="shared" si="97"/>
        <v/>
      </c>
      <c r="B326" s="98" t="str">
        <f t="shared" si="103"/>
        <v/>
      </c>
      <c r="C326" s="99" t="str">
        <f t="shared" si="88"/>
        <v/>
      </c>
      <c r="D326" s="100" t="str">
        <f t="shared" si="89"/>
        <v/>
      </c>
      <c r="E326" s="100" t="str">
        <f t="shared" si="90"/>
        <v/>
      </c>
      <c r="F326" s="100" t="str">
        <f t="shared" si="91"/>
        <v/>
      </c>
      <c r="G326" s="100" t="str">
        <f t="shared" si="92"/>
        <v/>
      </c>
      <c r="H326" s="100" t="str">
        <f t="shared" si="93"/>
        <v/>
      </c>
      <c r="I326" s="100" t="str">
        <f t="shared" si="94"/>
        <v/>
      </c>
      <c r="J326" s="100" t="str">
        <f t="shared" si="102"/>
        <v/>
      </c>
      <c r="K326" s="100" t="str">
        <f t="shared" si="95"/>
        <v/>
      </c>
      <c r="L326" s="101" t="str">
        <f t="shared" si="96"/>
        <v/>
      </c>
      <c r="M326" s="12"/>
      <c r="N326" s="12"/>
      <c r="O326" s="12"/>
      <c r="Q326" s="118">
        <f t="shared" si="85"/>
        <v>0</v>
      </c>
      <c r="R326" s="119">
        <f t="shared" si="86"/>
        <v>0</v>
      </c>
      <c r="S326" s="120">
        <v>365</v>
      </c>
      <c r="AC326" s="224">
        <v>8010</v>
      </c>
      <c r="AD326" s="225">
        <f t="shared" si="98"/>
        <v>0</v>
      </c>
      <c r="AE326" s="236">
        <f t="shared" si="99"/>
        <v>0</v>
      </c>
      <c r="AF326" s="225">
        <f t="shared" si="100"/>
        <v>0</v>
      </c>
      <c r="AG326" s="225">
        <f t="shared" si="101"/>
        <v>0</v>
      </c>
      <c r="AP326" s="132"/>
      <c r="AQ326" s="132"/>
    </row>
    <row r="327" spans="1:43" ht="15.5" x14ac:dyDescent="0.35">
      <c r="A327" s="197" t="str">
        <f t="shared" si="97"/>
        <v/>
      </c>
      <c r="B327" s="98" t="str">
        <f t="shared" si="103"/>
        <v/>
      </c>
      <c r="C327" s="99" t="str">
        <f t="shared" si="88"/>
        <v/>
      </c>
      <c r="D327" s="100" t="str">
        <f t="shared" si="89"/>
        <v/>
      </c>
      <c r="E327" s="100" t="str">
        <f t="shared" si="90"/>
        <v/>
      </c>
      <c r="F327" s="100" t="str">
        <f t="shared" si="91"/>
        <v/>
      </c>
      <c r="G327" s="100" t="str">
        <f t="shared" si="92"/>
        <v/>
      </c>
      <c r="H327" s="100" t="str">
        <f t="shared" si="93"/>
        <v/>
      </c>
      <c r="I327" s="100" t="str">
        <f t="shared" si="94"/>
        <v/>
      </c>
      <c r="J327" s="100" t="str">
        <f t="shared" si="102"/>
        <v/>
      </c>
      <c r="K327" s="100" t="str">
        <f t="shared" si="95"/>
        <v/>
      </c>
      <c r="L327" s="101" t="str">
        <f t="shared" si="96"/>
        <v/>
      </c>
      <c r="M327" s="12"/>
      <c r="N327" s="12"/>
      <c r="O327" s="12"/>
      <c r="Q327" s="118">
        <f t="shared" si="85"/>
        <v>0</v>
      </c>
      <c r="R327" s="119">
        <f t="shared" si="86"/>
        <v>0</v>
      </c>
      <c r="S327" s="120">
        <v>365</v>
      </c>
      <c r="AC327" s="224">
        <v>8040</v>
      </c>
      <c r="AD327" s="225">
        <f t="shared" si="98"/>
        <v>0</v>
      </c>
      <c r="AE327" s="236">
        <f t="shared" si="99"/>
        <v>0</v>
      </c>
      <c r="AF327" s="225">
        <f t="shared" si="100"/>
        <v>0</v>
      </c>
      <c r="AG327" s="225">
        <f t="shared" si="101"/>
        <v>0</v>
      </c>
      <c r="AP327" s="132"/>
      <c r="AQ327" s="132"/>
    </row>
    <row r="328" spans="1:43" ht="15.5" x14ac:dyDescent="0.35">
      <c r="A328" s="197" t="str">
        <f t="shared" si="97"/>
        <v/>
      </c>
      <c r="B328" s="98" t="str">
        <f t="shared" si="103"/>
        <v/>
      </c>
      <c r="C328" s="99" t="str">
        <f t="shared" si="88"/>
        <v/>
      </c>
      <c r="D328" s="100" t="str">
        <f t="shared" si="89"/>
        <v/>
      </c>
      <c r="E328" s="100" t="str">
        <f t="shared" si="90"/>
        <v/>
      </c>
      <c r="F328" s="100" t="str">
        <f t="shared" si="91"/>
        <v/>
      </c>
      <c r="G328" s="100" t="str">
        <f t="shared" si="92"/>
        <v/>
      </c>
      <c r="H328" s="100" t="str">
        <f t="shared" si="93"/>
        <v/>
      </c>
      <c r="I328" s="100" t="str">
        <f t="shared" si="94"/>
        <v/>
      </c>
      <c r="J328" s="100" t="str">
        <f t="shared" si="102"/>
        <v/>
      </c>
      <c r="K328" s="100" t="str">
        <f t="shared" si="95"/>
        <v/>
      </c>
      <c r="L328" s="101" t="str">
        <f t="shared" si="96"/>
        <v/>
      </c>
      <c r="M328" s="12"/>
      <c r="N328" s="12"/>
      <c r="O328" s="12"/>
      <c r="Q328" s="118">
        <f t="shared" si="85"/>
        <v>0</v>
      </c>
      <c r="R328" s="119">
        <f t="shared" si="86"/>
        <v>0</v>
      </c>
      <c r="S328" s="120">
        <v>365</v>
      </c>
      <c r="AC328" s="224">
        <v>8070</v>
      </c>
      <c r="AD328" s="225">
        <f t="shared" si="98"/>
        <v>0</v>
      </c>
      <c r="AE328" s="236">
        <f t="shared" si="99"/>
        <v>0</v>
      </c>
      <c r="AF328" s="225">
        <f t="shared" si="100"/>
        <v>0</v>
      </c>
      <c r="AG328" s="225">
        <f t="shared" si="101"/>
        <v>0</v>
      </c>
      <c r="AP328" s="132"/>
      <c r="AQ328" s="132"/>
    </row>
    <row r="329" spans="1:43" ht="15.5" x14ac:dyDescent="0.35">
      <c r="A329" s="197" t="str">
        <f t="shared" si="97"/>
        <v/>
      </c>
      <c r="B329" s="98" t="str">
        <f t="shared" si="103"/>
        <v/>
      </c>
      <c r="C329" s="99" t="str">
        <f t="shared" si="88"/>
        <v/>
      </c>
      <c r="D329" s="100" t="str">
        <f t="shared" si="89"/>
        <v/>
      </c>
      <c r="E329" s="100" t="str">
        <f t="shared" si="90"/>
        <v/>
      </c>
      <c r="F329" s="100" t="str">
        <f t="shared" si="91"/>
        <v/>
      </c>
      <c r="G329" s="100" t="str">
        <f t="shared" si="92"/>
        <v/>
      </c>
      <c r="H329" s="100" t="str">
        <f t="shared" si="93"/>
        <v/>
      </c>
      <c r="I329" s="100" t="str">
        <f t="shared" si="94"/>
        <v/>
      </c>
      <c r="J329" s="100" t="str">
        <f t="shared" si="102"/>
        <v/>
      </c>
      <c r="K329" s="100" t="str">
        <f t="shared" si="95"/>
        <v/>
      </c>
      <c r="L329" s="101" t="str">
        <f t="shared" si="96"/>
        <v/>
      </c>
      <c r="M329" s="12"/>
      <c r="N329" s="12"/>
      <c r="O329" s="12"/>
      <c r="Q329" s="118">
        <f t="shared" si="85"/>
        <v>0</v>
      </c>
      <c r="R329" s="119">
        <f t="shared" si="86"/>
        <v>0</v>
      </c>
      <c r="S329" s="120">
        <v>365</v>
      </c>
      <c r="AC329" s="224">
        <v>8100</v>
      </c>
      <c r="AD329" s="225">
        <f t="shared" si="98"/>
        <v>0</v>
      </c>
      <c r="AE329" s="236">
        <f t="shared" si="99"/>
        <v>0</v>
      </c>
      <c r="AF329" s="225">
        <f t="shared" si="100"/>
        <v>0</v>
      </c>
      <c r="AG329" s="225">
        <f t="shared" si="101"/>
        <v>0</v>
      </c>
      <c r="AP329" s="132"/>
      <c r="AQ329" s="132"/>
    </row>
    <row r="330" spans="1:43" ht="15.5" x14ac:dyDescent="0.35">
      <c r="A330" s="197" t="str">
        <f t="shared" si="97"/>
        <v/>
      </c>
      <c r="B330" s="98" t="str">
        <f t="shared" si="103"/>
        <v/>
      </c>
      <c r="C330" s="99" t="str">
        <f t="shared" si="88"/>
        <v/>
      </c>
      <c r="D330" s="100" t="str">
        <f t="shared" si="89"/>
        <v/>
      </c>
      <c r="E330" s="100" t="str">
        <f t="shared" si="90"/>
        <v/>
      </c>
      <c r="F330" s="100" t="str">
        <f t="shared" si="91"/>
        <v/>
      </c>
      <c r="G330" s="100" t="str">
        <f t="shared" si="92"/>
        <v/>
      </c>
      <c r="H330" s="100" t="str">
        <f t="shared" si="93"/>
        <v/>
      </c>
      <c r="I330" s="100" t="str">
        <f t="shared" si="94"/>
        <v/>
      </c>
      <c r="J330" s="100" t="str">
        <f t="shared" si="102"/>
        <v/>
      </c>
      <c r="K330" s="100" t="str">
        <f t="shared" si="95"/>
        <v/>
      </c>
      <c r="L330" s="101" t="str">
        <f t="shared" si="96"/>
        <v/>
      </c>
      <c r="M330" s="12"/>
      <c r="N330" s="12"/>
      <c r="O330" s="12"/>
      <c r="Q330" s="118">
        <f t="shared" si="85"/>
        <v>0</v>
      </c>
      <c r="R330" s="119">
        <f t="shared" si="86"/>
        <v>0</v>
      </c>
      <c r="S330" s="120">
        <v>365</v>
      </c>
      <c r="AC330" s="224">
        <v>8130</v>
      </c>
      <c r="AD330" s="225">
        <f t="shared" si="98"/>
        <v>0</v>
      </c>
      <c r="AE330" s="236">
        <f t="shared" si="99"/>
        <v>0</v>
      </c>
      <c r="AF330" s="225">
        <f t="shared" si="100"/>
        <v>0</v>
      </c>
      <c r="AG330" s="225">
        <f t="shared" si="101"/>
        <v>0</v>
      </c>
      <c r="AP330" s="132"/>
      <c r="AQ330" s="132"/>
    </row>
    <row r="331" spans="1:43" ht="15.5" x14ac:dyDescent="0.35">
      <c r="A331" s="197" t="str">
        <f t="shared" si="97"/>
        <v/>
      </c>
      <c r="B331" s="98" t="str">
        <f t="shared" si="103"/>
        <v/>
      </c>
      <c r="C331" s="99" t="str">
        <f t="shared" si="88"/>
        <v/>
      </c>
      <c r="D331" s="100" t="str">
        <f t="shared" si="89"/>
        <v/>
      </c>
      <c r="E331" s="100" t="str">
        <f t="shared" si="90"/>
        <v/>
      </c>
      <c r="F331" s="100" t="str">
        <f t="shared" si="91"/>
        <v/>
      </c>
      <c r="G331" s="100" t="str">
        <f t="shared" si="92"/>
        <v/>
      </c>
      <c r="H331" s="100" t="str">
        <f t="shared" si="93"/>
        <v/>
      </c>
      <c r="I331" s="100" t="str">
        <f t="shared" si="94"/>
        <v/>
      </c>
      <c r="J331" s="100" t="str">
        <f t="shared" si="102"/>
        <v/>
      </c>
      <c r="K331" s="100" t="str">
        <f t="shared" si="95"/>
        <v/>
      </c>
      <c r="L331" s="101" t="str">
        <f t="shared" si="96"/>
        <v/>
      </c>
      <c r="M331" s="12"/>
      <c r="N331" s="12"/>
      <c r="O331" s="12"/>
      <c r="Q331" s="118">
        <f t="shared" si="85"/>
        <v>0</v>
      </c>
      <c r="R331" s="119">
        <f t="shared" si="86"/>
        <v>0</v>
      </c>
      <c r="S331" s="120">
        <v>365</v>
      </c>
      <c r="AC331" s="224">
        <v>8160</v>
      </c>
      <c r="AD331" s="225">
        <f t="shared" si="98"/>
        <v>0</v>
      </c>
      <c r="AE331" s="236">
        <f t="shared" si="99"/>
        <v>0</v>
      </c>
      <c r="AF331" s="225">
        <f t="shared" si="100"/>
        <v>0</v>
      </c>
      <c r="AG331" s="225">
        <f t="shared" si="101"/>
        <v>0</v>
      </c>
      <c r="AP331" s="132"/>
      <c r="AQ331" s="132"/>
    </row>
    <row r="332" spans="1:43" ht="15.5" x14ac:dyDescent="0.35">
      <c r="A332" s="197" t="str">
        <f t="shared" si="97"/>
        <v/>
      </c>
      <c r="B332" s="98" t="str">
        <f t="shared" si="103"/>
        <v/>
      </c>
      <c r="C332" s="99" t="str">
        <f t="shared" si="88"/>
        <v/>
      </c>
      <c r="D332" s="100" t="str">
        <f t="shared" si="89"/>
        <v/>
      </c>
      <c r="E332" s="100" t="str">
        <f t="shared" si="90"/>
        <v/>
      </c>
      <c r="F332" s="100" t="str">
        <f t="shared" si="91"/>
        <v/>
      </c>
      <c r="G332" s="100" t="str">
        <f t="shared" si="92"/>
        <v/>
      </c>
      <c r="H332" s="100" t="str">
        <f t="shared" si="93"/>
        <v/>
      </c>
      <c r="I332" s="100" t="str">
        <f t="shared" si="94"/>
        <v/>
      </c>
      <c r="J332" s="100" t="str">
        <f t="shared" si="102"/>
        <v/>
      </c>
      <c r="K332" s="100" t="str">
        <f t="shared" si="95"/>
        <v/>
      </c>
      <c r="L332" s="101" t="str">
        <f t="shared" si="96"/>
        <v/>
      </c>
      <c r="M332" s="12"/>
      <c r="N332" s="12"/>
      <c r="O332" s="12"/>
      <c r="Q332" s="118">
        <f t="shared" si="85"/>
        <v>0</v>
      </c>
      <c r="R332" s="119">
        <f t="shared" si="86"/>
        <v>0</v>
      </c>
      <c r="S332" s="120">
        <v>365</v>
      </c>
      <c r="AC332" s="224">
        <v>8190</v>
      </c>
      <c r="AD332" s="225">
        <f t="shared" si="98"/>
        <v>0</v>
      </c>
      <c r="AE332" s="236">
        <f t="shared" si="99"/>
        <v>0</v>
      </c>
      <c r="AF332" s="225">
        <f t="shared" si="100"/>
        <v>0</v>
      </c>
      <c r="AG332" s="225">
        <f t="shared" si="101"/>
        <v>0</v>
      </c>
      <c r="AP332" s="132"/>
      <c r="AQ332" s="132"/>
    </row>
    <row r="333" spans="1:43" ht="15.5" x14ac:dyDescent="0.35">
      <c r="A333" s="197" t="str">
        <f t="shared" si="97"/>
        <v/>
      </c>
      <c r="B333" s="98" t="str">
        <f t="shared" si="103"/>
        <v/>
      </c>
      <c r="C333" s="99" t="str">
        <f t="shared" si="88"/>
        <v/>
      </c>
      <c r="D333" s="100" t="str">
        <f t="shared" si="89"/>
        <v/>
      </c>
      <c r="E333" s="100" t="str">
        <f t="shared" si="90"/>
        <v/>
      </c>
      <c r="F333" s="100" t="str">
        <f t="shared" si="91"/>
        <v/>
      </c>
      <c r="G333" s="100" t="str">
        <f t="shared" si="92"/>
        <v/>
      </c>
      <c r="H333" s="100" t="str">
        <f t="shared" si="93"/>
        <v/>
      </c>
      <c r="I333" s="100" t="str">
        <f t="shared" si="94"/>
        <v/>
      </c>
      <c r="J333" s="100" t="str">
        <f t="shared" si="102"/>
        <v/>
      </c>
      <c r="K333" s="100" t="str">
        <f t="shared" si="95"/>
        <v/>
      </c>
      <c r="L333" s="101" t="str">
        <f t="shared" si="96"/>
        <v/>
      </c>
      <c r="M333" s="12"/>
      <c r="N333" s="12"/>
      <c r="O333" s="12"/>
      <c r="Q333" s="118">
        <f t="shared" si="85"/>
        <v>0</v>
      </c>
      <c r="R333" s="119">
        <f t="shared" si="86"/>
        <v>0</v>
      </c>
      <c r="S333" s="120">
        <v>365</v>
      </c>
      <c r="AC333" s="224">
        <v>8220</v>
      </c>
      <c r="AD333" s="225">
        <f t="shared" si="98"/>
        <v>0</v>
      </c>
      <c r="AE333" s="236">
        <f t="shared" si="99"/>
        <v>0</v>
      </c>
      <c r="AF333" s="225">
        <f t="shared" si="100"/>
        <v>0</v>
      </c>
      <c r="AG333" s="225">
        <f t="shared" si="101"/>
        <v>0</v>
      </c>
      <c r="AP333" s="132"/>
      <c r="AQ333" s="132"/>
    </row>
    <row r="334" spans="1:43" ht="15.5" x14ac:dyDescent="0.35">
      <c r="A334" s="197" t="str">
        <f t="shared" si="97"/>
        <v/>
      </c>
      <c r="B334" s="98" t="str">
        <f t="shared" si="103"/>
        <v/>
      </c>
      <c r="C334" s="99" t="str">
        <f t="shared" si="88"/>
        <v/>
      </c>
      <c r="D334" s="100" t="str">
        <f t="shared" si="89"/>
        <v/>
      </c>
      <c r="E334" s="100" t="str">
        <f t="shared" si="90"/>
        <v/>
      </c>
      <c r="F334" s="100" t="str">
        <f t="shared" si="91"/>
        <v/>
      </c>
      <c r="G334" s="100" t="str">
        <f t="shared" si="92"/>
        <v/>
      </c>
      <c r="H334" s="100" t="str">
        <f t="shared" si="93"/>
        <v/>
      </c>
      <c r="I334" s="100" t="str">
        <f t="shared" si="94"/>
        <v/>
      </c>
      <c r="J334" s="100" t="str">
        <f t="shared" si="102"/>
        <v/>
      </c>
      <c r="K334" s="100" t="str">
        <f t="shared" si="95"/>
        <v/>
      </c>
      <c r="L334" s="101" t="str">
        <f t="shared" si="96"/>
        <v/>
      </c>
      <c r="M334" s="12"/>
      <c r="N334" s="12"/>
      <c r="O334" s="12"/>
      <c r="Q334" s="118">
        <f t="shared" si="85"/>
        <v>0</v>
      </c>
      <c r="R334" s="119">
        <f t="shared" si="86"/>
        <v>0</v>
      </c>
      <c r="S334" s="120">
        <v>365</v>
      </c>
      <c r="AC334" s="224">
        <v>8250</v>
      </c>
      <c r="AD334" s="225">
        <f t="shared" si="98"/>
        <v>0</v>
      </c>
      <c r="AE334" s="236">
        <f t="shared" si="99"/>
        <v>0</v>
      </c>
      <c r="AF334" s="225">
        <f t="shared" si="100"/>
        <v>0</v>
      </c>
      <c r="AG334" s="225">
        <f t="shared" si="101"/>
        <v>0</v>
      </c>
      <c r="AP334" s="132"/>
      <c r="AQ334" s="132"/>
    </row>
    <row r="335" spans="1:43" ht="15.5" x14ac:dyDescent="0.35">
      <c r="A335" s="197" t="str">
        <f t="shared" si="97"/>
        <v/>
      </c>
      <c r="B335" s="98" t="str">
        <f t="shared" si="103"/>
        <v/>
      </c>
      <c r="C335" s="99" t="str">
        <f t="shared" si="88"/>
        <v/>
      </c>
      <c r="D335" s="100" t="str">
        <f t="shared" si="89"/>
        <v/>
      </c>
      <c r="E335" s="100" t="str">
        <f t="shared" si="90"/>
        <v/>
      </c>
      <c r="F335" s="100" t="str">
        <f t="shared" si="91"/>
        <v/>
      </c>
      <c r="G335" s="100" t="str">
        <f t="shared" si="92"/>
        <v/>
      </c>
      <c r="H335" s="100" t="str">
        <f t="shared" si="93"/>
        <v/>
      </c>
      <c r="I335" s="100" t="str">
        <f t="shared" si="94"/>
        <v/>
      </c>
      <c r="J335" s="100" t="str">
        <f t="shared" si="102"/>
        <v/>
      </c>
      <c r="K335" s="100" t="str">
        <f t="shared" si="95"/>
        <v/>
      </c>
      <c r="L335" s="101" t="str">
        <f t="shared" si="96"/>
        <v/>
      </c>
      <c r="M335" s="12"/>
      <c r="N335" s="12"/>
      <c r="O335" s="12"/>
      <c r="Q335" s="118">
        <f t="shared" si="85"/>
        <v>0</v>
      </c>
      <c r="R335" s="119">
        <f t="shared" si="86"/>
        <v>0</v>
      </c>
      <c r="S335" s="120">
        <v>365</v>
      </c>
      <c r="AC335" s="224">
        <v>8280</v>
      </c>
      <c r="AD335" s="225">
        <f t="shared" si="98"/>
        <v>0</v>
      </c>
      <c r="AE335" s="236">
        <f t="shared" si="99"/>
        <v>0</v>
      </c>
      <c r="AF335" s="225">
        <f t="shared" si="100"/>
        <v>0</v>
      </c>
      <c r="AG335" s="225">
        <f t="shared" si="101"/>
        <v>0</v>
      </c>
      <c r="AP335" s="132"/>
      <c r="AQ335" s="132"/>
    </row>
    <row r="336" spans="1:43" ht="15.5" x14ac:dyDescent="0.35">
      <c r="A336" s="197" t="str">
        <f t="shared" si="97"/>
        <v/>
      </c>
      <c r="B336" s="98" t="str">
        <f t="shared" si="103"/>
        <v/>
      </c>
      <c r="C336" s="99" t="str">
        <f t="shared" si="88"/>
        <v/>
      </c>
      <c r="D336" s="100" t="str">
        <f t="shared" si="89"/>
        <v/>
      </c>
      <c r="E336" s="100" t="str">
        <f t="shared" si="90"/>
        <v/>
      </c>
      <c r="F336" s="100" t="str">
        <f t="shared" si="91"/>
        <v/>
      </c>
      <c r="G336" s="100" t="str">
        <f t="shared" si="92"/>
        <v/>
      </c>
      <c r="H336" s="100" t="str">
        <f t="shared" si="93"/>
        <v/>
      </c>
      <c r="I336" s="100" t="str">
        <f t="shared" si="94"/>
        <v/>
      </c>
      <c r="J336" s="100" t="str">
        <f t="shared" si="102"/>
        <v/>
      </c>
      <c r="K336" s="100" t="str">
        <f t="shared" si="95"/>
        <v/>
      </c>
      <c r="L336" s="101" t="str">
        <f t="shared" si="96"/>
        <v/>
      </c>
      <c r="M336" s="12"/>
      <c r="N336" s="12"/>
      <c r="O336" s="12"/>
      <c r="Q336" s="118">
        <f t="shared" si="85"/>
        <v>0</v>
      </c>
      <c r="R336" s="119">
        <f t="shared" si="86"/>
        <v>0</v>
      </c>
      <c r="S336" s="120">
        <v>365</v>
      </c>
      <c r="AC336" s="224">
        <v>8310</v>
      </c>
      <c r="AD336" s="225">
        <f t="shared" si="98"/>
        <v>0</v>
      </c>
      <c r="AE336" s="236">
        <f t="shared" si="99"/>
        <v>0</v>
      </c>
      <c r="AF336" s="225">
        <f t="shared" si="100"/>
        <v>0</v>
      </c>
      <c r="AG336" s="225">
        <f t="shared" si="101"/>
        <v>0</v>
      </c>
      <c r="AP336" s="132"/>
      <c r="AQ336" s="132"/>
    </row>
    <row r="337" spans="1:43" ht="15.5" x14ac:dyDescent="0.35">
      <c r="A337" s="197" t="str">
        <f t="shared" si="97"/>
        <v/>
      </c>
      <c r="B337" s="98" t="str">
        <f t="shared" si="103"/>
        <v/>
      </c>
      <c r="C337" s="99" t="str">
        <f t="shared" si="88"/>
        <v/>
      </c>
      <c r="D337" s="100" t="str">
        <f t="shared" si="89"/>
        <v/>
      </c>
      <c r="E337" s="100" t="str">
        <f t="shared" si="90"/>
        <v/>
      </c>
      <c r="F337" s="100" t="str">
        <f t="shared" si="91"/>
        <v/>
      </c>
      <c r="G337" s="100" t="str">
        <f t="shared" si="92"/>
        <v/>
      </c>
      <c r="H337" s="100" t="str">
        <f t="shared" si="93"/>
        <v/>
      </c>
      <c r="I337" s="100" t="str">
        <f t="shared" si="94"/>
        <v/>
      </c>
      <c r="J337" s="100" t="str">
        <f t="shared" si="102"/>
        <v/>
      </c>
      <c r="K337" s="100" t="str">
        <f t="shared" si="95"/>
        <v/>
      </c>
      <c r="L337" s="101" t="str">
        <f t="shared" si="96"/>
        <v/>
      </c>
      <c r="M337" s="12"/>
      <c r="N337" s="12"/>
      <c r="O337" s="12"/>
      <c r="Q337" s="118">
        <f t="shared" si="85"/>
        <v>0</v>
      </c>
      <c r="R337" s="119">
        <f t="shared" si="86"/>
        <v>0</v>
      </c>
      <c r="S337" s="120">
        <v>365</v>
      </c>
      <c r="AC337" s="224">
        <v>8340</v>
      </c>
      <c r="AD337" s="225">
        <f t="shared" si="98"/>
        <v>0</v>
      </c>
      <c r="AE337" s="236">
        <f t="shared" si="99"/>
        <v>0</v>
      </c>
      <c r="AF337" s="225">
        <f t="shared" si="100"/>
        <v>0</v>
      </c>
      <c r="AG337" s="225">
        <f t="shared" si="101"/>
        <v>0</v>
      </c>
      <c r="AP337" s="132"/>
      <c r="AQ337" s="132"/>
    </row>
    <row r="338" spans="1:43" ht="15.5" x14ac:dyDescent="0.35">
      <c r="A338" s="197" t="str">
        <f t="shared" si="97"/>
        <v/>
      </c>
      <c r="B338" s="98" t="str">
        <f t="shared" si="103"/>
        <v/>
      </c>
      <c r="C338" s="99" t="str">
        <f t="shared" si="88"/>
        <v/>
      </c>
      <c r="D338" s="100" t="str">
        <f t="shared" si="89"/>
        <v/>
      </c>
      <c r="E338" s="100" t="str">
        <f t="shared" si="90"/>
        <v/>
      </c>
      <c r="F338" s="100" t="str">
        <f t="shared" si="91"/>
        <v/>
      </c>
      <c r="G338" s="100" t="str">
        <f t="shared" si="92"/>
        <v/>
      </c>
      <c r="H338" s="100" t="str">
        <f t="shared" si="93"/>
        <v/>
      </c>
      <c r="I338" s="100" t="str">
        <f t="shared" si="94"/>
        <v/>
      </c>
      <c r="J338" s="100" t="str">
        <f t="shared" si="102"/>
        <v/>
      </c>
      <c r="K338" s="100" t="str">
        <f t="shared" si="95"/>
        <v/>
      </c>
      <c r="L338" s="101" t="str">
        <f t="shared" si="96"/>
        <v/>
      </c>
      <c r="M338" s="12"/>
      <c r="N338" s="12"/>
      <c r="O338" s="12"/>
      <c r="Q338" s="118">
        <f t="shared" si="85"/>
        <v>0</v>
      </c>
      <c r="R338" s="119">
        <f t="shared" si="86"/>
        <v>0</v>
      </c>
      <c r="S338" s="120">
        <v>365</v>
      </c>
      <c r="AC338" s="224">
        <v>8370</v>
      </c>
      <c r="AD338" s="225">
        <f t="shared" si="98"/>
        <v>0</v>
      </c>
      <c r="AE338" s="236">
        <f t="shared" si="99"/>
        <v>0</v>
      </c>
      <c r="AF338" s="225">
        <f t="shared" si="100"/>
        <v>0</v>
      </c>
      <c r="AG338" s="225">
        <f t="shared" si="101"/>
        <v>0</v>
      </c>
      <c r="AP338" s="132"/>
      <c r="AQ338" s="132"/>
    </row>
    <row r="339" spans="1:43" ht="15.5" x14ac:dyDescent="0.35">
      <c r="A339" s="197" t="str">
        <f t="shared" si="97"/>
        <v/>
      </c>
      <c r="B339" s="98" t="str">
        <f t="shared" si="103"/>
        <v/>
      </c>
      <c r="C339" s="99" t="str">
        <f t="shared" si="88"/>
        <v/>
      </c>
      <c r="D339" s="100" t="str">
        <f t="shared" si="89"/>
        <v/>
      </c>
      <c r="E339" s="100" t="str">
        <f t="shared" si="90"/>
        <v/>
      </c>
      <c r="F339" s="100" t="str">
        <f t="shared" si="91"/>
        <v/>
      </c>
      <c r="G339" s="100" t="str">
        <f t="shared" si="92"/>
        <v/>
      </c>
      <c r="H339" s="100" t="str">
        <f t="shared" si="93"/>
        <v/>
      </c>
      <c r="I339" s="100" t="str">
        <f t="shared" si="94"/>
        <v/>
      </c>
      <c r="J339" s="100" t="str">
        <f t="shared" si="102"/>
        <v/>
      </c>
      <c r="K339" s="100" t="str">
        <f t="shared" si="95"/>
        <v/>
      </c>
      <c r="L339" s="101" t="str">
        <f t="shared" si="96"/>
        <v/>
      </c>
      <c r="M339" s="12"/>
      <c r="N339" s="12"/>
      <c r="O339" s="12"/>
      <c r="Q339" s="118">
        <f t="shared" si="85"/>
        <v>0</v>
      </c>
      <c r="R339" s="119">
        <f t="shared" si="86"/>
        <v>0</v>
      </c>
      <c r="S339" s="120">
        <v>365</v>
      </c>
      <c r="AC339" s="224">
        <v>8400</v>
      </c>
      <c r="AD339" s="225">
        <f t="shared" si="98"/>
        <v>0</v>
      </c>
      <c r="AE339" s="236">
        <f t="shared" si="99"/>
        <v>0</v>
      </c>
      <c r="AF339" s="225">
        <f t="shared" si="100"/>
        <v>0</v>
      </c>
      <c r="AG339" s="225">
        <f t="shared" si="101"/>
        <v>0</v>
      </c>
      <c r="AP339" s="132"/>
      <c r="AQ339" s="132"/>
    </row>
    <row r="340" spans="1:43" ht="15.5" x14ac:dyDescent="0.35">
      <c r="A340" s="197" t="str">
        <f t="shared" si="97"/>
        <v/>
      </c>
      <c r="B340" s="98" t="str">
        <f t="shared" si="103"/>
        <v/>
      </c>
      <c r="C340" s="99" t="str">
        <f t="shared" si="88"/>
        <v/>
      </c>
      <c r="D340" s="100" t="str">
        <f t="shared" si="89"/>
        <v/>
      </c>
      <c r="E340" s="100" t="str">
        <f t="shared" si="90"/>
        <v/>
      </c>
      <c r="F340" s="100" t="str">
        <f t="shared" si="91"/>
        <v/>
      </c>
      <c r="G340" s="100" t="str">
        <f t="shared" si="92"/>
        <v/>
      </c>
      <c r="H340" s="100" t="str">
        <f t="shared" si="93"/>
        <v/>
      </c>
      <c r="I340" s="100" t="str">
        <f t="shared" si="94"/>
        <v/>
      </c>
      <c r="J340" s="100" t="str">
        <f t="shared" si="102"/>
        <v/>
      </c>
      <c r="K340" s="100" t="str">
        <f t="shared" si="95"/>
        <v/>
      </c>
      <c r="L340" s="101" t="str">
        <f t="shared" si="96"/>
        <v/>
      </c>
      <c r="M340" s="12"/>
      <c r="N340" s="12"/>
      <c r="O340" s="12"/>
      <c r="Q340" s="118">
        <f t="shared" si="85"/>
        <v>0</v>
      </c>
      <c r="R340" s="119">
        <f t="shared" si="86"/>
        <v>0</v>
      </c>
      <c r="S340" s="120">
        <v>365</v>
      </c>
      <c r="AC340" s="224">
        <v>8430</v>
      </c>
      <c r="AD340" s="225">
        <f t="shared" si="98"/>
        <v>0</v>
      </c>
      <c r="AE340" s="236">
        <f t="shared" si="99"/>
        <v>0</v>
      </c>
      <c r="AF340" s="225">
        <f t="shared" si="100"/>
        <v>0</v>
      </c>
      <c r="AG340" s="225">
        <f t="shared" si="101"/>
        <v>0</v>
      </c>
      <c r="AP340" s="132"/>
      <c r="AQ340" s="132"/>
    </row>
    <row r="341" spans="1:43" ht="15.5" x14ac:dyDescent="0.35">
      <c r="A341" s="197" t="str">
        <f t="shared" si="97"/>
        <v/>
      </c>
      <c r="B341" s="98" t="str">
        <f t="shared" si="103"/>
        <v/>
      </c>
      <c r="C341" s="99" t="str">
        <f t="shared" si="88"/>
        <v/>
      </c>
      <c r="D341" s="100" t="str">
        <f t="shared" si="89"/>
        <v/>
      </c>
      <c r="E341" s="100" t="str">
        <f t="shared" si="90"/>
        <v/>
      </c>
      <c r="F341" s="100" t="str">
        <f t="shared" si="91"/>
        <v/>
      </c>
      <c r="G341" s="100" t="str">
        <f t="shared" si="92"/>
        <v/>
      </c>
      <c r="H341" s="100" t="str">
        <f t="shared" si="93"/>
        <v/>
      </c>
      <c r="I341" s="100" t="str">
        <f t="shared" si="94"/>
        <v/>
      </c>
      <c r="J341" s="100" t="str">
        <f t="shared" si="102"/>
        <v/>
      </c>
      <c r="K341" s="100" t="str">
        <f t="shared" si="95"/>
        <v/>
      </c>
      <c r="L341" s="101" t="str">
        <f t="shared" si="96"/>
        <v/>
      </c>
      <c r="M341" s="12"/>
      <c r="N341" s="12"/>
      <c r="O341" s="12"/>
      <c r="Q341" s="118">
        <f t="shared" si="85"/>
        <v>0</v>
      </c>
      <c r="R341" s="119">
        <f t="shared" si="86"/>
        <v>0</v>
      </c>
      <c r="S341" s="120">
        <v>365</v>
      </c>
      <c r="AC341" s="224">
        <v>8460</v>
      </c>
      <c r="AD341" s="225">
        <f t="shared" si="98"/>
        <v>0</v>
      </c>
      <c r="AE341" s="236">
        <f t="shared" si="99"/>
        <v>0</v>
      </c>
      <c r="AF341" s="225">
        <f t="shared" si="100"/>
        <v>0</v>
      </c>
      <c r="AG341" s="225">
        <f t="shared" si="101"/>
        <v>0</v>
      </c>
      <c r="AP341" s="132"/>
      <c r="AQ341" s="132"/>
    </row>
    <row r="342" spans="1:43" ht="15.5" x14ac:dyDescent="0.35">
      <c r="A342" s="197" t="str">
        <f t="shared" si="97"/>
        <v/>
      </c>
      <c r="B342" s="98" t="str">
        <f t="shared" si="103"/>
        <v/>
      </c>
      <c r="C342" s="99" t="str">
        <f t="shared" si="88"/>
        <v/>
      </c>
      <c r="D342" s="100" t="str">
        <f t="shared" si="89"/>
        <v/>
      </c>
      <c r="E342" s="100" t="str">
        <f t="shared" si="90"/>
        <v/>
      </c>
      <c r="F342" s="100" t="str">
        <f t="shared" si="91"/>
        <v/>
      </c>
      <c r="G342" s="100" t="str">
        <f t="shared" si="92"/>
        <v/>
      </c>
      <c r="H342" s="100" t="str">
        <f t="shared" si="93"/>
        <v/>
      </c>
      <c r="I342" s="100" t="str">
        <f t="shared" si="94"/>
        <v/>
      </c>
      <c r="J342" s="100" t="str">
        <f t="shared" si="102"/>
        <v/>
      </c>
      <c r="K342" s="100" t="str">
        <f t="shared" si="95"/>
        <v/>
      </c>
      <c r="L342" s="101" t="str">
        <f t="shared" si="96"/>
        <v/>
      </c>
      <c r="M342" s="12"/>
      <c r="N342" s="12"/>
      <c r="O342" s="12"/>
      <c r="Q342" s="118">
        <f t="shared" si="85"/>
        <v>0</v>
      </c>
      <c r="R342" s="119">
        <f t="shared" si="86"/>
        <v>0</v>
      </c>
      <c r="S342" s="120">
        <v>365</v>
      </c>
      <c r="AC342" s="224">
        <v>8490</v>
      </c>
      <c r="AD342" s="225">
        <f t="shared" si="98"/>
        <v>0</v>
      </c>
      <c r="AE342" s="236">
        <f t="shared" si="99"/>
        <v>0</v>
      </c>
      <c r="AF342" s="225">
        <f t="shared" si="100"/>
        <v>0</v>
      </c>
      <c r="AG342" s="225">
        <f t="shared" si="101"/>
        <v>0</v>
      </c>
      <c r="AP342" s="132"/>
      <c r="AQ342" s="132"/>
    </row>
    <row r="343" spans="1:43" ht="15.5" x14ac:dyDescent="0.35">
      <c r="A343" s="197" t="str">
        <f t="shared" si="97"/>
        <v/>
      </c>
      <c r="B343" s="98" t="str">
        <f t="shared" si="103"/>
        <v/>
      </c>
      <c r="C343" s="99" t="str">
        <f t="shared" si="88"/>
        <v/>
      </c>
      <c r="D343" s="100" t="str">
        <f t="shared" si="89"/>
        <v/>
      </c>
      <c r="E343" s="100" t="str">
        <f t="shared" si="90"/>
        <v/>
      </c>
      <c r="F343" s="100" t="str">
        <f t="shared" si="91"/>
        <v/>
      </c>
      <c r="G343" s="100" t="str">
        <f t="shared" si="92"/>
        <v/>
      </c>
      <c r="H343" s="100" t="str">
        <f t="shared" si="93"/>
        <v/>
      </c>
      <c r="I343" s="100" t="str">
        <f t="shared" si="94"/>
        <v/>
      </c>
      <c r="J343" s="100" t="str">
        <f t="shared" si="102"/>
        <v/>
      </c>
      <c r="K343" s="100" t="str">
        <f t="shared" si="95"/>
        <v/>
      </c>
      <c r="L343" s="101" t="str">
        <f t="shared" si="96"/>
        <v/>
      </c>
      <c r="M343" s="12"/>
      <c r="N343" s="12"/>
      <c r="O343" s="12"/>
      <c r="Q343" s="118">
        <f t="shared" si="85"/>
        <v>0</v>
      </c>
      <c r="R343" s="119">
        <f t="shared" si="86"/>
        <v>0</v>
      </c>
      <c r="S343" s="120">
        <v>365</v>
      </c>
      <c r="AC343" s="224">
        <v>8520</v>
      </c>
      <c r="AD343" s="225">
        <f t="shared" si="98"/>
        <v>0</v>
      </c>
      <c r="AE343" s="236">
        <f t="shared" si="99"/>
        <v>0</v>
      </c>
      <c r="AF343" s="225">
        <f t="shared" si="100"/>
        <v>0</v>
      </c>
      <c r="AG343" s="225">
        <f t="shared" si="101"/>
        <v>0</v>
      </c>
      <c r="AP343" s="132"/>
      <c r="AQ343" s="132"/>
    </row>
    <row r="344" spans="1:43" ht="15.5" x14ac:dyDescent="0.35">
      <c r="A344" s="197" t="str">
        <f t="shared" si="97"/>
        <v/>
      </c>
      <c r="B344" s="98" t="str">
        <f t="shared" si="103"/>
        <v/>
      </c>
      <c r="C344" s="99" t="str">
        <f t="shared" si="88"/>
        <v/>
      </c>
      <c r="D344" s="100" t="str">
        <f t="shared" si="89"/>
        <v/>
      </c>
      <c r="E344" s="100" t="str">
        <f t="shared" si="90"/>
        <v/>
      </c>
      <c r="F344" s="100" t="str">
        <f t="shared" si="91"/>
        <v/>
      </c>
      <c r="G344" s="100" t="str">
        <f t="shared" si="92"/>
        <v/>
      </c>
      <c r="H344" s="100" t="str">
        <f t="shared" si="93"/>
        <v/>
      </c>
      <c r="I344" s="100" t="str">
        <f t="shared" si="94"/>
        <v/>
      </c>
      <c r="J344" s="100" t="str">
        <f t="shared" si="102"/>
        <v/>
      </c>
      <c r="K344" s="100" t="str">
        <f t="shared" si="95"/>
        <v/>
      </c>
      <c r="L344" s="101" t="str">
        <f t="shared" si="96"/>
        <v/>
      </c>
      <c r="M344" s="12"/>
      <c r="N344" s="12"/>
      <c r="O344" s="12"/>
      <c r="Q344" s="118">
        <f t="shared" si="85"/>
        <v>0</v>
      </c>
      <c r="R344" s="119">
        <f t="shared" si="86"/>
        <v>0</v>
      </c>
      <c r="S344" s="120">
        <v>365</v>
      </c>
      <c r="AC344" s="224">
        <v>8550</v>
      </c>
      <c r="AD344" s="225">
        <f t="shared" si="98"/>
        <v>0</v>
      </c>
      <c r="AE344" s="236">
        <f t="shared" si="99"/>
        <v>0</v>
      </c>
      <c r="AF344" s="225">
        <f t="shared" si="100"/>
        <v>0</v>
      </c>
      <c r="AG344" s="225">
        <f t="shared" si="101"/>
        <v>0</v>
      </c>
      <c r="AP344" s="132"/>
      <c r="AQ344" s="132"/>
    </row>
    <row r="345" spans="1:43" ht="15.5" x14ac:dyDescent="0.35">
      <c r="A345" s="197" t="str">
        <f t="shared" si="97"/>
        <v/>
      </c>
      <c r="B345" s="98" t="str">
        <f t="shared" si="103"/>
        <v/>
      </c>
      <c r="C345" s="99" t="str">
        <f t="shared" si="88"/>
        <v/>
      </c>
      <c r="D345" s="100" t="str">
        <f t="shared" si="89"/>
        <v/>
      </c>
      <c r="E345" s="100" t="str">
        <f t="shared" si="90"/>
        <v/>
      </c>
      <c r="F345" s="100" t="str">
        <f t="shared" si="91"/>
        <v/>
      </c>
      <c r="G345" s="100" t="str">
        <f t="shared" si="92"/>
        <v/>
      </c>
      <c r="H345" s="100" t="str">
        <f t="shared" si="93"/>
        <v/>
      </c>
      <c r="I345" s="100" t="str">
        <f t="shared" si="94"/>
        <v/>
      </c>
      <c r="J345" s="100" t="str">
        <f t="shared" si="102"/>
        <v/>
      </c>
      <c r="K345" s="100" t="str">
        <f t="shared" si="95"/>
        <v/>
      </c>
      <c r="L345" s="101" t="str">
        <f t="shared" si="96"/>
        <v/>
      </c>
      <c r="M345" s="12"/>
      <c r="N345" s="12"/>
      <c r="O345" s="12"/>
      <c r="Q345" s="118">
        <f t="shared" si="85"/>
        <v>0</v>
      </c>
      <c r="R345" s="119">
        <f t="shared" si="86"/>
        <v>0</v>
      </c>
      <c r="S345" s="120">
        <v>365</v>
      </c>
      <c r="AC345" s="224">
        <v>8580</v>
      </c>
      <c r="AD345" s="225">
        <f t="shared" si="98"/>
        <v>0</v>
      </c>
      <c r="AE345" s="236">
        <f t="shared" si="99"/>
        <v>0</v>
      </c>
      <c r="AF345" s="225">
        <f t="shared" si="100"/>
        <v>0</v>
      </c>
      <c r="AG345" s="225">
        <f t="shared" si="101"/>
        <v>0</v>
      </c>
      <c r="AP345" s="132"/>
      <c r="AQ345" s="132"/>
    </row>
    <row r="346" spans="1:43" ht="15.5" x14ac:dyDescent="0.35">
      <c r="A346" s="197" t="str">
        <f t="shared" si="97"/>
        <v/>
      </c>
      <c r="B346" s="98" t="str">
        <f t="shared" si="103"/>
        <v/>
      </c>
      <c r="C346" s="99" t="str">
        <f t="shared" si="88"/>
        <v/>
      </c>
      <c r="D346" s="100" t="str">
        <f t="shared" si="89"/>
        <v/>
      </c>
      <c r="E346" s="100" t="str">
        <f t="shared" si="90"/>
        <v/>
      </c>
      <c r="F346" s="100" t="str">
        <f t="shared" si="91"/>
        <v/>
      </c>
      <c r="G346" s="100" t="str">
        <f t="shared" si="92"/>
        <v/>
      </c>
      <c r="H346" s="100" t="str">
        <f t="shared" si="93"/>
        <v/>
      </c>
      <c r="I346" s="100" t="str">
        <f t="shared" si="94"/>
        <v/>
      </c>
      <c r="J346" s="100" t="str">
        <f t="shared" si="102"/>
        <v/>
      </c>
      <c r="K346" s="100" t="str">
        <f t="shared" si="95"/>
        <v/>
      </c>
      <c r="L346" s="101" t="str">
        <f t="shared" si="96"/>
        <v/>
      </c>
      <c r="M346" s="12"/>
      <c r="N346" s="12"/>
      <c r="O346" s="12"/>
      <c r="Q346" s="118">
        <f t="shared" si="85"/>
        <v>0</v>
      </c>
      <c r="R346" s="119">
        <f t="shared" si="86"/>
        <v>0</v>
      </c>
      <c r="S346" s="120">
        <v>365</v>
      </c>
      <c r="AC346" s="224">
        <v>8610</v>
      </c>
      <c r="AD346" s="225">
        <f t="shared" si="98"/>
        <v>0</v>
      </c>
      <c r="AE346" s="236">
        <f t="shared" si="99"/>
        <v>0</v>
      </c>
      <c r="AF346" s="225">
        <f t="shared" si="100"/>
        <v>0</v>
      </c>
      <c r="AG346" s="225">
        <f t="shared" si="101"/>
        <v>0</v>
      </c>
      <c r="AP346" s="132"/>
      <c r="AQ346" s="132"/>
    </row>
    <row r="347" spans="1:43" ht="15.5" x14ac:dyDescent="0.35">
      <c r="A347" s="197" t="str">
        <f t="shared" si="97"/>
        <v/>
      </c>
      <c r="B347" s="98" t="str">
        <f t="shared" si="103"/>
        <v/>
      </c>
      <c r="C347" s="99" t="str">
        <f t="shared" si="88"/>
        <v/>
      </c>
      <c r="D347" s="100" t="str">
        <f t="shared" si="89"/>
        <v/>
      </c>
      <c r="E347" s="100" t="str">
        <f t="shared" si="90"/>
        <v/>
      </c>
      <c r="F347" s="100" t="str">
        <f t="shared" si="91"/>
        <v/>
      </c>
      <c r="G347" s="100" t="str">
        <f t="shared" si="92"/>
        <v/>
      </c>
      <c r="H347" s="100" t="str">
        <f t="shared" si="93"/>
        <v/>
      </c>
      <c r="I347" s="100" t="str">
        <f t="shared" si="94"/>
        <v/>
      </c>
      <c r="J347" s="100" t="str">
        <f t="shared" si="102"/>
        <v/>
      </c>
      <c r="K347" s="100" t="str">
        <f t="shared" si="95"/>
        <v/>
      </c>
      <c r="L347" s="101" t="str">
        <f t="shared" si="96"/>
        <v/>
      </c>
      <c r="M347" s="12"/>
      <c r="N347" s="12"/>
      <c r="O347" s="12"/>
      <c r="Q347" s="118">
        <f t="shared" si="85"/>
        <v>0</v>
      </c>
      <c r="R347" s="119">
        <f t="shared" si="86"/>
        <v>0</v>
      </c>
      <c r="S347" s="120">
        <v>365</v>
      </c>
      <c r="AC347" s="224">
        <v>8640</v>
      </c>
      <c r="AD347" s="225">
        <f t="shared" si="98"/>
        <v>0</v>
      </c>
      <c r="AE347" s="236">
        <f t="shared" si="99"/>
        <v>0</v>
      </c>
      <c r="AF347" s="225">
        <f t="shared" si="100"/>
        <v>0</v>
      </c>
      <c r="AG347" s="225">
        <f t="shared" si="101"/>
        <v>0</v>
      </c>
      <c r="AP347" s="132"/>
      <c r="AQ347" s="132"/>
    </row>
    <row r="348" spans="1:43" ht="15.5" x14ac:dyDescent="0.35">
      <c r="A348" s="197" t="str">
        <f t="shared" si="97"/>
        <v/>
      </c>
      <c r="B348" s="98" t="str">
        <f t="shared" si="103"/>
        <v/>
      </c>
      <c r="C348" s="99" t="str">
        <f t="shared" si="88"/>
        <v/>
      </c>
      <c r="D348" s="100" t="str">
        <f t="shared" si="89"/>
        <v/>
      </c>
      <c r="E348" s="100" t="str">
        <f t="shared" si="90"/>
        <v/>
      </c>
      <c r="F348" s="100" t="str">
        <f t="shared" si="91"/>
        <v/>
      </c>
      <c r="G348" s="100" t="str">
        <f t="shared" si="92"/>
        <v/>
      </c>
      <c r="H348" s="100" t="str">
        <f t="shared" si="93"/>
        <v/>
      </c>
      <c r="I348" s="100" t="str">
        <f t="shared" si="94"/>
        <v/>
      </c>
      <c r="J348" s="100" t="str">
        <f t="shared" si="102"/>
        <v/>
      </c>
      <c r="K348" s="100" t="str">
        <f t="shared" si="95"/>
        <v/>
      </c>
      <c r="L348" s="101" t="str">
        <f t="shared" si="96"/>
        <v/>
      </c>
      <c r="M348" s="12"/>
      <c r="N348" s="12"/>
      <c r="O348" s="12"/>
      <c r="Q348" s="118">
        <f t="shared" si="85"/>
        <v>0</v>
      </c>
      <c r="R348" s="119">
        <f t="shared" si="86"/>
        <v>0</v>
      </c>
      <c r="S348" s="120">
        <v>365</v>
      </c>
      <c r="AC348" s="224">
        <v>8670</v>
      </c>
      <c r="AD348" s="225">
        <f t="shared" si="98"/>
        <v>0</v>
      </c>
      <c r="AE348" s="236">
        <f t="shared" si="99"/>
        <v>0</v>
      </c>
      <c r="AF348" s="225">
        <f t="shared" si="100"/>
        <v>0</v>
      </c>
      <c r="AG348" s="225">
        <f t="shared" si="101"/>
        <v>0</v>
      </c>
      <c r="AP348" s="132"/>
      <c r="AQ348" s="132"/>
    </row>
    <row r="349" spans="1:43" ht="15.5" x14ac:dyDescent="0.35">
      <c r="A349" s="197" t="str">
        <f t="shared" si="97"/>
        <v/>
      </c>
      <c r="B349" s="98" t="str">
        <f t="shared" si="103"/>
        <v/>
      </c>
      <c r="C349" s="99" t="str">
        <f t="shared" si="88"/>
        <v/>
      </c>
      <c r="D349" s="100" t="str">
        <f t="shared" si="89"/>
        <v/>
      </c>
      <c r="E349" s="100" t="str">
        <f t="shared" si="90"/>
        <v/>
      </c>
      <c r="F349" s="100" t="str">
        <f t="shared" si="91"/>
        <v/>
      </c>
      <c r="G349" s="100" t="str">
        <f t="shared" si="92"/>
        <v/>
      </c>
      <c r="H349" s="100" t="str">
        <f t="shared" si="93"/>
        <v/>
      </c>
      <c r="I349" s="100" t="str">
        <f t="shared" si="94"/>
        <v/>
      </c>
      <c r="J349" s="100" t="str">
        <f t="shared" si="102"/>
        <v/>
      </c>
      <c r="K349" s="100" t="str">
        <f t="shared" si="95"/>
        <v/>
      </c>
      <c r="L349" s="101" t="str">
        <f t="shared" si="96"/>
        <v/>
      </c>
      <c r="M349" s="12"/>
      <c r="N349" s="12"/>
      <c r="O349" s="12"/>
      <c r="Q349" s="118">
        <f t="shared" si="85"/>
        <v>0</v>
      </c>
      <c r="R349" s="119">
        <f t="shared" si="86"/>
        <v>0</v>
      </c>
      <c r="S349" s="120">
        <v>365</v>
      </c>
      <c r="AC349" s="224">
        <v>8700</v>
      </c>
      <c r="AD349" s="225">
        <f t="shared" si="98"/>
        <v>0</v>
      </c>
      <c r="AE349" s="236">
        <f t="shared" si="99"/>
        <v>0</v>
      </c>
      <c r="AF349" s="225">
        <f t="shared" si="100"/>
        <v>0</v>
      </c>
      <c r="AG349" s="225">
        <f t="shared" si="101"/>
        <v>0</v>
      </c>
      <c r="AP349" s="132"/>
      <c r="AQ349" s="132"/>
    </row>
    <row r="350" spans="1:43" ht="15.5" x14ac:dyDescent="0.35">
      <c r="A350" s="197" t="str">
        <f t="shared" si="97"/>
        <v/>
      </c>
      <c r="B350" s="98" t="str">
        <f t="shared" si="103"/>
        <v/>
      </c>
      <c r="C350" s="99" t="str">
        <f t="shared" si="88"/>
        <v/>
      </c>
      <c r="D350" s="100" t="str">
        <f t="shared" si="89"/>
        <v/>
      </c>
      <c r="E350" s="100" t="str">
        <f t="shared" si="90"/>
        <v/>
      </c>
      <c r="F350" s="100" t="str">
        <f t="shared" si="91"/>
        <v/>
      </c>
      <c r="G350" s="100" t="str">
        <f t="shared" si="92"/>
        <v/>
      </c>
      <c r="H350" s="100" t="str">
        <f t="shared" si="93"/>
        <v/>
      </c>
      <c r="I350" s="100" t="str">
        <f t="shared" si="94"/>
        <v/>
      </c>
      <c r="J350" s="100" t="str">
        <f t="shared" si="102"/>
        <v/>
      </c>
      <c r="K350" s="100" t="str">
        <f t="shared" si="95"/>
        <v/>
      </c>
      <c r="L350" s="101" t="str">
        <f t="shared" si="96"/>
        <v/>
      </c>
      <c r="M350" s="12"/>
      <c r="N350" s="12"/>
      <c r="O350" s="12"/>
      <c r="Q350" s="118">
        <f t="shared" si="85"/>
        <v>0</v>
      </c>
      <c r="R350" s="119">
        <f t="shared" si="86"/>
        <v>0</v>
      </c>
      <c r="S350" s="120">
        <v>365</v>
      </c>
      <c r="AC350" s="224">
        <v>8730</v>
      </c>
      <c r="AD350" s="225">
        <f t="shared" si="98"/>
        <v>0</v>
      </c>
      <c r="AE350" s="236">
        <f t="shared" si="99"/>
        <v>0</v>
      </c>
      <c r="AF350" s="225">
        <f t="shared" si="100"/>
        <v>0</v>
      </c>
      <c r="AG350" s="225">
        <f t="shared" si="101"/>
        <v>0</v>
      </c>
      <c r="AP350" s="132"/>
      <c r="AQ350" s="132"/>
    </row>
    <row r="351" spans="1:43" ht="15.5" x14ac:dyDescent="0.35">
      <c r="A351" s="197" t="str">
        <f t="shared" si="97"/>
        <v/>
      </c>
      <c r="B351" s="98" t="str">
        <f t="shared" si="103"/>
        <v/>
      </c>
      <c r="C351" s="99" t="str">
        <f t="shared" si="88"/>
        <v/>
      </c>
      <c r="D351" s="100" t="str">
        <f t="shared" si="89"/>
        <v/>
      </c>
      <c r="E351" s="100" t="str">
        <f t="shared" si="90"/>
        <v/>
      </c>
      <c r="F351" s="100" t="str">
        <f t="shared" si="91"/>
        <v/>
      </c>
      <c r="G351" s="100" t="str">
        <f t="shared" si="92"/>
        <v/>
      </c>
      <c r="H351" s="100" t="str">
        <f t="shared" si="93"/>
        <v/>
      </c>
      <c r="I351" s="100" t="str">
        <f t="shared" si="94"/>
        <v/>
      </c>
      <c r="J351" s="100" t="str">
        <f t="shared" si="102"/>
        <v/>
      </c>
      <c r="K351" s="100" t="str">
        <f t="shared" si="95"/>
        <v/>
      </c>
      <c r="L351" s="101" t="str">
        <f t="shared" si="96"/>
        <v/>
      </c>
      <c r="M351" s="12"/>
      <c r="N351" s="12"/>
      <c r="O351" s="12"/>
      <c r="Q351" s="118">
        <f t="shared" si="85"/>
        <v>0</v>
      </c>
      <c r="R351" s="119">
        <f t="shared" si="86"/>
        <v>0</v>
      </c>
      <c r="S351" s="120">
        <v>365</v>
      </c>
      <c r="AC351" s="224">
        <v>8760</v>
      </c>
      <c r="AD351" s="225">
        <f t="shared" si="98"/>
        <v>0</v>
      </c>
      <c r="AE351" s="236">
        <f t="shared" si="99"/>
        <v>0</v>
      </c>
      <c r="AF351" s="225">
        <f t="shared" si="100"/>
        <v>0</v>
      </c>
      <c r="AG351" s="225">
        <f t="shared" si="101"/>
        <v>0</v>
      </c>
      <c r="AP351" s="132"/>
      <c r="AQ351" s="132"/>
    </row>
    <row r="352" spans="1:43" ht="15.5" x14ac:dyDescent="0.35">
      <c r="A352" s="197" t="str">
        <f t="shared" si="97"/>
        <v/>
      </c>
      <c r="B352" s="98" t="str">
        <f t="shared" si="103"/>
        <v/>
      </c>
      <c r="C352" s="99" t="str">
        <f t="shared" si="88"/>
        <v/>
      </c>
      <c r="D352" s="100" t="str">
        <f t="shared" si="89"/>
        <v/>
      </c>
      <c r="E352" s="100" t="str">
        <f t="shared" si="90"/>
        <v/>
      </c>
      <c r="F352" s="100" t="str">
        <f t="shared" si="91"/>
        <v/>
      </c>
      <c r="G352" s="100" t="str">
        <f t="shared" si="92"/>
        <v/>
      </c>
      <c r="H352" s="100" t="str">
        <f t="shared" si="93"/>
        <v/>
      </c>
      <c r="I352" s="100" t="str">
        <f t="shared" si="94"/>
        <v/>
      </c>
      <c r="J352" s="100" t="str">
        <f t="shared" si="102"/>
        <v/>
      </c>
      <c r="K352" s="100" t="str">
        <f t="shared" si="95"/>
        <v/>
      </c>
      <c r="L352" s="101" t="str">
        <f t="shared" si="96"/>
        <v/>
      </c>
      <c r="M352" s="12"/>
      <c r="N352" s="12"/>
      <c r="O352" s="12"/>
      <c r="Q352" s="118">
        <f t="shared" si="85"/>
        <v>0</v>
      </c>
      <c r="R352" s="119">
        <f t="shared" si="86"/>
        <v>0</v>
      </c>
      <c r="S352" s="120">
        <v>365</v>
      </c>
      <c r="AC352" s="224">
        <v>8790</v>
      </c>
      <c r="AD352" s="225">
        <f t="shared" si="98"/>
        <v>0</v>
      </c>
      <c r="AE352" s="236">
        <f t="shared" si="99"/>
        <v>0</v>
      </c>
      <c r="AF352" s="225">
        <f t="shared" si="100"/>
        <v>0</v>
      </c>
      <c r="AG352" s="225">
        <f t="shared" si="101"/>
        <v>0</v>
      </c>
      <c r="AP352" s="132"/>
      <c r="AQ352" s="132"/>
    </row>
    <row r="353" spans="1:43" ht="15.5" x14ac:dyDescent="0.35">
      <c r="A353" s="197" t="str">
        <f t="shared" si="97"/>
        <v/>
      </c>
      <c r="B353" s="98" t="str">
        <f t="shared" si="103"/>
        <v/>
      </c>
      <c r="C353" s="99" t="str">
        <f t="shared" si="88"/>
        <v/>
      </c>
      <c r="D353" s="100" t="str">
        <f t="shared" si="89"/>
        <v/>
      </c>
      <c r="E353" s="100" t="str">
        <f t="shared" si="90"/>
        <v/>
      </c>
      <c r="F353" s="100" t="str">
        <f t="shared" si="91"/>
        <v/>
      </c>
      <c r="G353" s="100" t="str">
        <f t="shared" si="92"/>
        <v/>
      </c>
      <c r="H353" s="100" t="str">
        <f t="shared" si="93"/>
        <v/>
      </c>
      <c r="I353" s="100" t="str">
        <f t="shared" si="94"/>
        <v/>
      </c>
      <c r="J353" s="100" t="str">
        <f t="shared" si="102"/>
        <v/>
      </c>
      <c r="K353" s="100" t="str">
        <f t="shared" si="95"/>
        <v/>
      </c>
      <c r="L353" s="101" t="str">
        <f t="shared" si="96"/>
        <v/>
      </c>
      <c r="M353" s="12"/>
      <c r="N353" s="12"/>
      <c r="O353" s="12"/>
      <c r="Q353" s="118">
        <f t="shared" si="85"/>
        <v>0</v>
      </c>
      <c r="R353" s="119">
        <f t="shared" si="86"/>
        <v>0</v>
      </c>
      <c r="S353" s="120">
        <v>365</v>
      </c>
      <c r="AC353" s="224">
        <v>8820</v>
      </c>
      <c r="AD353" s="225">
        <f t="shared" si="98"/>
        <v>0</v>
      </c>
      <c r="AE353" s="236">
        <f t="shared" si="99"/>
        <v>0</v>
      </c>
      <c r="AF353" s="225">
        <f t="shared" si="100"/>
        <v>0</v>
      </c>
      <c r="AG353" s="225">
        <f t="shared" si="101"/>
        <v>0</v>
      </c>
      <c r="AP353" s="132"/>
      <c r="AQ353" s="132"/>
    </row>
    <row r="354" spans="1:43" ht="15.5" x14ac:dyDescent="0.35">
      <c r="A354" s="197" t="str">
        <f t="shared" si="97"/>
        <v/>
      </c>
      <c r="B354" s="98" t="str">
        <f t="shared" si="103"/>
        <v/>
      </c>
      <c r="C354" s="99" t="str">
        <f t="shared" si="88"/>
        <v/>
      </c>
      <c r="D354" s="100" t="str">
        <f t="shared" si="89"/>
        <v/>
      </c>
      <c r="E354" s="100" t="str">
        <f t="shared" si="90"/>
        <v/>
      </c>
      <c r="F354" s="100" t="str">
        <f t="shared" si="91"/>
        <v/>
      </c>
      <c r="G354" s="100" t="str">
        <f t="shared" si="92"/>
        <v/>
      </c>
      <c r="H354" s="100" t="str">
        <f t="shared" si="93"/>
        <v/>
      </c>
      <c r="I354" s="100" t="str">
        <f t="shared" si="94"/>
        <v/>
      </c>
      <c r="J354" s="100" t="str">
        <f t="shared" si="102"/>
        <v/>
      </c>
      <c r="K354" s="100" t="str">
        <f t="shared" si="95"/>
        <v/>
      </c>
      <c r="L354" s="101" t="str">
        <f t="shared" si="96"/>
        <v/>
      </c>
      <c r="M354" s="12"/>
      <c r="N354" s="12"/>
      <c r="O354" s="12"/>
      <c r="Q354" s="118">
        <f t="shared" si="85"/>
        <v>0</v>
      </c>
      <c r="R354" s="119">
        <f t="shared" si="86"/>
        <v>0</v>
      </c>
      <c r="S354" s="120">
        <v>365</v>
      </c>
      <c r="AC354" s="224">
        <v>8850</v>
      </c>
      <c r="AD354" s="225">
        <f t="shared" si="98"/>
        <v>0</v>
      </c>
      <c r="AE354" s="236">
        <f t="shared" si="99"/>
        <v>0</v>
      </c>
      <c r="AF354" s="225">
        <f t="shared" si="100"/>
        <v>0</v>
      </c>
      <c r="AG354" s="225">
        <f t="shared" si="101"/>
        <v>0</v>
      </c>
      <c r="AP354" s="132"/>
      <c r="AQ354" s="132"/>
    </row>
    <row r="355" spans="1:43" ht="15.5" x14ac:dyDescent="0.35">
      <c r="A355" s="197" t="str">
        <f t="shared" si="97"/>
        <v/>
      </c>
      <c r="B355" s="98" t="str">
        <f t="shared" si="103"/>
        <v/>
      </c>
      <c r="C355" s="99" t="str">
        <f t="shared" si="88"/>
        <v/>
      </c>
      <c r="D355" s="100" t="str">
        <f t="shared" si="89"/>
        <v/>
      </c>
      <c r="E355" s="100" t="str">
        <f t="shared" si="90"/>
        <v/>
      </c>
      <c r="F355" s="100" t="str">
        <f t="shared" si="91"/>
        <v/>
      </c>
      <c r="G355" s="100" t="str">
        <f t="shared" si="92"/>
        <v/>
      </c>
      <c r="H355" s="100" t="str">
        <f t="shared" si="93"/>
        <v/>
      </c>
      <c r="I355" s="100" t="str">
        <f t="shared" si="94"/>
        <v/>
      </c>
      <c r="J355" s="100" t="str">
        <f t="shared" si="102"/>
        <v/>
      </c>
      <c r="K355" s="100" t="str">
        <f t="shared" si="95"/>
        <v/>
      </c>
      <c r="L355" s="101" t="str">
        <f t="shared" si="96"/>
        <v/>
      </c>
      <c r="M355" s="12"/>
      <c r="N355" s="12"/>
      <c r="O355" s="12"/>
      <c r="Q355" s="118">
        <f t="shared" si="85"/>
        <v>0</v>
      </c>
      <c r="R355" s="119">
        <f t="shared" si="86"/>
        <v>0</v>
      </c>
      <c r="S355" s="120">
        <v>365</v>
      </c>
      <c r="AC355" s="224">
        <v>8880</v>
      </c>
      <c r="AD355" s="225">
        <f t="shared" si="98"/>
        <v>0</v>
      </c>
      <c r="AE355" s="236">
        <f t="shared" si="99"/>
        <v>0</v>
      </c>
      <c r="AF355" s="225">
        <f t="shared" si="100"/>
        <v>0</v>
      </c>
      <c r="AG355" s="225">
        <f t="shared" si="101"/>
        <v>0</v>
      </c>
      <c r="AP355" s="132"/>
      <c r="AQ355" s="132"/>
    </row>
    <row r="356" spans="1:43" ht="15.5" x14ac:dyDescent="0.35">
      <c r="A356" s="197" t="str">
        <f t="shared" si="97"/>
        <v/>
      </c>
      <c r="B356" s="98" t="str">
        <f t="shared" si="103"/>
        <v/>
      </c>
      <c r="C356" s="99" t="str">
        <f t="shared" si="88"/>
        <v/>
      </c>
      <c r="D356" s="100" t="str">
        <f t="shared" si="89"/>
        <v/>
      </c>
      <c r="E356" s="100" t="str">
        <f t="shared" si="90"/>
        <v/>
      </c>
      <c r="F356" s="100" t="str">
        <f t="shared" si="91"/>
        <v/>
      </c>
      <c r="G356" s="100" t="str">
        <f t="shared" si="92"/>
        <v/>
      </c>
      <c r="H356" s="100" t="str">
        <f t="shared" si="93"/>
        <v/>
      </c>
      <c r="I356" s="100" t="str">
        <f t="shared" si="94"/>
        <v/>
      </c>
      <c r="J356" s="100" t="str">
        <f t="shared" si="102"/>
        <v/>
      </c>
      <c r="K356" s="100" t="str">
        <f t="shared" si="95"/>
        <v/>
      </c>
      <c r="L356" s="101" t="str">
        <f t="shared" si="96"/>
        <v/>
      </c>
      <c r="M356" s="12"/>
      <c r="N356" s="12"/>
      <c r="O356" s="12"/>
      <c r="Q356" s="118">
        <f t="shared" si="85"/>
        <v>0</v>
      </c>
      <c r="R356" s="119">
        <f t="shared" si="86"/>
        <v>0</v>
      </c>
      <c r="S356" s="120">
        <v>365</v>
      </c>
      <c r="AC356" s="224">
        <v>8910</v>
      </c>
      <c r="AD356" s="225">
        <f t="shared" si="98"/>
        <v>0</v>
      </c>
      <c r="AE356" s="236">
        <f t="shared" si="99"/>
        <v>0</v>
      </c>
      <c r="AF356" s="225">
        <f t="shared" si="100"/>
        <v>0</v>
      </c>
      <c r="AG356" s="225">
        <f t="shared" si="101"/>
        <v>0</v>
      </c>
      <c r="AP356" s="132"/>
      <c r="AQ356" s="132"/>
    </row>
    <row r="357" spans="1:43" ht="15.5" x14ac:dyDescent="0.35">
      <c r="A357" s="197" t="str">
        <f t="shared" si="97"/>
        <v/>
      </c>
      <c r="B357" s="98" t="str">
        <f t="shared" si="103"/>
        <v/>
      </c>
      <c r="C357" s="99" t="str">
        <f t="shared" si="88"/>
        <v/>
      </c>
      <c r="D357" s="100" t="str">
        <f t="shared" si="89"/>
        <v/>
      </c>
      <c r="E357" s="100" t="str">
        <f t="shared" si="90"/>
        <v/>
      </c>
      <c r="F357" s="100" t="str">
        <f t="shared" si="91"/>
        <v/>
      </c>
      <c r="G357" s="100" t="str">
        <f t="shared" si="92"/>
        <v/>
      </c>
      <c r="H357" s="100" t="str">
        <f t="shared" si="93"/>
        <v/>
      </c>
      <c r="I357" s="100" t="str">
        <f t="shared" si="94"/>
        <v/>
      </c>
      <c r="J357" s="100" t="str">
        <f t="shared" si="102"/>
        <v/>
      </c>
      <c r="K357" s="100" t="str">
        <f t="shared" si="95"/>
        <v/>
      </c>
      <c r="L357" s="101" t="str">
        <f t="shared" si="96"/>
        <v/>
      </c>
      <c r="M357" s="12"/>
      <c r="N357" s="12"/>
      <c r="O357" s="12"/>
      <c r="Q357" s="118">
        <f t="shared" si="85"/>
        <v>0</v>
      </c>
      <c r="R357" s="119">
        <f t="shared" si="86"/>
        <v>0</v>
      </c>
      <c r="S357" s="120">
        <v>365</v>
      </c>
      <c r="AC357" s="224">
        <v>8940</v>
      </c>
      <c r="AD357" s="225">
        <f t="shared" si="98"/>
        <v>0</v>
      </c>
      <c r="AE357" s="236">
        <f t="shared" si="99"/>
        <v>0</v>
      </c>
      <c r="AF357" s="225">
        <f t="shared" si="100"/>
        <v>0</v>
      </c>
      <c r="AG357" s="225">
        <f t="shared" si="101"/>
        <v>0</v>
      </c>
      <c r="AP357" s="132"/>
      <c r="AQ357" s="132"/>
    </row>
    <row r="358" spans="1:43" ht="15.5" x14ac:dyDescent="0.35">
      <c r="A358" s="197" t="str">
        <f t="shared" si="97"/>
        <v/>
      </c>
      <c r="B358" s="98" t="str">
        <f t="shared" si="103"/>
        <v/>
      </c>
      <c r="C358" s="99" t="str">
        <f t="shared" si="88"/>
        <v/>
      </c>
      <c r="D358" s="100" t="str">
        <f t="shared" si="89"/>
        <v/>
      </c>
      <c r="E358" s="100" t="str">
        <f t="shared" si="90"/>
        <v/>
      </c>
      <c r="F358" s="100" t="str">
        <f t="shared" si="91"/>
        <v/>
      </c>
      <c r="G358" s="100" t="str">
        <f t="shared" si="92"/>
        <v/>
      </c>
      <c r="H358" s="100" t="str">
        <f t="shared" si="93"/>
        <v/>
      </c>
      <c r="I358" s="100" t="str">
        <f t="shared" si="94"/>
        <v/>
      </c>
      <c r="J358" s="100" t="str">
        <f t="shared" si="102"/>
        <v/>
      </c>
      <c r="K358" s="100" t="str">
        <f t="shared" si="95"/>
        <v/>
      </c>
      <c r="L358" s="101" t="str">
        <f t="shared" si="96"/>
        <v/>
      </c>
      <c r="M358" s="12"/>
      <c r="N358" s="12"/>
      <c r="O358" s="12"/>
      <c r="Q358" s="118">
        <f t="shared" si="85"/>
        <v>0</v>
      </c>
      <c r="R358" s="119">
        <f t="shared" si="86"/>
        <v>0</v>
      </c>
      <c r="S358" s="120">
        <v>365</v>
      </c>
      <c r="AC358" s="224">
        <v>8970</v>
      </c>
      <c r="AD358" s="225">
        <f t="shared" si="98"/>
        <v>0</v>
      </c>
      <c r="AE358" s="236">
        <f t="shared" si="99"/>
        <v>0</v>
      </c>
      <c r="AF358" s="225">
        <f t="shared" si="100"/>
        <v>0</v>
      </c>
      <c r="AG358" s="225">
        <f t="shared" si="101"/>
        <v>0</v>
      </c>
      <c r="AP358" s="132"/>
      <c r="AQ358" s="132"/>
    </row>
    <row r="359" spans="1:43" ht="16" thickBot="1" x14ac:dyDescent="0.4">
      <c r="A359" s="197" t="str">
        <f t="shared" si="97"/>
        <v/>
      </c>
      <c r="B359" s="75" t="str">
        <f t="shared" si="103"/>
        <v/>
      </c>
      <c r="C359" s="76" t="str">
        <f t="shared" si="88"/>
        <v/>
      </c>
      <c r="D359" s="77" t="str">
        <f t="shared" si="89"/>
        <v/>
      </c>
      <c r="E359" s="77" t="str">
        <f t="shared" si="90"/>
        <v/>
      </c>
      <c r="F359" s="77" t="str">
        <f t="shared" si="91"/>
        <v/>
      </c>
      <c r="G359" s="77" t="str">
        <f t="shared" si="92"/>
        <v/>
      </c>
      <c r="H359" s="77" t="str">
        <f t="shared" si="93"/>
        <v/>
      </c>
      <c r="I359" s="77" t="str">
        <f t="shared" si="94"/>
        <v/>
      </c>
      <c r="J359" s="77" t="str">
        <f t="shared" si="102"/>
        <v/>
      </c>
      <c r="K359" s="77" t="str">
        <f t="shared" si="95"/>
        <v/>
      </c>
      <c r="L359" s="78" t="str">
        <f t="shared" si="96"/>
        <v/>
      </c>
      <c r="M359" s="12"/>
      <c r="N359" s="12"/>
      <c r="O359" s="12"/>
      <c r="Q359" s="118">
        <f t="shared" si="85"/>
        <v>0</v>
      </c>
      <c r="R359" s="119">
        <f t="shared" si="86"/>
        <v>0</v>
      </c>
      <c r="S359" s="120">
        <v>365</v>
      </c>
      <c r="AC359" s="224">
        <v>9000</v>
      </c>
      <c r="AD359" s="225">
        <f t="shared" si="98"/>
        <v>0</v>
      </c>
      <c r="AE359" s="226">
        <f t="shared" si="99"/>
        <v>0</v>
      </c>
      <c r="AF359" s="227">
        <f t="shared" si="100"/>
        <v>0</v>
      </c>
      <c r="AG359" s="225">
        <f t="shared" si="101"/>
        <v>0</v>
      </c>
      <c r="AP359" s="132"/>
      <c r="AQ359" s="132"/>
    </row>
    <row r="360" spans="1:43" ht="15.5" hidden="1" x14ac:dyDescent="0.35">
      <c r="A360" s="197" t="str">
        <f t="shared" si="97"/>
        <v/>
      </c>
      <c r="B360" s="98" t="str">
        <f t="shared" si="103"/>
        <v/>
      </c>
      <c r="C360" s="99" t="str">
        <f t="shared" si="88"/>
        <v/>
      </c>
      <c r="D360" s="100" t="str">
        <f t="shared" si="89"/>
        <v/>
      </c>
      <c r="E360" s="100" t="str">
        <f t="shared" si="90"/>
        <v/>
      </c>
      <c r="F360" s="100" t="str">
        <f t="shared" si="91"/>
        <v/>
      </c>
      <c r="G360" s="100" t="str">
        <f t="shared" si="92"/>
        <v/>
      </c>
      <c r="H360" s="100" t="str">
        <f t="shared" si="93"/>
        <v/>
      </c>
      <c r="I360" s="100" t="str">
        <f t="shared" si="94"/>
        <v/>
      </c>
      <c r="J360" s="100" t="str">
        <f t="shared" si="102"/>
        <v/>
      </c>
      <c r="K360" s="100" t="str">
        <f t="shared" si="95"/>
        <v/>
      </c>
      <c r="L360" s="101" t="str">
        <f t="shared" si="96"/>
        <v/>
      </c>
      <c r="M360" s="12"/>
      <c r="N360" s="12"/>
      <c r="O360" s="12"/>
      <c r="Q360" s="118">
        <f t="shared" si="85"/>
        <v>0</v>
      </c>
      <c r="R360" s="119">
        <f t="shared" si="86"/>
        <v>0</v>
      </c>
      <c r="S360" s="120">
        <v>365</v>
      </c>
      <c r="AC360" s="224">
        <v>9030</v>
      </c>
      <c r="AD360" s="225">
        <f t="shared" si="98"/>
        <v>0</v>
      </c>
      <c r="AE360" s="236">
        <f t="shared" si="99"/>
        <v>0</v>
      </c>
      <c r="AF360" s="225">
        <f t="shared" si="100"/>
        <v>0</v>
      </c>
      <c r="AG360" s="225">
        <f t="shared" si="101"/>
        <v>0</v>
      </c>
      <c r="AP360" s="132"/>
      <c r="AQ360" s="132"/>
    </row>
    <row r="361" spans="1:43" ht="15.5" hidden="1" x14ac:dyDescent="0.35">
      <c r="A361" s="197" t="str">
        <f t="shared" si="97"/>
        <v/>
      </c>
      <c r="B361" s="98" t="str">
        <f t="shared" si="103"/>
        <v/>
      </c>
      <c r="C361" s="99" t="str">
        <f t="shared" si="88"/>
        <v/>
      </c>
      <c r="D361" s="100" t="str">
        <f t="shared" si="89"/>
        <v/>
      </c>
      <c r="E361" s="100" t="str">
        <f t="shared" si="90"/>
        <v/>
      </c>
      <c r="F361" s="100" t="str">
        <f t="shared" si="91"/>
        <v/>
      </c>
      <c r="G361" s="100" t="str">
        <f t="shared" si="92"/>
        <v/>
      </c>
      <c r="H361" s="100" t="str">
        <f t="shared" si="93"/>
        <v/>
      </c>
      <c r="I361" s="100" t="str">
        <f t="shared" si="94"/>
        <v/>
      </c>
      <c r="J361" s="100" t="str">
        <f t="shared" si="102"/>
        <v/>
      </c>
      <c r="K361" s="100" t="str">
        <f t="shared" si="95"/>
        <v/>
      </c>
      <c r="L361" s="101" t="str">
        <f t="shared" si="96"/>
        <v/>
      </c>
      <c r="M361" s="12"/>
      <c r="N361" s="12"/>
      <c r="O361" s="12"/>
      <c r="Q361" s="118">
        <f t="shared" si="85"/>
        <v>0</v>
      </c>
      <c r="R361" s="119">
        <f t="shared" si="86"/>
        <v>0</v>
      </c>
      <c r="S361" s="120">
        <v>365</v>
      </c>
      <c r="AC361" s="224">
        <v>9060</v>
      </c>
      <c r="AD361" s="225">
        <f t="shared" si="98"/>
        <v>0</v>
      </c>
      <c r="AE361" s="236">
        <f t="shared" si="99"/>
        <v>0</v>
      </c>
      <c r="AF361" s="225">
        <f t="shared" si="100"/>
        <v>0</v>
      </c>
      <c r="AG361" s="225">
        <f t="shared" si="101"/>
        <v>0</v>
      </c>
      <c r="AP361" s="132"/>
      <c r="AQ361" s="132"/>
    </row>
    <row r="362" spans="1:43" ht="15.5" hidden="1" x14ac:dyDescent="0.35">
      <c r="A362" s="197" t="str">
        <f t="shared" si="97"/>
        <v/>
      </c>
      <c r="B362" s="98" t="str">
        <f t="shared" si="103"/>
        <v/>
      </c>
      <c r="C362" s="99" t="str">
        <f t="shared" si="88"/>
        <v/>
      </c>
      <c r="D362" s="100" t="str">
        <f t="shared" si="89"/>
        <v/>
      </c>
      <c r="E362" s="100" t="str">
        <f t="shared" si="90"/>
        <v/>
      </c>
      <c r="F362" s="100" t="str">
        <f t="shared" si="91"/>
        <v/>
      </c>
      <c r="G362" s="100" t="str">
        <f t="shared" si="92"/>
        <v/>
      </c>
      <c r="H362" s="100" t="str">
        <f t="shared" si="93"/>
        <v/>
      </c>
      <c r="I362" s="100" t="str">
        <f t="shared" si="94"/>
        <v/>
      </c>
      <c r="J362" s="100" t="str">
        <f t="shared" si="102"/>
        <v/>
      </c>
      <c r="K362" s="100" t="str">
        <f t="shared" si="95"/>
        <v/>
      </c>
      <c r="L362" s="101" t="str">
        <f t="shared" si="96"/>
        <v/>
      </c>
      <c r="M362" s="12"/>
      <c r="N362" s="12"/>
      <c r="O362" s="12"/>
      <c r="Q362" s="118">
        <f t="shared" si="85"/>
        <v>0</v>
      </c>
      <c r="R362" s="119">
        <f t="shared" si="86"/>
        <v>0</v>
      </c>
      <c r="S362" s="120">
        <v>365</v>
      </c>
      <c r="AC362" s="224">
        <v>9090</v>
      </c>
      <c r="AD362" s="225">
        <f t="shared" si="98"/>
        <v>0</v>
      </c>
      <c r="AE362" s="236">
        <f t="shared" si="99"/>
        <v>0</v>
      </c>
      <c r="AF362" s="225">
        <f t="shared" si="100"/>
        <v>0</v>
      </c>
      <c r="AG362" s="225">
        <f t="shared" si="101"/>
        <v>0</v>
      </c>
      <c r="AP362" s="132"/>
      <c r="AQ362" s="132"/>
    </row>
    <row r="363" spans="1:43" ht="15.5" hidden="1" x14ac:dyDescent="0.35">
      <c r="A363" s="197" t="str">
        <f t="shared" si="97"/>
        <v/>
      </c>
      <c r="B363" s="98" t="str">
        <f t="shared" si="103"/>
        <v/>
      </c>
      <c r="C363" s="99" t="str">
        <f t="shared" si="88"/>
        <v/>
      </c>
      <c r="D363" s="100" t="str">
        <f t="shared" si="89"/>
        <v/>
      </c>
      <c r="E363" s="100" t="str">
        <f t="shared" si="90"/>
        <v/>
      </c>
      <c r="F363" s="100" t="str">
        <f t="shared" si="91"/>
        <v/>
      </c>
      <c r="G363" s="100" t="str">
        <f t="shared" si="92"/>
        <v/>
      </c>
      <c r="H363" s="100" t="str">
        <f t="shared" si="93"/>
        <v/>
      </c>
      <c r="I363" s="100" t="str">
        <f t="shared" si="94"/>
        <v/>
      </c>
      <c r="J363" s="100" t="str">
        <f t="shared" si="102"/>
        <v/>
      </c>
      <c r="K363" s="100" t="str">
        <f t="shared" si="95"/>
        <v/>
      </c>
      <c r="L363" s="101" t="str">
        <f t="shared" si="96"/>
        <v/>
      </c>
      <c r="M363" s="12"/>
      <c r="N363" s="12"/>
      <c r="O363" s="12"/>
      <c r="Q363" s="118">
        <f t="shared" ref="Q363:Q419" si="104">IFERROR(G363*$Q$44,0)</f>
        <v>0</v>
      </c>
      <c r="R363" s="119">
        <f t="shared" ref="R363:R419" si="105">IF($B363&lt;=$J$21,C363-C362,)</f>
        <v>0</v>
      </c>
      <c r="S363" s="120">
        <v>365</v>
      </c>
      <c r="AC363" s="224">
        <v>9120</v>
      </c>
      <c r="AD363" s="225">
        <f t="shared" si="98"/>
        <v>0</v>
      </c>
      <c r="AE363" s="236">
        <f t="shared" si="99"/>
        <v>0</v>
      </c>
      <c r="AF363" s="225">
        <f t="shared" si="100"/>
        <v>0</v>
      </c>
      <c r="AG363" s="225">
        <f t="shared" si="101"/>
        <v>0</v>
      </c>
      <c r="AP363" s="132"/>
      <c r="AQ363" s="132"/>
    </row>
    <row r="364" spans="1:43" ht="15.5" hidden="1" x14ac:dyDescent="0.35">
      <c r="A364" s="197" t="str">
        <f t="shared" si="97"/>
        <v/>
      </c>
      <c r="B364" s="98" t="str">
        <f t="shared" si="103"/>
        <v/>
      </c>
      <c r="C364" s="99" t="str">
        <f t="shared" ref="C364:C365" si="106">IFERROR(IF(B364&lt;=$J$21,DATE(YEAR(C363),MONTH(C363)+1,DAY(C363)),""),"")</f>
        <v/>
      </c>
      <c r="D364" s="100" t="str">
        <f t="shared" ref="D364:D365" si="107">IF(B364="","",L363)</f>
        <v/>
      </c>
      <c r="E364" s="100" t="str">
        <f t="shared" ref="E364:E365" si="108">IFERROR(D364*TAXA,"")</f>
        <v/>
      </c>
      <c r="F364" s="100" t="str">
        <f t="shared" ref="F364:F365" si="109">IFERROR(D364+E364,"")</f>
        <v/>
      </c>
      <c r="G364" s="100" t="str">
        <f t="shared" ref="G364:G365" si="110">IFERROR(IF(C364="","",IF(SISTEMA_AMORTIZAÇÃO=PRICE_PRE,H364-E364,
IF(SISTEMA_AMORTIZAÇÃO=SAC_PRE,VALOR_CREDITO_BRUTO/PRAZO,
IF(SISTEMA_AMORTIZAÇÃO=SAC_POS,VALOR_CREDITO_BRUTO/PRAZO,)))),"")</f>
        <v/>
      </c>
      <c r="H364" s="100" t="str">
        <f t="shared" ref="H364:H419" si="111">IF($D$9&gt;=B364,0,IF(D364="","",
IF(SISTEMA_AMORTIZAÇÃO=PRICE_PRE,(PMT(TAXA,A364,$D364,)*-1),
IF(SISTEMA_AMORTIZAÇÃO=SAC_POS,(D364/A364)+(D364*TAXA)))))</f>
        <v/>
      </c>
      <c r="I364" s="100" t="str">
        <f t="shared" ref="I364:I419" si="112">IFERROR(D364*$K$32,"")</f>
        <v/>
      </c>
      <c r="J364" s="100" t="str">
        <f t="shared" si="102"/>
        <v/>
      </c>
      <c r="K364" s="100" t="str">
        <f t="shared" ref="K364:K419" si="113">IFERROR(SUM(J364+I364+H364),"")</f>
        <v/>
      </c>
      <c r="L364" s="101" t="str">
        <f t="shared" ref="L364:L419" si="114">IFERROR(D364-G364,"")</f>
        <v/>
      </c>
      <c r="M364" s="12"/>
      <c r="N364" s="12"/>
      <c r="O364" s="12"/>
      <c r="Q364" s="118">
        <f t="shared" si="104"/>
        <v>0</v>
      </c>
      <c r="R364" s="119">
        <f t="shared" si="105"/>
        <v>0</v>
      </c>
      <c r="S364" s="120">
        <v>365</v>
      </c>
      <c r="AC364" s="224">
        <v>9150</v>
      </c>
      <c r="AD364" s="225">
        <f t="shared" si="98"/>
        <v>0</v>
      </c>
      <c r="AE364" s="236">
        <f t="shared" si="99"/>
        <v>0</v>
      </c>
      <c r="AF364" s="225">
        <f t="shared" si="100"/>
        <v>0</v>
      </c>
      <c r="AG364" s="225">
        <f t="shared" si="101"/>
        <v>0</v>
      </c>
      <c r="AP364" s="132"/>
      <c r="AQ364" s="132"/>
    </row>
    <row r="365" spans="1:43" ht="15.5" hidden="1" x14ac:dyDescent="0.35">
      <c r="A365" s="197" t="str">
        <f t="shared" ref="A365:A419" si="115">IFERROR(IF(A364-1&lt;1,"",A364-1),"")</f>
        <v/>
      </c>
      <c r="B365" s="98" t="str">
        <f t="shared" si="103"/>
        <v/>
      </c>
      <c r="C365" s="99" t="str">
        <f t="shared" si="106"/>
        <v/>
      </c>
      <c r="D365" s="100" t="str">
        <f t="shared" si="107"/>
        <v/>
      </c>
      <c r="E365" s="100" t="str">
        <f t="shared" si="108"/>
        <v/>
      </c>
      <c r="F365" s="100" t="str">
        <f t="shared" si="109"/>
        <v/>
      </c>
      <c r="G365" s="100" t="str">
        <f t="shared" si="110"/>
        <v/>
      </c>
      <c r="H365" s="100" t="str">
        <f t="shared" si="111"/>
        <v/>
      </c>
      <c r="I365" s="100" t="str">
        <f t="shared" si="112"/>
        <v/>
      </c>
      <c r="J365" s="100" t="str">
        <f t="shared" si="102"/>
        <v/>
      </c>
      <c r="K365" s="100" t="str">
        <f t="shared" si="113"/>
        <v/>
      </c>
      <c r="L365" s="101" t="str">
        <f t="shared" si="114"/>
        <v/>
      </c>
      <c r="M365" s="12"/>
      <c r="N365" s="12"/>
      <c r="O365" s="12"/>
      <c r="Q365" s="118">
        <f t="shared" si="104"/>
        <v>0</v>
      </c>
      <c r="R365" s="119">
        <f t="shared" si="105"/>
        <v>0</v>
      </c>
      <c r="S365" s="120">
        <v>365</v>
      </c>
      <c r="AC365" s="224">
        <v>9180</v>
      </c>
      <c r="AD365" s="225">
        <f t="shared" ref="AD365:AD420" si="116">IF(H365="",0,"H298")</f>
        <v>0</v>
      </c>
      <c r="AE365" s="236">
        <f t="shared" ref="AE365:AE419" si="117">IF(C365="",0,C365)</f>
        <v>0</v>
      </c>
      <c r="AF365" s="225">
        <f t="shared" ref="AF365:AF419" si="118">IF(AD365="",0,AD365)</f>
        <v>0</v>
      </c>
      <c r="AG365" s="225">
        <f t="shared" ref="AG365:AG419" si="119">IF(K365="",0,K365)</f>
        <v>0</v>
      </c>
      <c r="AP365" s="132"/>
      <c r="AQ365" s="132"/>
    </row>
    <row r="366" spans="1:43" ht="15.5" hidden="1" x14ac:dyDescent="0.35">
      <c r="A366" s="197" t="str">
        <f t="shared" si="115"/>
        <v/>
      </c>
      <c r="B366" s="98" t="str">
        <f t="shared" si="103"/>
        <v/>
      </c>
      <c r="C366" s="99" t="str">
        <f t="shared" ref="C366:C387" si="120">IFERROR(IF(B366&lt;=$J$21,DATE(YEAR(C365),MONTH(C365)+1,DAY(C365)),""),"")</f>
        <v/>
      </c>
      <c r="D366" s="100" t="str">
        <f t="shared" ref="D366:D387" si="121">IF(B366="","",L365)</f>
        <v/>
      </c>
      <c r="E366" s="100" t="str">
        <f t="shared" ref="E366:E387" si="122">IFERROR(D366*TAXA,"")</f>
        <v/>
      </c>
      <c r="F366" s="100" t="str">
        <f t="shared" ref="F366:F387" si="123">IFERROR(D366+E366,"")</f>
        <v/>
      </c>
      <c r="G366" s="100" t="str">
        <f t="shared" ref="G366:G387" si="124">IFERROR(IF(C366="","",IF(SISTEMA_AMORTIZAÇÃO=PRICE_PRE,H366-E366,
IF(SISTEMA_AMORTIZAÇÃO=SAC_PRE,VALOR_CREDITO_BRUTO/PRAZO,
IF(SISTEMA_AMORTIZAÇÃO=SAC_POS,VALOR_CREDITO_BRUTO/PRAZO,)))),"")</f>
        <v/>
      </c>
      <c r="H366" s="100" t="str">
        <f t="shared" si="111"/>
        <v/>
      </c>
      <c r="I366" s="100" t="str">
        <f t="shared" si="112"/>
        <v/>
      </c>
      <c r="J366" s="100" t="str">
        <f t="shared" si="102"/>
        <v/>
      </c>
      <c r="K366" s="100" t="str">
        <f t="shared" si="113"/>
        <v/>
      </c>
      <c r="L366" s="101" t="str">
        <f t="shared" si="114"/>
        <v/>
      </c>
      <c r="M366" s="12"/>
      <c r="N366" s="12"/>
      <c r="O366" s="12"/>
      <c r="Q366" s="118">
        <f t="shared" si="104"/>
        <v>0</v>
      </c>
      <c r="R366" s="119">
        <f t="shared" si="105"/>
        <v>0</v>
      </c>
      <c r="S366" s="120">
        <v>365</v>
      </c>
      <c r="AC366" s="224">
        <v>9210</v>
      </c>
      <c r="AD366" s="225">
        <f t="shared" si="116"/>
        <v>0</v>
      </c>
      <c r="AE366" s="236">
        <f t="shared" si="117"/>
        <v>0</v>
      </c>
      <c r="AF366" s="225">
        <f t="shared" si="118"/>
        <v>0</v>
      </c>
      <c r="AG366" s="225">
        <f t="shared" si="119"/>
        <v>0</v>
      </c>
      <c r="AP366" s="132"/>
      <c r="AQ366" s="132"/>
    </row>
    <row r="367" spans="1:43" ht="15.5" hidden="1" x14ac:dyDescent="0.35">
      <c r="A367" s="197" t="str">
        <f t="shared" si="115"/>
        <v/>
      </c>
      <c r="B367" s="98" t="str">
        <f t="shared" si="103"/>
        <v/>
      </c>
      <c r="C367" s="99" t="str">
        <f t="shared" si="120"/>
        <v/>
      </c>
      <c r="D367" s="100" t="str">
        <f t="shared" si="121"/>
        <v/>
      </c>
      <c r="E367" s="100" t="str">
        <f t="shared" si="122"/>
        <v/>
      </c>
      <c r="F367" s="100" t="str">
        <f t="shared" si="123"/>
        <v/>
      </c>
      <c r="G367" s="100" t="str">
        <f t="shared" si="124"/>
        <v/>
      </c>
      <c r="H367" s="100" t="str">
        <f t="shared" si="111"/>
        <v/>
      </c>
      <c r="I367" s="100" t="str">
        <f t="shared" si="112"/>
        <v/>
      </c>
      <c r="J367" s="100" t="str">
        <f t="shared" si="102"/>
        <v/>
      </c>
      <c r="K367" s="100" t="str">
        <f t="shared" si="113"/>
        <v/>
      </c>
      <c r="L367" s="101" t="str">
        <f t="shared" si="114"/>
        <v/>
      </c>
      <c r="M367" s="12"/>
      <c r="N367" s="12"/>
      <c r="O367" s="12"/>
      <c r="Q367" s="118">
        <f t="shared" si="104"/>
        <v>0</v>
      </c>
      <c r="R367" s="119">
        <f t="shared" si="105"/>
        <v>0</v>
      </c>
      <c r="S367" s="120">
        <v>365</v>
      </c>
      <c r="AC367" s="224">
        <v>9240</v>
      </c>
      <c r="AD367" s="225">
        <f t="shared" si="116"/>
        <v>0</v>
      </c>
      <c r="AE367" s="236">
        <f t="shared" si="117"/>
        <v>0</v>
      </c>
      <c r="AF367" s="225">
        <f t="shared" si="118"/>
        <v>0</v>
      </c>
      <c r="AG367" s="225">
        <f t="shared" si="119"/>
        <v>0</v>
      </c>
      <c r="AP367" s="132"/>
      <c r="AQ367" s="132"/>
    </row>
    <row r="368" spans="1:43" ht="15.5" hidden="1" x14ac:dyDescent="0.35">
      <c r="A368" s="197" t="str">
        <f t="shared" si="115"/>
        <v/>
      </c>
      <c r="B368" s="98" t="str">
        <f t="shared" si="103"/>
        <v/>
      </c>
      <c r="C368" s="99" t="str">
        <f t="shared" si="120"/>
        <v/>
      </c>
      <c r="D368" s="100" t="str">
        <f t="shared" si="121"/>
        <v/>
      </c>
      <c r="E368" s="100" t="str">
        <f t="shared" si="122"/>
        <v/>
      </c>
      <c r="F368" s="100" t="str">
        <f t="shared" si="123"/>
        <v/>
      </c>
      <c r="G368" s="100" t="str">
        <f t="shared" si="124"/>
        <v/>
      </c>
      <c r="H368" s="100" t="str">
        <f t="shared" si="111"/>
        <v/>
      </c>
      <c r="I368" s="100" t="str">
        <f t="shared" si="112"/>
        <v/>
      </c>
      <c r="J368" s="100" t="str">
        <f t="shared" si="102"/>
        <v/>
      </c>
      <c r="K368" s="100" t="str">
        <f t="shared" si="113"/>
        <v/>
      </c>
      <c r="L368" s="101" t="str">
        <f t="shared" si="114"/>
        <v/>
      </c>
      <c r="M368" s="12"/>
      <c r="N368" s="12"/>
      <c r="O368" s="12"/>
      <c r="Q368" s="118">
        <f t="shared" si="104"/>
        <v>0</v>
      </c>
      <c r="R368" s="119">
        <f t="shared" si="105"/>
        <v>0</v>
      </c>
      <c r="S368" s="120">
        <v>365</v>
      </c>
      <c r="AC368" s="224">
        <v>9270</v>
      </c>
      <c r="AD368" s="225">
        <f t="shared" si="116"/>
        <v>0</v>
      </c>
      <c r="AE368" s="236">
        <f t="shared" si="117"/>
        <v>0</v>
      </c>
      <c r="AF368" s="225">
        <f t="shared" si="118"/>
        <v>0</v>
      </c>
      <c r="AG368" s="225">
        <f t="shared" si="119"/>
        <v>0</v>
      </c>
      <c r="AP368" s="132"/>
      <c r="AQ368" s="132"/>
    </row>
    <row r="369" spans="1:43" ht="15.5" hidden="1" x14ac:dyDescent="0.35">
      <c r="A369" s="197" t="str">
        <f t="shared" si="115"/>
        <v/>
      </c>
      <c r="B369" s="98" t="str">
        <f t="shared" si="103"/>
        <v/>
      </c>
      <c r="C369" s="99" t="str">
        <f t="shared" si="120"/>
        <v/>
      </c>
      <c r="D369" s="100" t="str">
        <f t="shared" si="121"/>
        <v/>
      </c>
      <c r="E369" s="100" t="str">
        <f t="shared" si="122"/>
        <v/>
      </c>
      <c r="F369" s="100" t="str">
        <f t="shared" si="123"/>
        <v/>
      </c>
      <c r="G369" s="100" t="str">
        <f t="shared" si="124"/>
        <v/>
      </c>
      <c r="H369" s="100" t="str">
        <f t="shared" si="111"/>
        <v/>
      </c>
      <c r="I369" s="100" t="str">
        <f t="shared" si="112"/>
        <v/>
      </c>
      <c r="J369" s="100" t="str">
        <f t="shared" si="102"/>
        <v/>
      </c>
      <c r="K369" s="100" t="str">
        <f t="shared" si="113"/>
        <v/>
      </c>
      <c r="L369" s="101" t="str">
        <f t="shared" si="114"/>
        <v/>
      </c>
      <c r="M369" s="12"/>
      <c r="N369" s="12"/>
      <c r="O369" s="12"/>
      <c r="Q369" s="118">
        <f t="shared" si="104"/>
        <v>0</v>
      </c>
      <c r="R369" s="119">
        <f t="shared" si="105"/>
        <v>0</v>
      </c>
      <c r="S369" s="120">
        <v>365</v>
      </c>
      <c r="AC369" s="224">
        <v>9300</v>
      </c>
      <c r="AD369" s="225">
        <f t="shared" si="116"/>
        <v>0</v>
      </c>
      <c r="AE369" s="236">
        <f t="shared" si="117"/>
        <v>0</v>
      </c>
      <c r="AF369" s="225">
        <f t="shared" si="118"/>
        <v>0</v>
      </c>
      <c r="AG369" s="225">
        <f t="shared" si="119"/>
        <v>0</v>
      </c>
      <c r="AP369" s="132"/>
      <c r="AQ369" s="132"/>
    </row>
    <row r="370" spans="1:43" ht="15.5" hidden="1" x14ac:dyDescent="0.35">
      <c r="A370" s="197" t="str">
        <f t="shared" si="115"/>
        <v/>
      </c>
      <c r="B370" s="98" t="str">
        <f t="shared" si="103"/>
        <v/>
      </c>
      <c r="C370" s="99" t="str">
        <f t="shared" si="120"/>
        <v/>
      </c>
      <c r="D370" s="100" t="str">
        <f t="shared" si="121"/>
        <v/>
      </c>
      <c r="E370" s="100" t="str">
        <f t="shared" si="122"/>
        <v/>
      </c>
      <c r="F370" s="100" t="str">
        <f t="shared" si="123"/>
        <v/>
      </c>
      <c r="G370" s="100" t="str">
        <f t="shared" si="124"/>
        <v/>
      </c>
      <c r="H370" s="100" t="str">
        <f t="shared" si="111"/>
        <v/>
      </c>
      <c r="I370" s="100" t="str">
        <f t="shared" si="112"/>
        <v/>
      </c>
      <c r="J370" s="100" t="str">
        <f t="shared" si="102"/>
        <v/>
      </c>
      <c r="K370" s="100" t="str">
        <f t="shared" si="113"/>
        <v/>
      </c>
      <c r="L370" s="101" t="str">
        <f t="shared" si="114"/>
        <v/>
      </c>
      <c r="M370" s="12"/>
      <c r="N370" s="12"/>
      <c r="O370" s="12"/>
      <c r="Q370" s="118">
        <f t="shared" si="104"/>
        <v>0</v>
      </c>
      <c r="R370" s="119">
        <f t="shared" si="105"/>
        <v>0</v>
      </c>
      <c r="S370" s="120">
        <v>365</v>
      </c>
      <c r="AC370" s="224">
        <v>9330</v>
      </c>
      <c r="AD370" s="225">
        <f t="shared" si="116"/>
        <v>0</v>
      </c>
      <c r="AE370" s="236">
        <f t="shared" si="117"/>
        <v>0</v>
      </c>
      <c r="AF370" s="225">
        <f t="shared" si="118"/>
        <v>0</v>
      </c>
      <c r="AG370" s="225">
        <f t="shared" si="119"/>
        <v>0</v>
      </c>
      <c r="AP370" s="132"/>
      <c r="AQ370" s="132"/>
    </row>
    <row r="371" spans="1:43" ht="15.5" hidden="1" x14ac:dyDescent="0.35">
      <c r="A371" s="197" t="str">
        <f t="shared" si="115"/>
        <v/>
      </c>
      <c r="B371" s="98" t="str">
        <f t="shared" si="103"/>
        <v/>
      </c>
      <c r="C371" s="99" t="str">
        <f t="shared" si="120"/>
        <v/>
      </c>
      <c r="D371" s="100" t="str">
        <f t="shared" si="121"/>
        <v/>
      </c>
      <c r="E371" s="100" t="str">
        <f t="shared" si="122"/>
        <v/>
      </c>
      <c r="F371" s="100" t="str">
        <f t="shared" si="123"/>
        <v/>
      </c>
      <c r="G371" s="100" t="str">
        <f t="shared" si="124"/>
        <v/>
      </c>
      <c r="H371" s="100" t="str">
        <f t="shared" si="111"/>
        <v/>
      </c>
      <c r="I371" s="100" t="str">
        <f t="shared" si="112"/>
        <v/>
      </c>
      <c r="J371" s="100" t="str">
        <f t="shared" si="102"/>
        <v/>
      </c>
      <c r="K371" s="100" t="str">
        <f t="shared" si="113"/>
        <v/>
      </c>
      <c r="L371" s="101" t="str">
        <f t="shared" si="114"/>
        <v/>
      </c>
      <c r="M371" s="12"/>
      <c r="N371" s="12"/>
      <c r="O371" s="12"/>
      <c r="Q371" s="118">
        <f t="shared" si="104"/>
        <v>0</v>
      </c>
      <c r="R371" s="119">
        <f t="shared" si="105"/>
        <v>0</v>
      </c>
      <c r="S371" s="120">
        <v>365</v>
      </c>
      <c r="AC371" s="224">
        <v>9360</v>
      </c>
      <c r="AD371" s="225">
        <f t="shared" si="116"/>
        <v>0</v>
      </c>
      <c r="AE371" s="236">
        <f t="shared" si="117"/>
        <v>0</v>
      </c>
      <c r="AF371" s="225">
        <f t="shared" si="118"/>
        <v>0</v>
      </c>
      <c r="AG371" s="225">
        <f t="shared" si="119"/>
        <v>0</v>
      </c>
      <c r="AP371" s="132"/>
      <c r="AQ371" s="132"/>
    </row>
    <row r="372" spans="1:43" ht="15.5" hidden="1" x14ac:dyDescent="0.35">
      <c r="A372" s="197" t="str">
        <f t="shared" si="115"/>
        <v/>
      </c>
      <c r="B372" s="98" t="str">
        <f t="shared" si="103"/>
        <v/>
      </c>
      <c r="C372" s="99" t="str">
        <f t="shared" si="120"/>
        <v/>
      </c>
      <c r="D372" s="100" t="str">
        <f t="shared" si="121"/>
        <v/>
      </c>
      <c r="E372" s="100" t="str">
        <f t="shared" si="122"/>
        <v/>
      </c>
      <c r="F372" s="100" t="str">
        <f t="shared" si="123"/>
        <v/>
      </c>
      <c r="G372" s="100" t="str">
        <f t="shared" si="124"/>
        <v/>
      </c>
      <c r="H372" s="100" t="str">
        <f t="shared" si="111"/>
        <v/>
      </c>
      <c r="I372" s="100" t="str">
        <f t="shared" si="112"/>
        <v/>
      </c>
      <c r="J372" s="100" t="str">
        <f t="shared" si="102"/>
        <v/>
      </c>
      <c r="K372" s="100" t="str">
        <f t="shared" si="113"/>
        <v/>
      </c>
      <c r="L372" s="101" t="str">
        <f t="shared" si="114"/>
        <v/>
      </c>
      <c r="M372" s="12"/>
      <c r="N372" s="12"/>
      <c r="O372" s="12"/>
      <c r="Q372" s="118">
        <f t="shared" si="104"/>
        <v>0</v>
      </c>
      <c r="R372" s="119">
        <f t="shared" si="105"/>
        <v>0</v>
      </c>
      <c r="S372" s="120">
        <v>365</v>
      </c>
      <c r="AC372" s="224">
        <v>9390</v>
      </c>
      <c r="AD372" s="225">
        <f t="shared" si="116"/>
        <v>0</v>
      </c>
      <c r="AE372" s="236">
        <f t="shared" si="117"/>
        <v>0</v>
      </c>
      <c r="AF372" s="225">
        <f t="shared" si="118"/>
        <v>0</v>
      </c>
      <c r="AG372" s="225">
        <f t="shared" si="119"/>
        <v>0</v>
      </c>
      <c r="AP372" s="132"/>
      <c r="AQ372" s="132"/>
    </row>
    <row r="373" spans="1:43" ht="15.5" hidden="1" x14ac:dyDescent="0.35">
      <c r="A373" s="197" t="str">
        <f t="shared" si="115"/>
        <v/>
      </c>
      <c r="B373" s="98" t="str">
        <f t="shared" si="103"/>
        <v/>
      </c>
      <c r="C373" s="99" t="str">
        <f t="shared" si="120"/>
        <v/>
      </c>
      <c r="D373" s="100" t="str">
        <f t="shared" si="121"/>
        <v/>
      </c>
      <c r="E373" s="100" t="str">
        <f t="shared" si="122"/>
        <v/>
      </c>
      <c r="F373" s="100" t="str">
        <f t="shared" si="123"/>
        <v/>
      </c>
      <c r="G373" s="100" t="str">
        <f t="shared" si="124"/>
        <v/>
      </c>
      <c r="H373" s="100" t="str">
        <f t="shared" si="111"/>
        <v/>
      </c>
      <c r="I373" s="100" t="str">
        <f t="shared" si="112"/>
        <v/>
      </c>
      <c r="J373" s="100" t="str">
        <f t="shared" si="102"/>
        <v/>
      </c>
      <c r="K373" s="100" t="str">
        <f t="shared" si="113"/>
        <v/>
      </c>
      <c r="L373" s="101" t="str">
        <f t="shared" si="114"/>
        <v/>
      </c>
      <c r="M373" s="12"/>
      <c r="N373" s="12"/>
      <c r="O373" s="12"/>
      <c r="Q373" s="118">
        <f t="shared" si="104"/>
        <v>0</v>
      </c>
      <c r="R373" s="119">
        <f t="shared" si="105"/>
        <v>0</v>
      </c>
      <c r="S373" s="120">
        <v>365</v>
      </c>
      <c r="AC373" s="224">
        <v>9420</v>
      </c>
      <c r="AD373" s="225">
        <f t="shared" si="116"/>
        <v>0</v>
      </c>
      <c r="AE373" s="236">
        <f t="shared" si="117"/>
        <v>0</v>
      </c>
      <c r="AF373" s="225">
        <f t="shared" si="118"/>
        <v>0</v>
      </c>
      <c r="AG373" s="225">
        <f t="shared" si="119"/>
        <v>0</v>
      </c>
      <c r="AP373" s="132"/>
      <c r="AQ373" s="132"/>
    </row>
    <row r="374" spans="1:43" ht="15.5" hidden="1" x14ac:dyDescent="0.35">
      <c r="A374" s="197" t="str">
        <f t="shared" si="115"/>
        <v/>
      </c>
      <c r="B374" s="98" t="str">
        <f t="shared" si="103"/>
        <v/>
      </c>
      <c r="C374" s="99" t="str">
        <f t="shared" si="120"/>
        <v/>
      </c>
      <c r="D374" s="100" t="str">
        <f t="shared" si="121"/>
        <v/>
      </c>
      <c r="E374" s="100" t="str">
        <f t="shared" si="122"/>
        <v/>
      </c>
      <c r="F374" s="100" t="str">
        <f t="shared" si="123"/>
        <v/>
      </c>
      <c r="G374" s="100" t="str">
        <f t="shared" si="124"/>
        <v/>
      </c>
      <c r="H374" s="100" t="str">
        <f t="shared" si="111"/>
        <v/>
      </c>
      <c r="I374" s="100" t="str">
        <f t="shared" si="112"/>
        <v/>
      </c>
      <c r="J374" s="100" t="str">
        <f t="shared" si="102"/>
        <v/>
      </c>
      <c r="K374" s="100" t="str">
        <f t="shared" si="113"/>
        <v/>
      </c>
      <c r="L374" s="101" t="str">
        <f t="shared" si="114"/>
        <v/>
      </c>
      <c r="M374" s="12"/>
      <c r="N374" s="12"/>
      <c r="O374" s="12"/>
      <c r="Q374" s="118">
        <f t="shared" si="104"/>
        <v>0</v>
      </c>
      <c r="R374" s="119">
        <f t="shared" si="105"/>
        <v>0</v>
      </c>
      <c r="S374" s="120">
        <v>365</v>
      </c>
      <c r="AC374" s="224">
        <v>9450</v>
      </c>
      <c r="AD374" s="225">
        <f t="shared" si="116"/>
        <v>0</v>
      </c>
      <c r="AE374" s="236">
        <f t="shared" si="117"/>
        <v>0</v>
      </c>
      <c r="AF374" s="225">
        <f t="shared" si="118"/>
        <v>0</v>
      </c>
      <c r="AG374" s="225">
        <f t="shared" si="119"/>
        <v>0</v>
      </c>
      <c r="AP374" s="132"/>
      <c r="AQ374" s="132"/>
    </row>
    <row r="375" spans="1:43" ht="15.5" hidden="1" x14ac:dyDescent="0.35">
      <c r="A375" s="197" t="str">
        <f t="shared" si="115"/>
        <v/>
      </c>
      <c r="B375" s="98" t="str">
        <f t="shared" si="103"/>
        <v/>
      </c>
      <c r="C375" s="99" t="str">
        <f t="shared" si="120"/>
        <v/>
      </c>
      <c r="D375" s="100" t="str">
        <f t="shared" si="121"/>
        <v/>
      </c>
      <c r="E375" s="100" t="str">
        <f t="shared" si="122"/>
        <v/>
      </c>
      <c r="F375" s="100" t="str">
        <f t="shared" si="123"/>
        <v/>
      </c>
      <c r="G375" s="100" t="str">
        <f t="shared" si="124"/>
        <v/>
      </c>
      <c r="H375" s="100" t="str">
        <f t="shared" si="111"/>
        <v/>
      </c>
      <c r="I375" s="100" t="str">
        <f t="shared" si="112"/>
        <v/>
      </c>
      <c r="J375" s="100" t="str">
        <f t="shared" si="102"/>
        <v/>
      </c>
      <c r="K375" s="100" t="str">
        <f t="shared" si="113"/>
        <v/>
      </c>
      <c r="L375" s="101" t="str">
        <f t="shared" si="114"/>
        <v/>
      </c>
      <c r="M375" s="12"/>
      <c r="N375" s="12"/>
      <c r="O375" s="12"/>
      <c r="Q375" s="118">
        <f t="shared" si="104"/>
        <v>0</v>
      </c>
      <c r="R375" s="119">
        <f t="shared" si="105"/>
        <v>0</v>
      </c>
      <c r="S375" s="120">
        <v>365</v>
      </c>
      <c r="AC375" s="224">
        <v>9480</v>
      </c>
      <c r="AD375" s="225">
        <f t="shared" si="116"/>
        <v>0</v>
      </c>
      <c r="AE375" s="236">
        <f t="shared" si="117"/>
        <v>0</v>
      </c>
      <c r="AF375" s="225">
        <f t="shared" si="118"/>
        <v>0</v>
      </c>
      <c r="AG375" s="225">
        <f t="shared" si="119"/>
        <v>0</v>
      </c>
      <c r="AP375" s="132"/>
      <c r="AQ375" s="132"/>
    </row>
    <row r="376" spans="1:43" ht="15.5" hidden="1" x14ac:dyDescent="0.35">
      <c r="A376" s="197" t="str">
        <f t="shared" si="115"/>
        <v/>
      </c>
      <c r="B376" s="98" t="str">
        <f t="shared" si="103"/>
        <v/>
      </c>
      <c r="C376" s="99" t="str">
        <f t="shared" si="120"/>
        <v/>
      </c>
      <c r="D376" s="100" t="str">
        <f t="shared" si="121"/>
        <v/>
      </c>
      <c r="E376" s="100" t="str">
        <f t="shared" si="122"/>
        <v/>
      </c>
      <c r="F376" s="100" t="str">
        <f t="shared" si="123"/>
        <v/>
      </c>
      <c r="G376" s="100" t="str">
        <f t="shared" si="124"/>
        <v/>
      </c>
      <c r="H376" s="100" t="str">
        <f t="shared" si="111"/>
        <v/>
      </c>
      <c r="I376" s="100" t="str">
        <f t="shared" si="112"/>
        <v/>
      </c>
      <c r="J376" s="100" t="str">
        <f t="shared" si="102"/>
        <v/>
      </c>
      <c r="K376" s="100" t="str">
        <f t="shared" si="113"/>
        <v/>
      </c>
      <c r="L376" s="101" t="str">
        <f t="shared" si="114"/>
        <v/>
      </c>
      <c r="M376" s="12"/>
      <c r="N376" s="12"/>
      <c r="O376" s="12"/>
      <c r="Q376" s="118">
        <f t="shared" si="104"/>
        <v>0</v>
      </c>
      <c r="R376" s="119">
        <f t="shared" si="105"/>
        <v>0</v>
      </c>
      <c r="S376" s="120">
        <v>365</v>
      </c>
      <c r="AC376" s="224">
        <v>9510</v>
      </c>
      <c r="AD376" s="225">
        <f t="shared" si="116"/>
        <v>0</v>
      </c>
      <c r="AE376" s="236">
        <f t="shared" si="117"/>
        <v>0</v>
      </c>
      <c r="AF376" s="225">
        <f t="shared" si="118"/>
        <v>0</v>
      </c>
      <c r="AG376" s="225">
        <f t="shared" si="119"/>
        <v>0</v>
      </c>
      <c r="AP376" s="132"/>
      <c r="AQ376" s="132"/>
    </row>
    <row r="377" spans="1:43" ht="15.5" hidden="1" x14ac:dyDescent="0.35">
      <c r="A377" s="197" t="str">
        <f t="shared" si="115"/>
        <v/>
      </c>
      <c r="B377" s="98" t="str">
        <f t="shared" si="103"/>
        <v/>
      </c>
      <c r="C377" s="99" t="str">
        <f t="shared" si="120"/>
        <v/>
      </c>
      <c r="D377" s="100" t="str">
        <f t="shared" si="121"/>
        <v/>
      </c>
      <c r="E377" s="100" t="str">
        <f t="shared" si="122"/>
        <v/>
      </c>
      <c r="F377" s="100" t="str">
        <f t="shared" si="123"/>
        <v/>
      </c>
      <c r="G377" s="100" t="str">
        <f t="shared" si="124"/>
        <v/>
      </c>
      <c r="H377" s="100" t="str">
        <f t="shared" si="111"/>
        <v/>
      </c>
      <c r="I377" s="100" t="str">
        <f t="shared" si="112"/>
        <v/>
      </c>
      <c r="J377" s="100" t="str">
        <f t="shared" si="102"/>
        <v/>
      </c>
      <c r="K377" s="100" t="str">
        <f t="shared" si="113"/>
        <v/>
      </c>
      <c r="L377" s="101" t="str">
        <f t="shared" si="114"/>
        <v/>
      </c>
      <c r="M377" s="12"/>
      <c r="N377" s="12"/>
      <c r="O377" s="12"/>
      <c r="Q377" s="118">
        <f t="shared" si="104"/>
        <v>0</v>
      </c>
      <c r="R377" s="119">
        <f t="shared" si="105"/>
        <v>0</v>
      </c>
      <c r="S377" s="120">
        <v>365</v>
      </c>
      <c r="AC377" s="224">
        <v>9540</v>
      </c>
      <c r="AD377" s="225">
        <f t="shared" si="116"/>
        <v>0</v>
      </c>
      <c r="AE377" s="236">
        <f t="shared" si="117"/>
        <v>0</v>
      </c>
      <c r="AF377" s="225">
        <f t="shared" si="118"/>
        <v>0</v>
      </c>
      <c r="AG377" s="225">
        <f t="shared" si="119"/>
        <v>0</v>
      </c>
      <c r="AP377" s="132"/>
      <c r="AQ377" s="132"/>
    </row>
    <row r="378" spans="1:43" ht="15.5" hidden="1" x14ac:dyDescent="0.35">
      <c r="A378" s="197" t="str">
        <f t="shared" si="115"/>
        <v/>
      </c>
      <c r="B378" s="98" t="str">
        <f t="shared" si="103"/>
        <v/>
      </c>
      <c r="C378" s="99" t="str">
        <f t="shared" si="120"/>
        <v/>
      </c>
      <c r="D378" s="100" t="str">
        <f t="shared" si="121"/>
        <v/>
      </c>
      <c r="E378" s="100" t="str">
        <f t="shared" si="122"/>
        <v/>
      </c>
      <c r="F378" s="100" t="str">
        <f t="shared" si="123"/>
        <v/>
      </c>
      <c r="G378" s="100" t="str">
        <f t="shared" si="124"/>
        <v/>
      </c>
      <c r="H378" s="100" t="str">
        <f t="shared" si="111"/>
        <v/>
      </c>
      <c r="I378" s="100" t="str">
        <f t="shared" si="112"/>
        <v/>
      </c>
      <c r="J378" s="100" t="str">
        <f t="shared" si="102"/>
        <v/>
      </c>
      <c r="K378" s="100" t="str">
        <f t="shared" si="113"/>
        <v/>
      </c>
      <c r="L378" s="101" t="str">
        <f t="shared" si="114"/>
        <v/>
      </c>
      <c r="M378" s="12"/>
      <c r="N378" s="12"/>
      <c r="O378" s="12"/>
      <c r="Q378" s="118">
        <f t="shared" si="104"/>
        <v>0</v>
      </c>
      <c r="R378" s="119">
        <f t="shared" si="105"/>
        <v>0</v>
      </c>
      <c r="S378" s="120">
        <v>365</v>
      </c>
      <c r="AC378" s="224">
        <v>9570</v>
      </c>
      <c r="AD378" s="225">
        <f t="shared" si="116"/>
        <v>0</v>
      </c>
      <c r="AE378" s="236">
        <f t="shared" si="117"/>
        <v>0</v>
      </c>
      <c r="AF378" s="225">
        <f t="shared" si="118"/>
        <v>0</v>
      </c>
      <c r="AG378" s="225">
        <f t="shared" si="119"/>
        <v>0</v>
      </c>
      <c r="AP378" s="132"/>
      <c r="AQ378" s="132"/>
    </row>
    <row r="379" spans="1:43" ht="15.5" hidden="1" x14ac:dyDescent="0.35">
      <c r="A379" s="197" t="str">
        <f t="shared" si="115"/>
        <v/>
      </c>
      <c r="B379" s="98" t="str">
        <f t="shared" si="103"/>
        <v/>
      </c>
      <c r="C379" s="99" t="str">
        <f t="shared" si="120"/>
        <v/>
      </c>
      <c r="D379" s="100" t="str">
        <f t="shared" si="121"/>
        <v/>
      </c>
      <c r="E379" s="100" t="str">
        <f t="shared" si="122"/>
        <v/>
      </c>
      <c r="F379" s="100" t="str">
        <f t="shared" si="123"/>
        <v/>
      </c>
      <c r="G379" s="100" t="str">
        <f t="shared" si="124"/>
        <v/>
      </c>
      <c r="H379" s="100" t="str">
        <f t="shared" si="111"/>
        <v/>
      </c>
      <c r="I379" s="100" t="str">
        <f t="shared" si="112"/>
        <v/>
      </c>
      <c r="J379" s="100" t="str">
        <f t="shared" si="102"/>
        <v/>
      </c>
      <c r="K379" s="100" t="str">
        <f t="shared" si="113"/>
        <v/>
      </c>
      <c r="L379" s="101" t="str">
        <f t="shared" si="114"/>
        <v/>
      </c>
      <c r="M379" s="12"/>
      <c r="N379" s="12"/>
      <c r="O379" s="12"/>
      <c r="Q379" s="118">
        <f t="shared" si="104"/>
        <v>0</v>
      </c>
      <c r="R379" s="119">
        <f t="shared" si="105"/>
        <v>0</v>
      </c>
      <c r="S379" s="120">
        <v>365</v>
      </c>
      <c r="AC379" s="224">
        <v>9600</v>
      </c>
      <c r="AD379" s="225">
        <f t="shared" si="116"/>
        <v>0</v>
      </c>
      <c r="AE379" s="236">
        <f t="shared" si="117"/>
        <v>0</v>
      </c>
      <c r="AF379" s="225">
        <f t="shared" si="118"/>
        <v>0</v>
      </c>
      <c r="AG379" s="225">
        <f t="shared" si="119"/>
        <v>0</v>
      </c>
      <c r="AP379" s="132"/>
      <c r="AQ379" s="132"/>
    </row>
    <row r="380" spans="1:43" ht="15.5" hidden="1" x14ac:dyDescent="0.35">
      <c r="A380" s="197" t="str">
        <f t="shared" si="115"/>
        <v/>
      </c>
      <c r="B380" s="98" t="str">
        <f t="shared" si="103"/>
        <v/>
      </c>
      <c r="C380" s="99" t="str">
        <f t="shared" si="120"/>
        <v/>
      </c>
      <c r="D380" s="100" t="str">
        <f t="shared" si="121"/>
        <v/>
      </c>
      <c r="E380" s="100" t="str">
        <f t="shared" si="122"/>
        <v/>
      </c>
      <c r="F380" s="100" t="str">
        <f t="shared" si="123"/>
        <v/>
      </c>
      <c r="G380" s="100" t="str">
        <f t="shared" si="124"/>
        <v/>
      </c>
      <c r="H380" s="100" t="str">
        <f t="shared" si="111"/>
        <v/>
      </c>
      <c r="I380" s="100" t="str">
        <f t="shared" si="112"/>
        <v/>
      </c>
      <c r="J380" s="100" t="str">
        <f t="shared" si="102"/>
        <v/>
      </c>
      <c r="K380" s="100" t="str">
        <f t="shared" si="113"/>
        <v/>
      </c>
      <c r="L380" s="101" t="str">
        <f t="shared" si="114"/>
        <v/>
      </c>
      <c r="M380" s="12"/>
      <c r="N380" s="12"/>
      <c r="O380" s="12"/>
      <c r="Q380" s="118">
        <f t="shared" si="104"/>
        <v>0</v>
      </c>
      <c r="R380" s="119">
        <f t="shared" si="105"/>
        <v>0</v>
      </c>
      <c r="S380" s="120">
        <v>365</v>
      </c>
      <c r="AC380" s="224">
        <v>9630</v>
      </c>
      <c r="AD380" s="225">
        <f t="shared" si="116"/>
        <v>0</v>
      </c>
      <c r="AE380" s="236">
        <f t="shared" si="117"/>
        <v>0</v>
      </c>
      <c r="AF380" s="225">
        <f t="shared" si="118"/>
        <v>0</v>
      </c>
      <c r="AG380" s="225">
        <f t="shared" si="119"/>
        <v>0</v>
      </c>
      <c r="AP380" s="132"/>
      <c r="AQ380" s="132"/>
    </row>
    <row r="381" spans="1:43" ht="15.5" hidden="1" x14ac:dyDescent="0.35">
      <c r="A381" s="197" t="str">
        <f t="shared" si="115"/>
        <v/>
      </c>
      <c r="B381" s="98" t="str">
        <f t="shared" si="103"/>
        <v/>
      </c>
      <c r="C381" s="99" t="str">
        <f t="shared" si="120"/>
        <v/>
      </c>
      <c r="D381" s="100" t="str">
        <f t="shared" si="121"/>
        <v/>
      </c>
      <c r="E381" s="100" t="str">
        <f t="shared" si="122"/>
        <v/>
      </c>
      <c r="F381" s="100" t="str">
        <f t="shared" si="123"/>
        <v/>
      </c>
      <c r="G381" s="100" t="str">
        <f t="shared" si="124"/>
        <v/>
      </c>
      <c r="H381" s="100" t="str">
        <f t="shared" si="111"/>
        <v/>
      </c>
      <c r="I381" s="100" t="str">
        <f t="shared" si="112"/>
        <v/>
      </c>
      <c r="J381" s="100" t="str">
        <f t="shared" ref="J381:J419" si="125">IF(B381="","",IF(L380="","",IF(L380=0,"",$K$33*$J$17)))</f>
        <v/>
      </c>
      <c r="K381" s="100" t="str">
        <f t="shared" si="113"/>
        <v/>
      </c>
      <c r="L381" s="101" t="str">
        <f t="shared" si="114"/>
        <v/>
      </c>
      <c r="M381" s="12"/>
      <c r="N381" s="12"/>
      <c r="O381" s="12"/>
      <c r="Q381" s="118">
        <f t="shared" si="104"/>
        <v>0</v>
      </c>
      <c r="R381" s="119">
        <f t="shared" si="105"/>
        <v>0</v>
      </c>
      <c r="S381" s="120">
        <v>365</v>
      </c>
      <c r="AC381" s="224">
        <v>9660</v>
      </c>
      <c r="AD381" s="225">
        <f t="shared" si="116"/>
        <v>0</v>
      </c>
      <c r="AE381" s="236">
        <f t="shared" si="117"/>
        <v>0</v>
      </c>
      <c r="AF381" s="225">
        <f t="shared" si="118"/>
        <v>0</v>
      </c>
      <c r="AG381" s="225">
        <f t="shared" si="119"/>
        <v>0</v>
      </c>
      <c r="AP381" s="132"/>
      <c r="AQ381" s="132"/>
    </row>
    <row r="382" spans="1:43" ht="15.5" hidden="1" x14ac:dyDescent="0.35">
      <c r="A382" s="197" t="str">
        <f t="shared" si="115"/>
        <v/>
      </c>
      <c r="B382" s="98" t="str">
        <f t="shared" ref="B382:B419" si="126">IF(IF(AND(B381&gt;0,B381&lt;$J$21),B381+1,0)=0,"",IF(AND(B381&gt;0,B381&lt;$J$21),B381+1,0))</f>
        <v/>
      </c>
      <c r="C382" s="99" t="str">
        <f t="shared" si="120"/>
        <v/>
      </c>
      <c r="D382" s="100" t="str">
        <f t="shared" si="121"/>
        <v/>
      </c>
      <c r="E382" s="100" t="str">
        <f t="shared" si="122"/>
        <v/>
      </c>
      <c r="F382" s="100" t="str">
        <f t="shared" si="123"/>
        <v/>
      </c>
      <c r="G382" s="100" t="str">
        <f t="shared" si="124"/>
        <v/>
      </c>
      <c r="H382" s="100" t="str">
        <f t="shared" si="111"/>
        <v/>
      </c>
      <c r="I382" s="100" t="str">
        <f t="shared" si="112"/>
        <v/>
      </c>
      <c r="J382" s="100" t="str">
        <f t="shared" si="125"/>
        <v/>
      </c>
      <c r="K382" s="100" t="str">
        <f t="shared" si="113"/>
        <v/>
      </c>
      <c r="L382" s="101" t="str">
        <f t="shared" si="114"/>
        <v/>
      </c>
      <c r="M382" s="12"/>
      <c r="N382" s="12"/>
      <c r="O382" s="12"/>
      <c r="Q382" s="118">
        <f t="shared" si="104"/>
        <v>0</v>
      </c>
      <c r="R382" s="119">
        <f t="shared" si="105"/>
        <v>0</v>
      </c>
      <c r="S382" s="120">
        <v>365</v>
      </c>
      <c r="AC382" s="224">
        <v>9690</v>
      </c>
      <c r="AD382" s="225">
        <f t="shared" si="116"/>
        <v>0</v>
      </c>
      <c r="AE382" s="236">
        <f t="shared" si="117"/>
        <v>0</v>
      </c>
      <c r="AF382" s="225">
        <f t="shared" si="118"/>
        <v>0</v>
      </c>
      <c r="AG382" s="225">
        <f t="shared" si="119"/>
        <v>0</v>
      </c>
      <c r="AP382" s="132"/>
      <c r="AQ382" s="132"/>
    </row>
    <row r="383" spans="1:43" ht="15.5" hidden="1" x14ac:dyDescent="0.35">
      <c r="A383" s="197" t="str">
        <f t="shared" si="115"/>
        <v/>
      </c>
      <c r="B383" s="98" t="str">
        <f t="shared" si="126"/>
        <v/>
      </c>
      <c r="C383" s="99" t="str">
        <f t="shared" si="120"/>
        <v/>
      </c>
      <c r="D383" s="100" t="str">
        <f t="shared" si="121"/>
        <v/>
      </c>
      <c r="E383" s="100" t="str">
        <f t="shared" si="122"/>
        <v/>
      </c>
      <c r="F383" s="100" t="str">
        <f t="shared" si="123"/>
        <v/>
      </c>
      <c r="G383" s="100" t="str">
        <f t="shared" si="124"/>
        <v/>
      </c>
      <c r="H383" s="100" t="str">
        <f t="shared" si="111"/>
        <v/>
      </c>
      <c r="I383" s="100" t="str">
        <f t="shared" si="112"/>
        <v/>
      </c>
      <c r="J383" s="100" t="str">
        <f t="shared" si="125"/>
        <v/>
      </c>
      <c r="K383" s="100" t="str">
        <f t="shared" si="113"/>
        <v/>
      </c>
      <c r="L383" s="101" t="str">
        <f t="shared" si="114"/>
        <v/>
      </c>
      <c r="M383" s="12"/>
      <c r="N383" s="12"/>
      <c r="O383" s="12"/>
      <c r="Q383" s="118">
        <f t="shared" si="104"/>
        <v>0</v>
      </c>
      <c r="R383" s="119">
        <f t="shared" si="105"/>
        <v>0</v>
      </c>
      <c r="S383" s="120">
        <v>365</v>
      </c>
      <c r="AC383" s="224">
        <v>9720</v>
      </c>
      <c r="AD383" s="225">
        <f t="shared" si="116"/>
        <v>0</v>
      </c>
      <c r="AE383" s="236">
        <f t="shared" si="117"/>
        <v>0</v>
      </c>
      <c r="AF383" s="225">
        <f t="shared" si="118"/>
        <v>0</v>
      </c>
      <c r="AG383" s="225">
        <f t="shared" si="119"/>
        <v>0</v>
      </c>
      <c r="AP383" s="132"/>
      <c r="AQ383" s="132"/>
    </row>
    <row r="384" spans="1:43" ht="15.5" hidden="1" x14ac:dyDescent="0.35">
      <c r="A384" s="197" t="str">
        <f t="shared" si="115"/>
        <v/>
      </c>
      <c r="B384" s="98" t="str">
        <f t="shared" si="126"/>
        <v/>
      </c>
      <c r="C384" s="99" t="str">
        <f t="shared" si="120"/>
        <v/>
      </c>
      <c r="D384" s="100" t="str">
        <f t="shared" si="121"/>
        <v/>
      </c>
      <c r="E384" s="100" t="str">
        <f t="shared" si="122"/>
        <v/>
      </c>
      <c r="F384" s="100" t="str">
        <f t="shared" si="123"/>
        <v/>
      </c>
      <c r="G384" s="100" t="str">
        <f t="shared" si="124"/>
        <v/>
      </c>
      <c r="H384" s="100" t="str">
        <f t="shared" si="111"/>
        <v/>
      </c>
      <c r="I384" s="100" t="str">
        <f t="shared" si="112"/>
        <v/>
      </c>
      <c r="J384" s="100" t="str">
        <f t="shared" si="125"/>
        <v/>
      </c>
      <c r="K384" s="100" t="str">
        <f t="shared" si="113"/>
        <v/>
      </c>
      <c r="L384" s="101" t="str">
        <f t="shared" si="114"/>
        <v/>
      </c>
      <c r="M384" s="12"/>
      <c r="N384" s="12"/>
      <c r="O384" s="12"/>
      <c r="Q384" s="118">
        <f t="shared" si="104"/>
        <v>0</v>
      </c>
      <c r="R384" s="119">
        <f t="shared" si="105"/>
        <v>0</v>
      </c>
      <c r="S384" s="120">
        <v>365</v>
      </c>
      <c r="AC384" s="224">
        <v>9750</v>
      </c>
      <c r="AD384" s="225">
        <f t="shared" si="116"/>
        <v>0</v>
      </c>
      <c r="AE384" s="236">
        <f t="shared" si="117"/>
        <v>0</v>
      </c>
      <c r="AF384" s="225">
        <f t="shared" si="118"/>
        <v>0</v>
      </c>
      <c r="AG384" s="225">
        <f t="shared" si="119"/>
        <v>0</v>
      </c>
      <c r="AP384" s="132"/>
      <c r="AQ384" s="132"/>
    </row>
    <row r="385" spans="1:43" ht="15.5" hidden="1" x14ac:dyDescent="0.35">
      <c r="A385" s="197" t="str">
        <f t="shared" si="115"/>
        <v/>
      </c>
      <c r="B385" s="98" t="str">
        <f t="shared" si="126"/>
        <v/>
      </c>
      <c r="C385" s="99" t="str">
        <f t="shared" si="120"/>
        <v/>
      </c>
      <c r="D385" s="100" t="str">
        <f t="shared" si="121"/>
        <v/>
      </c>
      <c r="E385" s="100" t="str">
        <f t="shared" si="122"/>
        <v/>
      </c>
      <c r="F385" s="100" t="str">
        <f t="shared" si="123"/>
        <v/>
      </c>
      <c r="G385" s="100" t="str">
        <f t="shared" si="124"/>
        <v/>
      </c>
      <c r="H385" s="100" t="str">
        <f t="shared" si="111"/>
        <v/>
      </c>
      <c r="I385" s="100" t="str">
        <f t="shared" si="112"/>
        <v/>
      </c>
      <c r="J385" s="100" t="str">
        <f t="shared" si="125"/>
        <v/>
      </c>
      <c r="K385" s="100" t="str">
        <f t="shared" si="113"/>
        <v/>
      </c>
      <c r="L385" s="101" t="str">
        <f t="shared" si="114"/>
        <v/>
      </c>
      <c r="M385" s="12"/>
      <c r="N385" s="12"/>
      <c r="O385" s="12"/>
      <c r="Q385" s="118">
        <f t="shared" si="104"/>
        <v>0</v>
      </c>
      <c r="R385" s="119">
        <f t="shared" si="105"/>
        <v>0</v>
      </c>
      <c r="S385" s="120">
        <v>365</v>
      </c>
      <c r="AC385" s="224">
        <v>9780</v>
      </c>
      <c r="AD385" s="225">
        <f t="shared" si="116"/>
        <v>0</v>
      </c>
      <c r="AE385" s="236">
        <f t="shared" si="117"/>
        <v>0</v>
      </c>
      <c r="AF385" s="225">
        <f t="shared" si="118"/>
        <v>0</v>
      </c>
      <c r="AG385" s="225">
        <f t="shared" si="119"/>
        <v>0</v>
      </c>
      <c r="AP385" s="132"/>
      <c r="AQ385" s="132"/>
    </row>
    <row r="386" spans="1:43" ht="15.5" hidden="1" x14ac:dyDescent="0.35">
      <c r="A386" s="197" t="str">
        <f t="shared" si="115"/>
        <v/>
      </c>
      <c r="B386" s="98" t="str">
        <f t="shared" si="126"/>
        <v/>
      </c>
      <c r="C386" s="99" t="str">
        <f t="shared" si="120"/>
        <v/>
      </c>
      <c r="D386" s="100" t="str">
        <f t="shared" si="121"/>
        <v/>
      </c>
      <c r="E386" s="100" t="str">
        <f t="shared" si="122"/>
        <v/>
      </c>
      <c r="F386" s="100" t="str">
        <f t="shared" si="123"/>
        <v/>
      </c>
      <c r="G386" s="100" t="str">
        <f t="shared" si="124"/>
        <v/>
      </c>
      <c r="H386" s="100" t="str">
        <f t="shared" si="111"/>
        <v/>
      </c>
      <c r="I386" s="100" t="str">
        <f t="shared" si="112"/>
        <v/>
      </c>
      <c r="J386" s="100" t="str">
        <f t="shared" si="125"/>
        <v/>
      </c>
      <c r="K386" s="100" t="str">
        <f t="shared" si="113"/>
        <v/>
      </c>
      <c r="L386" s="101" t="str">
        <f t="shared" si="114"/>
        <v/>
      </c>
      <c r="M386" s="12"/>
      <c r="N386" s="12"/>
      <c r="O386" s="12"/>
      <c r="Q386" s="118">
        <f t="shared" si="104"/>
        <v>0</v>
      </c>
      <c r="R386" s="119">
        <f t="shared" si="105"/>
        <v>0</v>
      </c>
      <c r="S386" s="120">
        <v>365</v>
      </c>
      <c r="AC386" s="224">
        <v>9810</v>
      </c>
      <c r="AD386" s="225">
        <f t="shared" si="116"/>
        <v>0</v>
      </c>
      <c r="AE386" s="236">
        <f t="shared" si="117"/>
        <v>0</v>
      </c>
      <c r="AF386" s="225">
        <f t="shared" si="118"/>
        <v>0</v>
      </c>
      <c r="AG386" s="225">
        <f t="shared" si="119"/>
        <v>0</v>
      </c>
      <c r="AP386" s="132"/>
      <c r="AQ386" s="132"/>
    </row>
    <row r="387" spans="1:43" ht="15.5" hidden="1" x14ac:dyDescent="0.35">
      <c r="A387" s="197" t="str">
        <f t="shared" si="115"/>
        <v/>
      </c>
      <c r="B387" s="98" t="str">
        <f t="shared" si="126"/>
        <v/>
      </c>
      <c r="C387" s="99" t="str">
        <f t="shared" si="120"/>
        <v/>
      </c>
      <c r="D387" s="100" t="str">
        <f t="shared" si="121"/>
        <v/>
      </c>
      <c r="E387" s="100" t="str">
        <f t="shared" si="122"/>
        <v/>
      </c>
      <c r="F387" s="100" t="str">
        <f t="shared" si="123"/>
        <v/>
      </c>
      <c r="G387" s="100" t="str">
        <f t="shared" si="124"/>
        <v/>
      </c>
      <c r="H387" s="100" t="str">
        <f t="shared" si="111"/>
        <v/>
      </c>
      <c r="I387" s="100" t="str">
        <f t="shared" si="112"/>
        <v/>
      </c>
      <c r="J387" s="100" t="str">
        <f t="shared" si="125"/>
        <v/>
      </c>
      <c r="K387" s="100" t="str">
        <f t="shared" si="113"/>
        <v/>
      </c>
      <c r="L387" s="101" t="str">
        <f t="shared" si="114"/>
        <v/>
      </c>
      <c r="M387" s="12"/>
      <c r="N387" s="12"/>
      <c r="O387" s="12"/>
      <c r="Q387" s="118">
        <f t="shared" si="104"/>
        <v>0</v>
      </c>
      <c r="R387" s="119">
        <f t="shared" si="105"/>
        <v>0</v>
      </c>
      <c r="S387" s="120">
        <v>365</v>
      </c>
      <c r="AC387" s="224">
        <v>9840</v>
      </c>
      <c r="AD387" s="225">
        <f t="shared" si="116"/>
        <v>0</v>
      </c>
      <c r="AE387" s="236">
        <f t="shared" si="117"/>
        <v>0</v>
      </c>
      <c r="AF387" s="225">
        <f t="shared" si="118"/>
        <v>0</v>
      </c>
      <c r="AG387" s="225">
        <f t="shared" si="119"/>
        <v>0</v>
      </c>
      <c r="AP387" s="132"/>
      <c r="AQ387" s="132"/>
    </row>
    <row r="388" spans="1:43" ht="15.5" hidden="1" x14ac:dyDescent="0.35">
      <c r="A388" s="197" t="str">
        <f t="shared" si="115"/>
        <v/>
      </c>
      <c r="B388" s="98" t="str">
        <f t="shared" si="126"/>
        <v/>
      </c>
      <c r="C388" s="99" t="str">
        <f t="shared" ref="C388:C416" si="127">IFERROR(IF(B388&lt;=$J$21,DATE(YEAR(C387),MONTH(C387)+1,DAY(C387)),""),"")</f>
        <v/>
      </c>
      <c r="D388" s="100" t="str">
        <f t="shared" ref="D388:D416" si="128">IF(B388="","",L387)</f>
        <v/>
      </c>
      <c r="E388" s="100" t="str">
        <f t="shared" ref="E388:E416" si="129">IFERROR(D388*TAXA,"")</f>
        <v/>
      </c>
      <c r="F388" s="100" t="str">
        <f t="shared" ref="F388:F416" si="130">IFERROR(D388+E388,"")</f>
        <v/>
      </c>
      <c r="G388" s="100" t="str">
        <f t="shared" ref="G388:G416" si="131">IFERROR(IF(C388="","",IF(SISTEMA_AMORTIZAÇÃO=PRICE_PRE,H388-E388,
IF(SISTEMA_AMORTIZAÇÃO=SAC_PRE,VALOR_CREDITO_BRUTO/PRAZO,
IF(SISTEMA_AMORTIZAÇÃO=SAC_POS,VALOR_CREDITO_BRUTO/PRAZO,)))),"")</f>
        <v/>
      </c>
      <c r="H388" s="100" t="str">
        <f t="shared" si="111"/>
        <v/>
      </c>
      <c r="I388" s="100" t="str">
        <f t="shared" si="112"/>
        <v/>
      </c>
      <c r="J388" s="100" t="str">
        <f t="shared" si="125"/>
        <v/>
      </c>
      <c r="K388" s="100" t="str">
        <f t="shared" si="113"/>
        <v/>
      </c>
      <c r="L388" s="101" t="str">
        <f t="shared" si="114"/>
        <v/>
      </c>
      <c r="M388" s="12"/>
      <c r="N388" s="12"/>
      <c r="O388" s="12"/>
      <c r="Q388" s="118">
        <f t="shared" si="104"/>
        <v>0</v>
      </c>
      <c r="R388" s="119">
        <f t="shared" si="105"/>
        <v>0</v>
      </c>
      <c r="S388" s="120">
        <v>365</v>
      </c>
      <c r="AC388" s="224">
        <v>9870</v>
      </c>
      <c r="AD388" s="225">
        <f t="shared" si="116"/>
        <v>0</v>
      </c>
      <c r="AE388" s="236">
        <f t="shared" si="117"/>
        <v>0</v>
      </c>
      <c r="AF388" s="225">
        <f t="shared" si="118"/>
        <v>0</v>
      </c>
      <c r="AG388" s="225">
        <f t="shared" si="119"/>
        <v>0</v>
      </c>
      <c r="AP388" s="132"/>
      <c r="AQ388" s="132"/>
    </row>
    <row r="389" spans="1:43" ht="15.5" hidden="1" x14ac:dyDescent="0.35">
      <c r="A389" s="197" t="str">
        <f t="shared" si="115"/>
        <v/>
      </c>
      <c r="B389" s="98" t="str">
        <f t="shared" si="126"/>
        <v/>
      </c>
      <c r="C389" s="99" t="str">
        <f t="shared" si="127"/>
        <v/>
      </c>
      <c r="D389" s="100" t="str">
        <f t="shared" si="128"/>
        <v/>
      </c>
      <c r="E389" s="100" t="str">
        <f t="shared" si="129"/>
        <v/>
      </c>
      <c r="F389" s="100" t="str">
        <f t="shared" si="130"/>
        <v/>
      </c>
      <c r="G389" s="100" t="str">
        <f t="shared" si="131"/>
        <v/>
      </c>
      <c r="H389" s="100" t="str">
        <f t="shared" si="111"/>
        <v/>
      </c>
      <c r="I389" s="100" t="str">
        <f t="shared" si="112"/>
        <v/>
      </c>
      <c r="J389" s="100" t="str">
        <f t="shared" si="125"/>
        <v/>
      </c>
      <c r="K389" s="100" t="str">
        <f t="shared" si="113"/>
        <v/>
      </c>
      <c r="L389" s="101" t="str">
        <f t="shared" si="114"/>
        <v/>
      </c>
      <c r="M389" s="12"/>
      <c r="N389" s="12"/>
      <c r="O389" s="12"/>
      <c r="Q389" s="118">
        <f t="shared" si="104"/>
        <v>0</v>
      </c>
      <c r="R389" s="119">
        <f t="shared" si="105"/>
        <v>0</v>
      </c>
      <c r="S389" s="120">
        <v>365</v>
      </c>
      <c r="AC389" s="224">
        <v>9900</v>
      </c>
      <c r="AD389" s="225">
        <f t="shared" si="116"/>
        <v>0</v>
      </c>
      <c r="AE389" s="236">
        <f t="shared" si="117"/>
        <v>0</v>
      </c>
      <c r="AF389" s="225">
        <f t="shared" si="118"/>
        <v>0</v>
      </c>
      <c r="AG389" s="225">
        <f t="shared" si="119"/>
        <v>0</v>
      </c>
      <c r="AP389" s="132"/>
      <c r="AQ389" s="132"/>
    </row>
    <row r="390" spans="1:43" ht="15.5" hidden="1" x14ac:dyDescent="0.35">
      <c r="A390" s="197" t="str">
        <f t="shared" si="115"/>
        <v/>
      </c>
      <c r="B390" s="98" t="str">
        <f t="shared" si="126"/>
        <v/>
      </c>
      <c r="C390" s="99" t="str">
        <f t="shared" si="127"/>
        <v/>
      </c>
      <c r="D390" s="100" t="str">
        <f t="shared" si="128"/>
        <v/>
      </c>
      <c r="E390" s="100" t="str">
        <f t="shared" si="129"/>
        <v/>
      </c>
      <c r="F390" s="100" t="str">
        <f t="shared" si="130"/>
        <v/>
      </c>
      <c r="G390" s="100" t="str">
        <f t="shared" si="131"/>
        <v/>
      </c>
      <c r="H390" s="100" t="str">
        <f t="shared" si="111"/>
        <v/>
      </c>
      <c r="I390" s="100" t="str">
        <f t="shared" si="112"/>
        <v/>
      </c>
      <c r="J390" s="100" t="str">
        <f t="shared" si="125"/>
        <v/>
      </c>
      <c r="K390" s="100" t="str">
        <f t="shared" si="113"/>
        <v/>
      </c>
      <c r="L390" s="101" t="str">
        <f t="shared" si="114"/>
        <v/>
      </c>
      <c r="M390" s="12"/>
      <c r="N390" s="12"/>
      <c r="O390" s="12"/>
      <c r="Q390" s="118">
        <f t="shared" si="104"/>
        <v>0</v>
      </c>
      <c r="R390" s="119">
        <f t="shared" si="105"/>
        <v>0</v>
      </c>
      <c r="S390" s="120">
        <v>365</v>
      </c>
      <c r="AC390" s="224">
        <v>9930</v>
      </c>
      <c r="AD390" s="225">
        <f t="shared" si="116"/>
        <v>0</v>
      </c>
      <c r="AE390" s="236">
        <f t="shared" si="117"/>
        <v>0</v>
      </c>
      <c r="AF390" s="225">
        <f t="shared" si="118"/>
        <v>0</v>
      </c>
      <c r="AG390" s="225">
        <f t="shared" si="119"/>
        <v>0</v>
      </c>
      <c r="AP390" s="132"/>
      <c r="AQ390" s="132"/>
    </row>
    <row r="391" spans="1:43" ht="15.5" hidden="1" x14ac:dyDescent="0.35">
      <c r="A391" s="197" t="str">
        <f t="shared" si="115"/>
        <v/>
      </c>
      <c r="B391" s="98" t="str">
        <f t="shared" si="126"/>
        <v/>
      </c>
      <c r="C391" s="99" t="str">
        <f t="shared" si="127"/>
        <v/>
      </c>
      <c r="D391" s="100" t="str">
        <f t="shared" si="128"/>
        <v/>
      </c>
      <c r="E391" s="100" t="str">
        <f t="shared" si="129"/>
        <v/>
      </c>
      <c r="F391" s="100" t="str">
        <f t="shared" si="130"/>
        <v/>
      </c>
      <c r="G391" s="100" t="str">
        <f t="shared" si="131"/>
        <v/>
      </c>
      <c r="H391" s="100" t="str">
        <f t="shared" si="111"/>
        <v/>
      </c>
      <c r="I391" s="100" t="str">
        <f t="shared" si="112"/>
        <v/>
      </c>
      <c r="J391" s="100" t="str">
        <f t="shared" si="125"/>
        <v/>
      </c>
      <c r="K391" s="100" t="str">
        <f t="shared" si="113"/>
        <v/>
      </c>
      <c r="L391" s="101" t="str">
        <f t="shared" si="114"/>
        <v/>
      </c>
      <c r="M391" s="12"/>
      <c r="N391" s="12"/>
      <c r="O391" s="12"/>
      <c r="Q391" s="118">
        <f t="shared" si="104"/>
        <v>0</v>
      </c>
      <c r="R391" s="119">
        <f t="shared" si="105"/>
        <v>0</v>
      </c>
      <c r="S391" s="120">
        <v>365</v>
      </c>
      <c r="AC391" s="224">
        <v>9960</v>
      </c>
      <c r="AD391" s="225">
        <f t="shared" si="116"/>
        <v>0</v>
      </c>
      <c r="AE391" s="236">
        <f t="shared" si="117"/>
        <v>0</v>
      </c>
      <c r="AF391" s="225">
        <f t="shared" si="118"/>
        <v>0</v>
      </c>
      <c r="AG391" s="225">
        <f t="shared" si="119"/>
        <v>0</v>
      </c>
      <c r="AP391" s="132"/>
      <c r="AQ391" s="132"/>
    </row>
    <row r="392" spans="1:43" ht="15.5" hidden="1" x14ac:dyDescent="0.35">
      <c r="A392" s="197" t="str">
        <f t="shared" si="115"/>
        <v/>
      </c>
      <c r="B392" s="98" t="str">
        <f t="shared" si="126"/>
        <v/>
      </c>
      <c r="C392" s="99" t="str">
        <f t="shared" si="127"/>
        <v/>
      </c>
      <c r="D392" s="100" t="str">
        <f t="shared" si="128"/>
        <v/>
      </c>
      <c r="E392" s="100" t="str">
        <f t="shared" si="129"/>
        <v/>
      </c>
      <c r="F392" s="100" t="str">
        <f t="shared" si="130"/>
        <v/>
      </c>
      <c r="G392" s="100" t="str">
        <f t="shared" si="131"/>
        <v/>
      </c>
      <c r="H392" s="100" t="str">
        <f t="shared" si="111"/>
        <v/>
      </c>
      <c r="I392" s="100" t="str">
        <f t="shared" si="112"/>
        <v/>
      </c>
      <c r="J392" s="100" t="str">
        <f t="shared" si="125"/>
        <v/>
      </c>
      <c r="K392" s="100" t="str">
        <f t="shared" si="113"/>
        <v/>
      </c>
      <c r="L392" s="101" t="str">
        <f t="shared" si="114"/>
        <v/>
      </c>
      <c r="M392" s="12"/>
      <c r="N392" s="12"/>
      <c r="O392" s="12"/>
      <c r="Q392" s="118">
        <f t="shared" si="104"/>
        <v>0</v>
      </c>
      <c r="R392" s="119">
        <f t="shared" si="105"/>
        <v>0</v>
      </c>
      <c r="S392" s="120">
        <v>365</v>
      </c>
      <c r="AC392" s="224">
        <v>9990</v>
      </c>
      <c r="AD392" s="225">
        <f t="shared" si="116"/>
        <v>0</v>
      </c>
      <c r="AE392" s="236">
        <f t="shared" si="117"/>
        <v>0</v>
      </c>
      <c r="AF392" s="225">
        <f t="shared" si="118"/>
        <v>0</v>
      </c>
      <c r="AG392" s="225">
        <f t="shared" si="119"/>
        <v>0</v>
      </c>
      <c r="AP392" s="132"/>
      <c r="AQ392" s="132"/>
    </row>
    <row r="393" spans="1:43" ht="15.5" hidden="1" x14ac:dyDescent="0.35">
      <c r="A393" s="197" t="str">
        <f t="shared" si="115"/>
        <v/>
      </c>
      <c r="B393" s="98" t="str">
        <f t="shared" si="126"/>
        <v/>
      </c>
      <c r="C393" s="99" t="str">
        <f t="shared" si="127"/>
        <v/>
      </c>
      <c r="D393" s="100" t="str">
        <f t="shared" si="128"/>
        <v/>
      </c>
      <c r="E393" s="100" t="str">
        <f t="shared" si="129"/>
        <v/>
      </c>
      <c r="F393" s="100" t="str">
        <f t="shared" si="130"/>
        <v/>
      </c>
      <c r="G393" s="100" t="str">
        <f t="shared" si="131"/>
        <v/>
      </c>
      <c r="H393" s="100" t="str">
        <f t="shared" si="111"/>
        <v/>
      </c>
      <c r="I393" s="100" t="str">
        <f t="shared" si="112"/>
        <v/>
      </c>
      <c r="J393" s="100" t="str">
        <f t="shared" si="125"/>
        <v/>
      </c>
      <c r="K393" s="100" t="str">
        <f t="shared" si="113"/>
        <v/>
      </c>
      <c r="L393" s="101" t="str">
        <f t="shared" si="114"/>
        <v/>
      </c>
      <c r="M393" s="12"/>
      <c r="N393" s="12"/>
      <c r="O393" s="12"/>
      <c r="Q393" s="118">
        <f t="shared" si="104"/>
        <v>0</v>
      </c>
      <c r="R393" s="119">
        <f t="shared" si="105"/>
        <v>0</v>
      </c>
      <c r="S393" s="120">
        <v>365</v>
      </c>
      <c r="AC393" s="224">
        <v>10020</v>
      </c>
      <c r="AD393" s="225">
        <f t="shared" si="116"/>
        <v>0</v>
      </c>
      <c r="AE393" s="236">
        <f t="shared" si="117"/>
        <v>0</v>
      </c>
      <c r="AF393" s="225">
        <f t="shared" si="118"/>
        <v>0</v>
      </c>
      <c r="AG393" s="225">
        <f t="shared" si="119"/>
        <v>0</v>
      </c>
      <c r="AP393" s="132"/>
      <c r="AQ393" s="132"/>
    </row>
    <row r="394" spans="1:43" ht="15.5" hidden="1" x14ac:dyDescent="0.35">
      <c r="A394" s="197" t="str">
        <f t="shared" si="115"/>
        <v/>
      </c>
      <c r="B394" s="98" t="str">
        <f t="shared" si="126"/>
        <v/>
      </c>
      <c r="C394" s="99" t="str">
        <f t="shared" si="127"/>
        <v/>
      </c>
      <c r="D394" s="100" t="str">
        <f t="shared" si="128"/>
        <v/>
      </c>
      <c r="E394" s="100" t="str">
        <f t="shared" si="129"/>
        <v/>
      </c>
      <c r="F394" s="100" t="str">
        <f t="shared" si="130"/>
        <v/>
      </c>
      <c r="G394" s="100" t="str">
        <f t="shared" si="131"/>
        <v/>
      </c>
      <c r="H394" s="100" t="str">
        <f t="shared" si="111"/>
        <v/>
      </c>
      <c r="I394" s="100" t="str">
        <f t="shared" si="112"/>
        <v/>
      </c>
      <c r="J394" s="100" t="str">
        <f t="shared" si="125"/>
        <v/>
      </c>
      <c r="K394" s="100" t="str">
        <f t="shared" si="113"/>
        <v/>
      </c>
      <c r="L394" s="101" t="str">
        <f t="shared" si="114"/>
        <v/>
      </c>
      <c r="M394" s="12"/>
      <c r="N394" s="12"/>
      <c r="O394" s="12"/>
      <c r="Q394" s="118">
        <f t="shared" si="104"/>
        <v>0</v>
      </c>
      <c r="R394" s="119">
        <f t="shared" si="105"/>
        <v>0</v>
      </c>
      <c r="S394" s="120">
        <v>365</v>
      </c>
      <c r="AC394" s="224">
        <v>10050</v>
      </c>
      <c r="AD394" s="225">
        <f t="shared" si="116"/>
        <v>0</v>
      </c>
      <c r="AE394" s="236">
        <f t="shared" si="117"/>
        <v>0</v>
      </c>
      <c r="AF394" s="225">
        <f t="shared" si="118"/>
        <v>0</v>
      </c>
      <c r="AG394" s="225">
        <f t="shared" si="119"/>
        <v>0</v>
      </c>
      <c r="AP394" s="132"/>
      <c r="AQ394" s="132"/>
    </row>
    <row r="395" spans="1:43" ht="15.5" hidden="1" x14ac:dyDescent="0.35">
      <c r="A395" s="197" t="str">
        <f t="shared" si="115"/>
        <v/>
      </c>
      <c r="B395" s="98" t="str">
        <f t="shared" si="126"/>
        <v/>
      </c>
      <c r="C395" s="99" t="str">
        <f t="shared" si="127"/>
        <v/>
      </c>
      <c r="D395" s="100" t="str">
        <f t="shared" si="128"/>
        <v/>
      </c>
      <c r="E395" s="100" t="str">
        <f t="shared" si="129"/>
        <v/>
      </c>
      <c r="F395" s="100" t="str">
        <f t="shared" si="130"/>
        <v/>
      </c>
      <c r="G395" s="100" t="str">
        <f t="shared" si="131"/>
        <v/>
      </c>
      <c r="H395" s="100" t="str">
        <f t="shared" si="111"/>
        <v/>
      </c>
      <c r="I395" s="100" t="str">
        <f t="shared" si="112"/>
        <v/>
      </c>
      <c r="J395" s="100" t="str">
        <f t="shared" si="125"/>
        <v/>
      </c>
      <c r="K395" s="100" t="str">
        <f t="shared" si="113"/>
        <v/>
      </c>
      <c r="L395" s="101" t="str">
        <f t="shared" si="114"/>
        <v/>
      </c>
      <c r="M395" s="12"/>
      <c r="N395" s="12"/>
      <c r="O395" s="12"/>
      <c r="Q395" s="118">
        <f t="shared" si="104"/>
        <v>0</v>
      </c>
      <c r="R395" s="119">
        <f t="shared" si="105"/>
        <v>0</v>
      </c>
      <c r="S395" s="120">
        <v>365</v>
      </c>
      <c r="AC395" s="224">
        <v>10080</v>
      </c>
      <c r="AD395" s="225">
        <f t="shared" si="116"/>
        <v>0</v>
      </c>
      <c r="AE395" s="236">
        <f t="shared" si="117"/>
        <v>0</v>
      </c>
      <c r="AF395" s="225">
        <f t="shared" si="118"/>
        <v>0</v>
      </c>
      <c r="AG395" s="225">
        <f t="shared" si="119"/>
        <v>0</v>
      </c>
      <c r="AP395" s="132"/>
      <c r="AQ395" s="132"/>
    </row>
    <row r="396" spans="1:43" ht="15.5" hidden="1" x14ac:dyDescent="0.35">
      <c r="A396" s="197" t="str">
        <f t="shared" si="115"/>
        <v/>
      </c>
      <c r="B396" s="98" t="str">
        <f t="shared" si="126"/>
        <v/>
      </c>
      <c r="C396" s="99" t="str">
        <f t="shared" si="127"/>
        <v/>
      </c>
      <c r="D396" s="100" t="str">
        <f t="shared" si="128"/>
        <v/>
      </c>
      <c r="E396" s="100" t="str">
        <f t="shared" si="129"/>
        <v/>
      </c>
      <c r="F396" s="100" t="str">
        <f t="shared" si="130"/>
        <v/>
      </c>
      <c r="G396" s="100" t="str">
        <f t="shared" si="131"/>
        <v/>
      </c>
      <c r="H396" s="100" t="str">
        <f t="shared" si="111"/>
        <v/>
      </c>
      <c r="I396" s="100" t="str">
        <f t="shared" si="112"/>
        <v/>
      </c>
      <c r="J396" s="100" t="str">
        <f t="shared" si="125"/>
        <v/>
      </c>
      <c r="K396" s="100" t="str">
        <f t="shared" si="113"/>
        <v/>
      </c>
      <c r="L396" s="101" t="str">
        <f t="shared" si="114"/>
        <v/>
      </c>
      <c r="M396" s="12"/>
      <c r="N396" s="12"/>
      <c r="O396" s="12"/>
      <c r="Q396" s="118">
        <f t="shared" si="104"/>
        <v>0</v>
      </c>
      <c r="R396" s="119">
        <f t="shared" si="105"/>
        <v>0</v>
      </c>
      <c r="S396" s="120">
        <v>365</v>
      </c>
      <c r="AC396" s="224">
        <v>10110</v>
      </c>
      <c r="AD396" s="225">
        <f t="shared" si="116"/>
        <v>0</v>
      </c>
      <c r="AE396" s="236">
        <f t="shared" si="117"/>
        <v>0</v>
      </c>
      <c r="AF396" s="225">
        <f t="shared" si="118"/>
        <v>0</v>
      </c>
      <c r="AG396" s="225">
        <f t="shared" si="119"/>
        <v>0</v>
      </c>
      <c r="AP396" s="132"/>
      <c r="AQ396" s="132"/>
    </row>
    <row r="397" spans="1:43" ht="15.5" hidden="1" x14ac:dyDescent="0.35">
      <c r="A397" s="197" t="str">
        <f t="shared" si="115"/>
        <v/>
      </c>
      <c r="B397" s="98" t="str">
        <f t="shared" si="126"/>
        <v/>
      </c>
      <c r="C397" s="99" t="str">
        <f t="shared" si="127"/>
        <v/>
      </c>
      <c r="D397" s="100" t="str">
        <f t="shared" si="128"/>
        <v/>
      </c>
      <c r="E397" s="100" t="str">
        <f t="shared" si="129"/>
        <v/>
      </c>
      <c r="F397" s="100" t="str">
        <f t="shared" si="130"/>
        <v/>
      </c>
      <c r="G397" s="100" t="str">
        <f t="shared" si="131"/>
        <v/>
      </c>
      <c r="H397" s="100" t="str">
        <f t="shared" si="111"/>
        <v/>
      </c>
      <c r="I397" s="100" t="str">
        <f t="shared" si="112"/>
        <v/>
      </c>
      <c r="J397" s="100" t="str">
        <f t="shared" si="125"/>
        <v/>
      </c>
      <c r="K397" s="100" t="str">
        <f t="shared" si="113"/>
        <v/>
      </c>
      <c r="L397" s="101" t="str">
        <f t="shared" si="114"/>
        <v/>
      </c>
      <c r="M397" s="12"/>
      <c r="N397" s="12"/>
      <c r="O397" s="12"/>
      <c r="Q397" s="118">
        <f t="shared" si="104"/>
        <v>0</v>
      </c>
      <c r="R397" s="119">
        <f t="shared" si="105"/>
        <v>0</v>
      </c>
      <c r="S397" s="120">
        <v>365</v>
      </c>
      <c r="AC397" s="224">
        <v>10140</v>
      </c>
      <c r="AD397" s="225">
        <f t="shared" si="116"/>
        <v>0</v>
      </c>
      <c r="AE397" s="236">
        <f t="shared" si="117"/>
        <v>0</v>
      </c>
      <c r="AF397" s="225">
        <f t="shared" si="118"/>
        <v>0</v>
      </c>
      <c r="AG397" s="225">
        <f t="shared" si="119"/>
        <v>0</v>
      </c>
      <c r="AP397" s="132"/>
      <c r="AQ397" s="132"/>
    </row>
    <row r="398" spans="1:43" ht="15.5" hidden="1" x14ac:dyDescent="0.35">
      <c r="A398" s="197" t="str">
        <f t="shared" si="115"/>
        <v/>
      </c>
      <c r="B398" s="98" t="str">
        <f t="shared" si="126"/>
        <v/>
      </c>
      <c r="C398" s="99" t="str">
        <f t="shared" si="127"/>
        <v/>
      </c>
      <c r="D398" s="100" t="str">
        <f t="shared" si="128"/>
        <v/>
      </c>
      <c r="E398" s="100" t="str">
        <f t="shared" si="129"/>
        <v/>
      </c>
      <c r="F398" s="100" t="str">
        <f t="shared" si="130"/>
        <v/>
      </c>
      <c r="G398" s="100" t="str">
        <f t="shared" si="131"/>
        <v/>
      </c>
      <c r="H398" s="100" t="str">
        <f t="shared" si="111"/>
        <v/>
      </c>
      <c r="I398" s="100" t="str">
        <f t="shared" si="112"/>
        <v/>
      </c>
      <c r="J398" s="100" t="str">
        <f t="shared" si="125"/>
        <v/>
      </c>
      <c r="K398" s="100" t="str">
        <f t="shared" si="113"/>
        <v/>
      </c>
      <c r="L398" s="101" t="str">
        <f t="shared" si="114"/>
        <v/>
      </c>
      <c r="M398" s="12"/>
      <c r="N398" s="12"/>
      <c r="O398" s="12"/>
      <c r="Q398" s="118">
        <f t="shared" si="104"/>
        <v>0</v>
      </c>
      <c r="R398" s="119">
        <f t="shared" si="105"/>
        <v>0</v>
      </c>
      <c r="S398" s="120">
        <v>365</v>
      </c>
      <c r="AC398" s="224">
        <v>10170</v>
      </c>
      <c r="AD398" s="225">
        <f t="shared" si="116"/>
        <v>0</v>
      </c>
      <c r="AE398" s="236">
        <f t="shared" si="117"/>
        <v>0</v>
      </c>
      <c r="AF398" s="225">
        <f t="shared" si="118"/>
        <v>0</v>
      </c>
      <c r="AG398" s="225">
        <f t="shared" si="119"/>
        <v>0</v>
      </c>
      <c r="AP398" s="132"/>
      <c r="AQ398" s="132"/>
    </row>
    <row r="399" spans="1:43" ht="15.5" hidden="1" x14ac:dyDescent="0.35">
      <c r="A399" s="197" t="str">
        <f t="shared" si="115"/>
        <v/>
      </c>
      <c r="B399" s="98" t="str">
        <f t="shared" si="126"/>
        <v/>
      </c>
      <c r="C399" s="99" t="str">
        <f t="shared" si="127"/>
        <v/>
      </c>
      <c r="D399" s="100" t="str">
        <f t="shared" si="128"/>
        <v/>
      </c>
      <c r="E399" s="100" t="str">
        <f t="shared" si="129"/>
        <v/>
      </c>
      <c r="F399" s="100" t="str">
        <f t="shared" si="130"/>
        <v/>
      </c>
      <c r="G399" s="100" t="str">
        <f t="shared" si="131"/>
        <v/>
      </c>
      <c r="H399" s="100" t="str">
        <f t="shared" si="111"/>
        <v/>
      </c>
      <c r="I399" s="100" t="str">
        <f t="shared" si="112"/>
        <v/>
      </c>
      <c r="J399" s="100" t="str">
        <f t="shared" si="125"/>
        <v/>
      </c>
      <c r="K399" s="100" t="str">
        <f t="shared" si="113"/>
        <v/>
      </c>
      <c r="L399" s="101" t="str">
        <f t="shared" si="114"/>
        <v/>
      </c>
      <c r="M399" s="12"/>
      <c r="N399" s="12"/>
      <c r="O399" s="12"/>
      <c r="Q399" s="118">
        <f t="shared" si="104"/>
        <v>0</v>
      </c>
      <c r="R399" s="119">
        <f t="shared" si="105"/>
        <v>0</v>
      </c>
      <c r="S399" s="120">
        <v>365</v>
      </c>
      <c r="AC399" s="224">
        <v>10200</v>
      </c>
      <c r="AD399" s="225">
        <f t="shared" si="116"/>
        <v>0</v>
      </c>
      <c r="AE399" s="236">
        <f t="shared" si="117"/>
        <v>0</v>
      </c>
      <c r="AF399" s="225">
        <f t="shared" si="118"/>
        <v>0</v>
      </c>
      <c r="AG399" s="225">
        <f t="shared" si="119"/>
        <v>0</v>
      </c>
      <c r="AP399" s="132"/>
      <c r="AQ399" s="132"/>
    </row>
    <row r="400" spans="1:43" ht="15.5" hidden="1" x14ac:dyDescent="0.35">
      <c r="A400" s="197" t="str">
        <f t="shared" si="115"/>
        <v/>
      </c>
      <c r="B400" s="98" t="str">
        <f t="shared" si="126"/>
        <v/>
      </c>
      <c r="C400" s="99" t="str">
        <f t="shared" si="127"/>
        <v/>
      </c>
      <c r="D400" s="100" t="str">
        <f t="shared" si="128"/>
        <v/>
      </c>
      <c r="E400" s="100" t="str">
        <f t="shared" si="129"/>
        <v/>
      </c>
      <c r="F400" s="100" t="str">
        <f t="shared" si="130"/>
        <v/>
      </c>
      <c r="G400" s="100" t="str">
        <f t="shared" si="131"/>
        <v/>
      </c>
      <c r="H400" s="100" t="str">
        <f t="shared" si="111"/>
        <v/>
      </c>
      <c r="I400" s="100" t="str">
        <f t="shared" si="112"/>
        <v/>
      </c>
      <c r="J400" s="100" t="str">
        <f t="shared" si="125"/>
        <v/>
      </c>
      <c r="K400" s="100" t="str">
        <f t="shared" si="113"/>
        <v/>
      </c>
      <c r="L400" s="101" t="str">
        <f t="shared" si="114"/>
        <v/>
      </c>
      <c r="M400" s="12"/>
      <c r="N400" s="12"/>
      <c r="O400" s="12"/>
      <c r="Q400" s="118">
        <f t="shared" si="104"/>
        <v>0</v>
      </c>
      <c r="R400" s="119">
        <f t="shared" si="105"/>
        <v>0</v>
      </c>
      <c r="S400" s="120">
        <v>365</v>
      </c>
      <c r="AC400" s="224">
        <v>10230</v>
      </c>
      <c r="AD400" s="225">
        <f t="shared" si="116"/>
        <v>0</v>
      </c>
      <c r="AE400" s="236">
        <f t="shared" si="117"/>
        <v>0</v>
      </c>
      <c r="AF400" s="225">
        <f t="shared" si="118"/>
        <v>0</v>
      </c>
      <c r="AG400" s="225">
        <f t="shared" si="119"/>
        <v>0</v>
      </c>
      <c r="AP400" s="132"/>
      <c r="AQ400" s="132"/>
    </row>
    <row r="401" spans="1:43" ht="15.5" hidden="1" x14ac:dyDescent="0.35">
      <c r="A401" s="197" t="str">
        <f t="shared" si="115"/>
        <v/>
      </c>
      <c r="B401" s="98" t="str">
        <f t="shared" si="126"/>
        <v/>
      </c>
      <c r="C401" s="99" t="str">
        <f t="shared" si="127"/>
        <v/>
      </c>
      <c r="D401" s="100" t="str">
        <f t="shared" si="128"/>
        <v/>
      </c>
      <c r="E401" s="100" t="str">
        <f t="shared" si="129"/>
        <v/>
      </c>
      <c r="F401" s="100" t="str">
        <f t="shared" si="130"/>
        <v/>
      </c>
      <c r="G401" s="100" t="str">
        <f t="shared" si="131"/>
        <v/>
      </c>
      <c r="H401" s="100" t="str">
        <f t="shared" si="111"/>
        <v/>
      </c>
      <c r="I401" s="100" t="str">
        <f t="shared" si="112"/>
        <v/>
      </c>
      <c r="J401" s="100" t="str">
        <f t="shared" si="125"/>
        <v/>
      </c>
      <c r="K401" s="100" t="str">
        <f t="shared" si="113"/>
        <v/>
      </c>
      <c r="L401" s="101" t="str">
        <f t="shared" si="114"/>
        <v/>
      </c>
      <c r="M401" s="12"/>
      <c r="N401" s="12"/>
      <c r="O401" s="12"/>
      <c r="Q401" s="118">
        <f t="shared" si="104"/>
        <v>0</v>
      </c>
      <c r="R401" s="119">
        <f t="shared" si="105"/>
        <v>0</v>
      </c>
      <c r="S401" s="120">
        <v>365</v>
      </c>
      <c r="AC401" s="224">
        <v>10260</v>
      </c>
      <c r="AD401" s="225">
        <f t="shared" si="116"/>
        <v>0</v>
      </c>
      <c r="AE401" s="236">
        <f t="shared" si="117"/>
        <v>0</v>
      </c>
      <c r="AF401" s="225">
        <f t="shared" si="118"/>
        <v>0</v>
      </c>
      <c r="AG401" s="225">
        <f t="shared" si="119"/>
        <v>0</v>
      </c>
      <c r="AP401" s="132"/>
      <c r="AQ401" s="132"/>
    </row>
    <row r="402" spans="1:43" ht="15.5" hidden="1" x14ac:dyDescent="0.35">
      <c r="A402" s="197" t="str">
        <f t="shared" si="115"/>
        <v/>
      </c>
      <c r="B402" s="98" t="str">
        <f t="shared" si="126"/>
        <v/>
      </c>
      <c r="C402" s="99" t="str">
        <f t="shared" si="127"/>
        <v/>
      </c>
      <c r="D402" s="100" t="str">
        <f t="shared" si="128"/>
        <v/>
      </c>
      <c r="E402" s="100" t="str">
        <f t="shared" si="129"/>
        <v/>
      </c>
      <c r="F402" s="100" t="str">
        <f t="shared" si="130"/>
        <v/>
      </c>
      <c r="G402" s="100" t="str">
        <f t="shared" si="131"/>
        <v/>
      </c>
      <c r="H402" s="100" t="str">
        <f t="shared" si="111"/>
        <v/>
      </c>
      <c r="I402" s="100" t="str">
        <f t="shared" si="112"/>
        <v/>
      </c>
      <c r="J402" s="100" t="str">
        <f t="shared" si="125"/>
        <v/>
      </c>
      <c r="K402" s="100" t="str">
        <f t="shared" si="113"/>
        <v/>
      </c>
      <c r="L402" s="101" t="str">
        <f t="shared" si="114"/>
        <v/>
      </c>
      <c r="M402" s="12"/>
      <c r="N402" s="12"/>
      <c r="O402" s="12"/>
      <c r="Q402" s="118">
        <f t="shared" si="104"/>
        <v>0</v>
      </c>
      <c r="R402" s="119">
        <f t="shared" si="105"/>
        <v>0</v>
      </c>
      <c r="S402" s="120">
        <v>365</v>
      </c>
      <c r="AC402" s="224">
        <v>10290</v>
      </c>
      <c r="AD402" s="225">
        <f t="shared" si="116"/>
        <v>0</v>
      </c>
      <c r="AE402" s="236">
        <f t="shared" si="117"/>
        <v>0</v>
      </c>
      <c r="AF402" s="225">
        <f t="shared" si="118"/>
        <v>0</v>
      </c>
      <c r="AG402" s="225">
        <f t="shared" si="119"/>
        <v>0</v>
      </c>
      <c r="AP402" s="132"/>
      <c r="AQ402" s="132"/>
    </row>
    <row r="403" spans="1:43" ht="15.5" hidden="1" x14ac:dyDescent="0.35">
      <c r="A403" s="197" t="str">
        <f t="shared" si="115"/>
        <v/>
      </c>
      <c r="B403" s="98" t="str">
        <f t="shared" si="126"/>
        <v/>
      </c>
      <c r="C403" s="99" t="str">
        <f t="shared" si="127"/>
        <v/>
      </c>
      <c r="D403" s="100" t="str">
        <f t="shared" si="128"/>
        <v/>
      </c>
      <c r="E403" s="100" t="str">
        <f t="shared" si="129"/>
        <v/>
      </c>
      <c r="F403" s="100" t="str">
        <f t="shared" si="130"/>
        <v/>
      </c>
      <c r="G403" s="100" t="str">
        <f t="shared" si="131"/>
        <v/>
      </c>
      <c r="H403" s="100" t="str">
        <f t="shared" si="111"/>
        <v/>
      </c>
      <c r="I403" s="100" t="str">
        <f t="shared" si="112"/>
        <v/>
      </c>
      <c r="J403" s="100" t="str">
        <f t="shared" si="125"/>
        <v/>
      </c>
      <c r="K403" s="100" t="str">
        <f t="shared" si="113"/>
        <v/>
      </c>
      <c r="L403" s="101" t="str">
        <f t="shared" si="114"/>
        <v/>
      </c>
      <c r="M403" s="12"/>
      <c r="N403" s="12"/>
      <c r="O403" s="12"/>
      <c r="Q403" s="118">
        <f t="shared" si="104"/>
        <v>0</v>
      </c>
      <c r="R403" s="119">
        <f t="shared" si="105"/>
        <v>0</v>
      </c>
      <c r="S403" s="120">
        <v>365</v>
      </c>
      <c r="AC403" s="224">
        <v>10320</v>
      </c>
      <c r="AD403" s="225">
        <f t="shared" si="116"/>
        <v>0</v>
      </c>
      <c r="AE403" s="236">
        <f t="shared" si="117"/>
        <v>0</v>
      </c>
      <c r="AF403" s="225">
        <f t="shared" si="118"/>
        <v>0</v>
      </c>
      <c r="AG403" s="225">
        <f t="shared" si="119"/>
        <v>0</v>
      </c>
      <c r="AP403" s="132"/>
      <c r="AQ403" s="132"/>
    </row>
    <row r="404" spans="1:43" ht="15.5" hidden="1" x14ac:dyDescent="0.35">
      <c r="A404" s="197" t="str">
        <f t="shared" si="115"/>
        <v/>
      </c>
      <c r="B404" s="98" t="str">
        <f t="shared" si="126"/>
        <v/>
      </c>
      <c r="C404" s="99" t="str">
        <f t="shared" si="127"/>
        <v/>
      </c>
      <c r="D404" s="100" t="str">
        <f t="shared" si="128"/>
        <v/>
      </c>
      <c r="E404" s="100" t="str">
        <f t="shared" si="129"/>
        <v/>
      </c>
      <c r="F404" s="100" t="str">
        <f t="shared" si="130"/>
        <v/>
      </c>
      <c r="G404" s="100" t="str">
        <f t="shared" si="131"/>
        <v/>
      </c>
      <c r="H404" s="100" t="str">
        <f t="shared" si="111"/>
        <v/>
      </c>
      <c r="I404" s="100" t="str">
        <f t="shared" si="112"/>
        <v/>
      </c>
      <c r="J404" s="100" t="str">
        <f t="shared" si="125"/>
        <v/>
      </c>
      <c r="K404" s="100" t="str">
        <f t="shared" si="113"/>
        <v/>
      </c>
      <c r="L404" s="101" t="str">
        <f t="shared" si="114"/>
        <v/>
      </c>
      <c r="M404" s="12"/>
      <c r="N404" s="12"/>
      <c r="O404" s="12"/>
      <c r="Q404" s="118">
        <f t="shared" si="104"/>
        <v>0</v>
      </c>
      <c r="R404" s="119">
        <f t="shared" si="105"/>
        <v>0</v>
      </c>
      <c r="S404" s="120">
        <v>365</v>
      </c>
      <c r="AC404" s="224">
        <v>10350</v>
      </c>
      <c r="AD404" s="225">
        <f t="shared" si="116"/>
        <v>0</v>
      </c>
      <c r="AE404" s="236">
        <f t="shared" si="117"/>
        <v>0</v>
      </c>
      <c r="AF404" s="225">
        <f t="shared" si="118"/>
        <v>0</v>
      </c>
      <c r="AG404" s="225">
        <f t="shared" si="119"/>
        <v>0</v>
      </c>
      <c r="AP404" s="132"/>
      <c r="AQ404" s="132"/>
    </row>
    <row r="405" spans="1:43" ht="15.5" hidden="1" x14ac:dyDescent="0.35">
      <c r="A405" s="197" t="str">
        <f t="shared" si="115"/>
        <v/>
      </c>
      <c r="B405" s="98" t="str">
        <f t="shared" si="126"/>
        <v/>
      </c>
      <c r="C405" s="99" t="str">
        <f t="shared" si="127"/>
        <v/>
      </c>
      <c r="D405" s="100" t="str">
        <f t="shared" si="128"/>
        <v/>
      </c>
      <c r="E405" s="100" t="str">
        <f t="shared" si="129"/>
        <v/>
      </c>
      <c r="F405" s="100" t="str">
        <f t="shared" si="130"/>
        <v/>
      </c>
      <c r="G405" s="100" t="str">
        <f t="shared" si="131"/>
        <v/>
      </c>
      <c r="H405" s="100" t="str">
        <f t="shared" si="111"/>
        <v/>
      </c>
      <c r="I405" s="100" t="str">
        <f t="shared" si="112"/>
        <v/>
      </c>
      <c r="J405" s="100" t="str">
        <f t="shared" si="125"/>
        <v/>
      </c>
      <c r="K405" s="100" t="str">
        <f t="shared" si="113"/>
        <v/>
      </c>
      <c r="L405" s="101" t="str">
        <f t="shared" si="114"/>
        <v/>
      </c>
      <c r="M405" s="12"/>
      <c r="N405" s="12"/>
      <c r="O405" s="12"/>
      <c r="Q405" s="118">
        <f t="shared" si="104"/>
        <v>0</v>
      </c>
      <c r="R405" s="119">
        <f t="shared" si="105"/>
        <v>0</v>
      </c>
      <c r="S405" s="120">
        <v>365</v>
      </c>
      <c r="AC405" s="224">
        <v>10380</v>
      </c>
      <c r="AD405" s="225">
        <f t="shared" si="116"/>
        <v>0</v>
      </c>
      <c r="AE405" s="236">
        <f t="shared" si="117"/>
        <v>0</v>
      </c>
      <c r="AF405" s="225">
        <f t="shared" si="118"/>
        <v>0</v>
      </c>
      <c r="AG405" s="225">
        <f t="shared" si="119"/>
        <v>0</v>
      </c>
      <c r="AP405" s="132"/>
      <c r="AQ405" s="132"/>
    </row>
    <row r="406" spans="1:43" ht="15.5" hidden="1" x14ac:dyDescent="0.35">
      <c r="A406" s="197" t="str">
        <f t="shared" si="115"/>
        <v/>
      </c>
      <c r="B406" s="98" t="str">
        <f t="shared" si="126"/>
        <v/>
      </c>
      <c r="C406" s="99" t="str">
        <f t="shared" si="127"/>
        <v/>
      </c>
      <c r="D406" s="100" t="str">
        <f t="shared" si="128"/>
        <v/>
      </c>
      <c r="E406" s="100" t="str">
        <f t="shared" si="129"/>
        <v/>
      </c>
      <c r="F406" s="100" t="str">
        <f t="shared" si="130"/>
        <v/>
      </c>
      <c r="G406" s="100" t="str">
        <f t="shared" si="131"/>
        <v/>
      </c>
      <c r="H406" s="100" t="str">
        <f t="shared" si="111"/>
        <v/>
      </c>
      <c r="I406" s="100" t="str">
        <f t="shared" si="112"/>
        <v/>
      </c>
      <c r="J406" s="100" t="str">
        <f t="shared" si="125"/>
        <v/>
      </c>
      <c r="K406" s="100" t="str">
        <f t="shared" si="113"/>
        <v/>
      </c>
      <c r="L406" s="101" t="str">
        <f t="shared" si="114"/>
        <v/>
      </c>
      <c r="M406" s="12"/>
      <c r="N406" s="12"/>
      <c r="O406" s="12"/>
      <c r="Q406" s="118">
        <f t="shared" si="104"/>
        <v>0</v>
      </c>
      <c r="R406" s="119">
        <f t="shared" si="105"/>
        <v>0</v>
      </c>
      <c r="S406" s="120">
        <v>365</v>
      </c>
      <c r="AC406" s="224">
        <v>10410</v>
      </c>
      <c r="AD406" s="225">
        <f t="shared" si="116"/>
        <v>0</v>
      </c>
      <c r="AE406" s="236">
        <f t="shared" si="117"/>
        <v>0</v>
      </c>
      <c r="AF406" s="225">
        <f t="shared" si="118"/>
        <v>0</v>
      </c>
      <c r="AG406" s="225">
        <f t="shared" si="119"/>
        <v>0</v>
      </c>
      <c r="AP406" s="132"/>
      <c r="AQ406" s="132"/>
    </row>
    <row r="407" spans="1:43" ht="15.5" hidden="1" x14ac:dyDescent="0.35">
      <c r="A407" s="197" t="str">
        <f t="shared" si="115"/>
        <v/>
      </c>
      <c r="B407" s="98" t="str">
        <f t="shared" si="126"/>
        <v/>
      </c>
      <c r="C407" s="99" t="str">
        <f t="shared" si="127"/>
        <v/>
      </c>
      <c r="D407" s="100" t="str">
        <f t="shared" si="128"/>
        <v/>
      </c>
      <c r="E407" s="100" t="str">
        <f t="shared" si="129"/>
        <v/>
      </c>
      <c r="F407" s="100" t="str">
        <f t="shared" si="130"/>
        <v/>
      </c>
      <c r="G407" s="100" t="str">
        <f t="shared" si="131"/>
        <v/>
      </c>
      <c r="H407" s="100" t="str">
        <f t="shared" si="111"/>
        <v/>
      </c>
      <c r="I407" s="100" t="str">
        <f t="shared" si="112"/>
        <v/>
      </c>
      <c r="J407" s="100" t="str">
        <f t="shared" si="125"/>
        <v/>
      </c>
      <c r="K407" s="100" t="str">
        <f t="shared" si="113"/>
        <v/>
      </c>
      <c r="L407" s="101" t="str">
        <f t="shared" si="114"/>
        <v/>
      </c>
      <c r="M407" s="12"/>
      <c r="N407" s="12"/>
      <c r="O407" s="12"/>
      <c r="Q407" s="118">
        <f t="shared" si="104"/>
        <v>0</v>
      </c>
      <c r="R407" s="119">
        <f t="shared" si="105"/>
        <v>0</v>
      </c>
      <c r="S407" s="120">
        <v>365</v>
      </c>
      <c r="AC407" s="224">
        <v>10440</v>
      </c>
      <c r="AD407" s="225">
        <f t="shared" si="116"/>
        <v>0</v>
      </c>
      <c r="AE407" s="236">
        <f t="shared" si="117"/>
        <v>0</v>
      </c>
      <c r="AF407" s="225">
        <f t="shared" si="118"/>
        <v>0</v>
      </c>
      <c r="AG407" s="225">
        <f t="shared" si="119"/>
        <v>0</v>
      </c>
      <c r="AP407" s="132"/>
      <c r="AQ407" s="132"/>
    </row>
    <row r="408" spans="1:43" ht="15.5" hidden="1" x14ac:dyDescent="0.35">
      <c r="A408" s="197" t="str">
        <f t="shared" si="115"/>
        <v/>
      </c>
      <c r="B408" s="98" t="str">
        <f t="shared" si="126"/>
        <v/>
      </c>
      <c r="C408" s="99" t="str">
        <f t="shared" si="127"/>
        <v/>
      </c>
      <c r="D408" s="100" t="str">
        <f t="shared" si="128"/>
        <v/>
      </c>
      <c r="E408" s="100" t="str">
        <f t="shared" si="129"/>
        <v/>
      </c>
      <c r="F408" s="100" t="str">
        <f t="shared" si="130"/>
        <v/>
      </c>
      <c r="G408" s="100" t="str">
        <f t="shared" si="131"/>
        <v/>
      </c>
      <c r="H408" s="100" t="str">
        <f t="shared" si="111"/>
        <v/>
      </c>
      <c r="I408" s="100" t="str">
        <f t="shared" si="112"/>
        <v/>
      </c>
      <c r="J408" s="100" t="str">
        <f t="shared" si="125"/>
        <v/>
      </c>
      <c r="K408" s="100" t="str">
        <f t="shared" si="113"/>
        <v/>
      </c>
      <c r="L408" s="101" t="str">
        <f t="shared" si="114"/>
        <v/>
      </c>
      <c r="M408" s="12"/>
      <c r="N408" s="12"/>
      <c r="O408" s="12"/>
      <c r="Q408" s="118">
        <f t="shared" si="104"/>
        <v>0</v>
      </c>
      <c r="R408" s="119">
        <f t="shared" si="105"/>
        <v>0</v>
      </c>
      <c r="S408" s="120">
        <v>365</v>
      </c>
      <c r="AC408" s="224">
        <v>10470</v>
      </c>
      <c r="AD408" s="225">
        <f t="shared" si="116"/>
        <v>0</v>
      </c>
      <c r="AE408" s="236">
        <f t="shared" si="117"/>
        <v>0</v>
      </c>
      <c r="AF408" s="225">
        <f t="shared" si="118"/>
        <v>0</v>
      </c>
      <c r="AG408" s="225">
        <f t="shared" si="119"/>
        <v>0</v>
      </c>
      <c r="AP408" s="132"/>
      <c r="AQ408" s="132"/>
    </row>
    <row r="409" spans="1:43" ht="15.5" hidden="1" x14ac:dyDescent="0.35">
      <c r="A409" s="197" t="str">
        <f t="shared" si="115"/>
        <v/>
      </c>
      <c r="B409" s="98" t="str">
        <f t="shared" si="126"/>
        <v/>
      </c>
      <c r="C409" s="99" t="str">
        <f t="shared" si="127"/>
        <v/>
      </c>
      <c r="D409" s="100" t="str">
        <f t="shared" si="128"/>
        <v/>
      </c>
      <c r="E409" s="100" t="str">
        <f t="shared" si="129"/>
        <v/>
      </c>
      <c r="F409" s="100" t="str">
        <f t="shared" si="130"/>
        <v/>
      </c>
      <c r="G409" s="100" t="str">
        <f t="shared" si="131"/>
        <v/>
      </c>
      <c r="H409" s="100" t="str">
        <f t="shared" si="111"/>
        <v/>
      </c>
      <c r="I409" s="100" t="str">
        <f t="shared" si="112"/>
        <v/>
      </c>
      <c r="J409" s="100" t="str">
        <f t="shared" si="125"/>
        <v/>
      </c>
      <c r="K409" s="100" t="str">
        <f t="shared" si="113"/>
        <v/>
      </c>
      <c r="L409" s="101" t="str">
        <f t="shared" si="114"/>
        <v/>
      </c>
      <c r="M409" s="12"/>
      <c r="N409" s="12"/>
      <c r="O409" s="12"/>
      <c r="Q409" s="118">
        <f t="shared" si="104"/>
        <v>0</v>
      </c>
      <c r="R409" s="119">
        <f t="shared" si="105"/>
        <v>0</v>
      </c>
      <c r="S409" s="120">
        <v>365</v>
      </c>
      <c r="AC409" s="224">
        <v>10500</v>
      </c>
      <c r="AD409" s="225">
        <f t="shared" si="116"/>
        <v>0</v>
      </c>
      <c r="AE409" s="236">
        <f t="shared" si="117"/>
        <v>0</v>
      </c>
      <c r="AF409" s="225">
        <f t="shared" si="118"/>
        <v>0</v>
      </c>
      <c r="AG409" s="225">
        <f t="shared" si="119"/>
        <v>0</v>
      </c>
      <c r="AP409" s="132"/>
      <c r="AQ409" s="132"/>
    </row>
    <row r="410" spans="1:43" ht="15.5" hidden="1" x14ac:dyDescent="0.35">
      <c r="A410" s="197" t="str">
        <f t="shared" si="115"/>
        <v/>
      </c>
      <c r="B410" s="98" t="str">
        <f t="shared" si="126"/>
        <v/>
      </c>
      <c r="C410" s="99" t="str">
        <f t="shared" si="127"/>
        <v/>
      </c>
      <c r="D410" s="100" t="str">
        <f t="shared" si="128"/>
        <v/>
      </c>
      <c r="E410" s="100" t="str">
        <f t="shared" si="129"/>
        <v/>
      </c>
      <c r="F410" s="100" t="str">
        <f t="shared" si="130"/>
        <v/>
      </c>
      <c r="G410" s="100" t="str">
        <f t="shared" si="131"/>
        <v/>
      </c>
      <c r="H410" s="100" t="str">
        <f t="shared" si="111"/>
        <v/>
      </c>
      <c r="I410" s="100" t="str">
        <f t="shared" si="112"/>
        <v/>
      </c>
      <c r="J410" s="100" t="str">
        <f t="shared" si="125"/>
        <v/>
      </c>
      <c r="K410" s="100" t="str">
        <f t="shared" si="113"/>
        <v/>
      </c>
      <c r="L410" s="101" t="str">
        <f t="shared" si="114"/>
        <v/>
      </c>
      <c r="M410" s="12"/>
      <c r="N410" s="12"/>
      <c r="O410" s="12"/>
      <c r="Q410" s="118">
        <f t="shared" si="104"/>
        <v>0</v>
      </c>
      <c r="R410" s="119">
        <f t="shared" si="105"/>
        <v>0</v>
      </c>
      <c r="S410" s="120">
        <v>365</v>
      </c>
      <c r="AC410" s="224">
        <v>10530</v>
      </c>
      <c r="AD410" s="225">
        <f t="shared" si="116"/>
        <v>0</v>
      </c>
      <c r="AE410" s="236">
        <f t="shared" si="117"/>
        <v>0</v>
      </c>
      <c r="AF410" s="225">
        <f t="shared" si="118"/>
        <v>0</v>
      </c>
      <c r="AG410" s="225">
        <f t="shared" si="119"/>
        <v>0</v>
      </c>
      <c r="AP410" s="132"/>
      <c r="AQ410" s="132"/>
    </row>
    <row r="411" spans="1:43" ht="15.5" hidden="1" x14ac:dyDescent="0.35">
      <c r="A411" s="197" t="str">
        <f t="shared" si="115"/>
        <v/>
      </c>
      <c r="B411" s="98" t="str">
        <f t="shared" si="126"/>
        <v/>
      </c>
      <c r="C411" s="99" t="str">
        <f t="shared" si="127"/>
        <v/>
      </c>
      <c r="D411" s="100" t="str">
        <f t="shared" si="128"/>
        <v/>
      </c>
      <c r="E411" s="100" t="str">
        <f t="shared" si="129"/>
        <v/>
      </c>
      <c r="F411" s="100" t="str">
        <f t="shared" si="130"/>
        <v/>
      </c>
      <c r="G411" s="100" t="str">
        <f t="shared" si="131"/>
        <v/>
      </c>
      <c r="H411" s="100" t="str">
        <f t="shared" si="111"/>
        <v/>
      </c>
      <c r="I411" s="100" t="str">
        <f t="shared" si="112"/>
        <v/>
      </c>
      <c r="J411" s="100" t="str">
        <f t="shared" si="125"/>
        <v/>
      </c>
      <c r="K411" s="100" t="str">
        <f t="shared" si="113"/>
        <v/>
      </c>
      <c r="L411" s="101" t="str">
        <f t="shared" si="114"/>
        <v/>
      </c>
      <c r="M411" s="12"/>
      <c r="N411" s="12"/>
      <c r="O411" s="12"/>
      <c r="Q411" s="118">
        <f t="shared" si="104"/>
        <v>0</v>
      </c>
      <c r="R411" s="119">
        <f t="shared" si="105"/>
        <v>0</v>
      </c>
      <c r="S411" s="120">
        <v>365</v>
      </c>
      <c r="AC411" s="224">
        <v>10560</v>
      </c>
      <c r="AD411" s="225">
        <f t="shared" si="116"/>
        <v>0</v>
      </c>
      <c r="AE411" s="236">
        <f t="shared" si="117"/>
        <v>0</v>
      </c>
      <c r="AF411" s="225">
        <f t="shared" si="118"/>
        <v>0</v>
      </c>
      <c r="AG411" s="225">
        <f t="shared" si="119"/>
        <v>0</v>
      </c>
      <c r="AP411" s="132"/>
      <c r="AQ411" s="132"/>
    </row>
    <row r="412" spans="1:43" ht="15.5" hidden="1" x14ac:dyDescent="0.35">
      <c r="A412" s="197" t="str">
        <f t="shared" si="115"/>
        <v/>
      </c>
      <c r="B412" s="98" t="str">
        <f t="shared" si="126"/>
        <v/>
      </c>
      <c r="C412" s="99" t="str">
        <f t="shared" si="127"/>
        <v/>
      </c>
      <c r="D412" s="100" t="str">
        <f t="shared" si="128"/>
        <v/>
      </c>
      <c r="E412" s="100" t="str">
        <f t="shared" si="129"/>
        <v/>
      </c>
      <c r="F412" s="100" t="str">
        <f t="shared" si="130"/>
        <v/>
      </c>
      <c r="G412" s="100" t="str">
        <f t="shared" si="131"/>
        <v/>
      </c>
      <c r="H412" s="100" t="str">
        <f t="shared" si="111"/>
        <v/>
      </c>
      <c r="I412" s="100" t="str">
        <f t="shared" si="112"/>
        <v/>
      </c>
      <c r="J412" s="100" t="str">
        <f t="shared" si="125"/>
        <v/>
      </c>
      <c r="K412" s="100" t="str">
        <f t="shared" si="113"/>
        <v/>
      </c>
      <c r="L412" s="101" t="str">
        <f t="shared" si="114"/>
        <v/>
      </c>
      <c r="M412" s="12"/>
      <c r="N412" s="12"/>
      <c r="O412" s="12"/>
      <c r="Q412" s="118">
        <f t="shared" si="104"/>
        <v>0</v>
      </c>
      <c r="R412" s="119">
        <f t="shared" si="105"/>
        <v>0</v>
      </c>
      <c r="S412" s="120">
        <v>365</v>
      </c>
      <c r="AC412" s="224">
        <v>10590</v>
      </c>
      <c r="AD412" s="225">
        <f t="shared" si="116"/>
        <v>0</v>
      </c>
      <c r="AE412" s="236">
        <f t="shared" si="117"/>
        <v>0</v>
      </c>
      <c r="AF412" s="225">
        <f t="shared" si="118"/>
        <v>0</v>
      </c>
      <c r="AG412" s="225">
        <f t="shared" si="119"/>
        <v>0</v>
      </c>
      <c r="AP412" s="132"/>
      <c r="AQ412" s="132"/>
    </row>
    <row r="413" spans="1:43" ht="15.5" hidden="1" x14ac:dyDescent="0.35">
      <c r="A413" s="197" t="str">
        <f t="shared" si="115"/>
        <v/>
      </c>
      <c r="B413" s="98" t="str">
        <f t="shared" si="126"/>
        <v/>
      </c>
      <c r="C413" s="99" t="str">
        <f t="shared" si="127"/>
        <v/>
      </c>
      <c r="D413" s="100" t="str">
        <f t="shared" si="128"/>
        <v/>
      </c>
      <c r="E413" s="100" t="str">
        <f t="shared" si="129"/>
        <v/>
      </c>
      <c r="F413" s="100" t="str">
        <f t="shared" si="130"/>
        <v/>
      </c>
      <c r="G413" s="100" t="str">
        <f t="shared" si="131"/>
        <v/>
      </c>
      <c r="H413" s="100" t="str">
        <f t="shared" si="111"/>
        <v/>
      </c>
      <c r="I413" s="100" t="str">
        <f t="shared" si="112"/>
        <v/>
      </c>
      <c r="J413" s="100" t="str">
        <f t="shared" si="125"/>
        <v/>
      </c>
      <c r="K413" s="100" t="str">
        <f t="shared" si="113"/>
        <v/>
      </c>
      <c r="L413" s="101" t="str">
        <f t="shared" si="114"/>
        <v/>
      </c>
      <c r="M413" s="12"/>
      <c r="N413" s="12"/>
      <c r="O413" s="12"/>
      <c r="Q413" s="118">
        <f t="shared" si="104"/>
        <v>0</v>
      </c>
      <c r="R413" s="119">
        <f t="shared" si="105"/>
        <v>0</v>
      </c>
      <c r="S413" s="120">
        <v>365</v>
      </c>
      <c r="AC413" s="224">
        <v>10620</v>
      </c>
      <c r="AD413" s="225">
        <f t="shared" si="116"/>
        <v>0</v>
      </c>
      <c r="AE413" s="236">
        <f t="shared" si="117"/>
        <v>0</v>
      </c>
      <c r="AF413" s="225">
        <f t="shared" si="118"/>
        <v>0</v>
      </c>
      <c r="AG413" s="225">
        <f t="shared" si="119"/>
        <v>0</v>
      </c>
      <c r="AP413" s="132"/>
      <c r="AQ413" s="132"/>
    </row>
    <row r="414" spans="1:43" ht="15.5" hidden="1" x14ac:dyDescent="0.35">
      <c r="A414" s="197" t="str">
        <f t="shared" si="115"/>
        <v/>
      </c>
      <c r="B414" s="98" t="str">
        <f t="shared" si="126"/>
        <v/>
      </c>
      <c r="C414" s="99" t="str">
        <f t="shared" si="127"/>
        <v/>
      </c>
      <c r="D414" s="100" t="str">
        <f t="shared" si="128"/>
        <v/>
      </c>
      <c r="E414" s="100" t="str">
        <f t="shared" si="129"/>
        <v/>
      </c>
      <c r="F414" s="100" t="str">
        <f t="shared" si="130"/>
        <v/>
      </c>
      <c r="G414" s="100" t="str">
        <f t="shared" si="131"/>
        <v/>
      </c>
      <c r="H414" s="100" t="str">
        <f t="shared" si="111"/>
        <v/>
      </c>
      <c r="I414" s="100" t="str">
        <f t="shared" si="112"/>
        <v/>
      </c>
      <c r="J414" s="100" t="str">
        <f t="shared" si="125"/>
        <v/>
      </c>
      <c r="K414" s="100" t="str">
        <f t="shared" si="113"/>
        <v/>
      </c>
      <c r="L414" s="101" t="str">
        <f t="shared" si="114"/>
        <v/>
      </c>
      <c r="M414" s="12"/>
      <c r="N414" s="12"/>
      <c r="O414" s="12"/>
      <c r="Q414" s="118">
        <f t="shared" si="104"/>
        <v>0</v>
      </c>
      <c r="R414" s="119">
        <f t="shared" si="105"/>
        <v>0</v>
      </c>
      <c r="S414" s="120">
        <v>365</v>
      </c>
      <c r="AC414" s="224">
        <v>10650</v>
      </c>
      <c r="AD414" s="225">
        <f t="shared" si="116"/>
        <v>0</v>
      </c>
      <c r="AE414" s="236">
        <f t="shared" si="117"/>
        <v>0</v>
      </c>
      <c r="AF414" s="225">
        <f t="shared" si="118"/>
        <v>0</v>
      </c>
      <c r="AG414" s="225">
        <f t="shared" si="119"/>
        <v>0</v>
      </c>
      <c r="AP414" s="132"/>
      <c r="AQ414" s="132"/>
    </row>
    <row r="415" spans="1:43" ht="15.5" hidden="1" x14ac:dyDescent="0.35">
      <c r="A415" s="197" t="str">
        <f t="shared" si="115"/>
        <v/>
      </c>
      <c r="B415" s="98" t="str">
        <f t="shared" si="126"/>
        <v/>
      </c>
      <c r="C415" s="99" t="str">
        <f t="shared" si="127"/>
        <v/>
      </c>
      <c r="D415" s="100" t="str">
        <f t="shared" si="128"/>
        <v/>
      </c>
      <c r="E415" s="100" t="str">
        <f t="shared" si="129"/>
        <v/>
      </c>
      <c r="F415" s="100" t="str">
        <f t="shared" si="130"/>
        <v/>
      </c>
      <c r="G415" s="100" t="str">
        <f t="shared" si="131"/>
        <v/>
      </c>
      <c r="H415" s="100" t="str">
        <f t="shared" si="111"/>
        <v/>
      </c>
      <c r="I415" s="100" t="str">
        <f t="shared" si="112"/>
        <v/>
      </c>
      <c r="J415" s="100" t="str">
        <f t="shared" si="125"/>
        <v/>
      </c>
      <c r="K415" s="100" t="str">
        <f t="shared" si="113"/>
        <v/>
      </c>
      <c r="L415" s="101" t="str">
        <f t="shared" si="114"/>
        <v/>
      </c>
      <c r="M415" s="12"/>
      <c r="N415" s="12"/>
      <c r="O415" s="12"/>
      <c r="Q415" s="118">
        <f t="shared" si="104"/>
        <v>0</v>
      </c>
      <c r="R415" s="119">
        <f t="shared" si="105"/>
        <v>0</v>
      </c>
      <c r="S415" s="120">
        <v>365</v>
      </c>
      <c r="AC415" s="224">
        <v>10680</v>
      </c>
      <c r="AD415" s="225">
        <f t="shared" si="116"/>
        <v>0</v>
      </c>
      <c r="AE415" s="236">
        <f t="shared" si="117"/>
        <v>0</v>
      </c>
      <c r="AF415" s="225">
        <f t="shared" si="118"/>
        <v>0</v>
      </c>
      <c r="AG415" s="225">
        <f t="shared" si="119"/>
        <v>0</v>
      </c>
      <c r="AP415" s="132"/>
      <c r="AQ415" s="132"/>
    </row>
    <row r="416" spans="1:43" ht="15.5" hidden="1" x14ac:dyDescent="0.35">
      <c r="A416" s="197" t="str">
        <f t="shared" si="115"/>
        <v/>
      </c>
      <c r="B416" s="98" t="str">
        <f t="shared" si="126"/>
        <v/>
      </c>
      <c r="C416" s="99" t="str">
        <f t="shared" si="127"/>
        <v/>
      </c>
      <c r="D416" s="100" t="str">
        <f t="shared" si="128"/>
        <v/>
      </c>
      <c r="E416" s="100" t="str">
        <f t="shared" si="129"/>
        <v/>
      </c>
      <c r="F416" s="100" t="str">
        <f t="shared" si="130"/>
        <v/>
      </c>
      <c r="G416" s="100" t="str">
        <f t="shared" si="131"/>
        <v/>
      </c>
      <c r="H416" s="100" t="str">
        <f t="shared" si="111"/>
        <v/>
      </c>
      <c r="I416" s="100" t="str">
        <f t="shared" si="112"/>
        <v/>
      </c>
      <c r="J416" s="100" t="str">
        <f t="shared" si="125"/>
        <v/>
      </c>
      <c r="K416" s="100" t="str">
        <f t="shared" si="113"/>
        <v/>
      </c>
      <c r="L416" s="101" t="str">
        <f t="shared" si="114"/>
        <v/>
      </c>
      <c r="M416" s="12"/>
      <c r="N416" s="12"/>
      <c r="O416" s="12"/>
      <c r="Q416" s="118">
        <f t="shared" si="104"/>
        <v>0</v>
      </c>
      <c r="R416" s="119">
        <f t="shared" si="105"/>
        <v>0</v>
      </c>
      <c r="S416" s="120">
        <v>365</v>
      </c>
      <c r="AC416" s="224">
        <v>10710</v>
      </c>
      <c r="AD416" s="225">
        <f t="shared" si="116"/>
        <v>0</v>
      </c>
      <c r="AE416" s="236">
        <f t="shared" si="117"/>
        <v>0</v>
      </c>
      <c r="AF416" s="225">
        <f t="shared" si="118"/>
        <v>0</v>
      </c>
      <c r="AG416" s="225">
        <f t="shared" si="119"/>
        <v>0</v>
      </c>
      <c r="AP416" s="132"/>
      <c r="AQ416" s="132"/>
    </row>
    <row r="417" spans="1:43" ht="15.5" hidden="1" x14ac:dyDescent="0.35">
      <c r="A417" s="197" t="str">
        <f t="shared" si="115"/>
        <v/>
      </c>
      <c r="B417" s="98" t="str">
        <f t="shared" si="126"/>
        <v/>
      </c>
      <c r="C417" s="99" t="str">
        <f t="shared" ref="C417:C418" si="132">IFERROR(IF(B417&lt;=$J$21,DATE(YEAR(C416),MONTH(C416)+1,DAY(C416)),""),"")</f>
        <v/>
      </c>
      <c r="D417" s="100" t="str">
        <f t="shared" ref="D417:D418" si="133">IF(B417="","",L416)</f>
        <v/>
      </c>
      <c r="E417" s="100" t="str">
        <f t="shared" ref="E417:E418" si="134">IFERROR(D417*TAXA,"")</f>
        <v/>
      </c>
      <c r="F417" s="100" t="str">
        <f t="shared" ref="F417:F418" si="135">IFERROR(D417+E417,"")</f>
        <v/>
      </c>
      <c r="G417" s="100" t="str">
        <f t="shared" ref="G417:G418" si="136">IFERROR(IF(C417="","",IF(SISTEMA_AMORTIZAÇÃO=PRICE_PRE,H417-E417,
IF(SISTEMA_AMORTIZAÇÃO=SAC_PRE,VALOR_CREDITO_BRUTO/PRAZO,
IF(SISTEMA_AMORTIZAÇÃO=SAC_POS,VALOR_CREDITO_BRUTO/PRAZO,)))),"")</f>
        <v/>
      </c>
      <c r="H417" s="100" t="str">
        <f t="shared" si="111"/>
        <v/>
      </c>
      <c r="I417" s="100" t="str">
        <f t="shared" si="112"/>
        <v/>
      </c>
      <c r="J417" s="100" t="str">
        <f t="shared" si="125"/>
        <v/>
      </c>
      <c r="K417" s="100" t="str">
        <f t="shared" si="113"/>
        <v/>
      </c>
      <c r="L417" s="101" t="str">
        <f t="shared" si="114"/>
        <v/>
      </c>
      <c r="M417" s="12"/>
      <c r="N417" s="12"/>
      <c r="O417" s="12"/>
      <c r="Q417" s="118">
        <f t="shared" si="104"/>
        <v>0</v>
      </c>
      <c r="R417" s="119">
        <f t="shared" si="105"/>
        <v>0</v>
      </c>
      <c r="S417" s="120">
        <v>365</v>
      </c>
      <c r="AC417" s="224">
        <v>10740</v>
      </c>
      <c r="AD417" s="225">
        <f t="shared" si="116"/>
        <v>0</v>
      </c>
      <c r="AE417" s="236">
        <f t="shared" si="117"/>
        <v>0</v>
      </c>
      <c r="AF417" s="225">
        <f t="shared" si="118"/>
        <v>0</v>
      </c>
      <c r="AG417" s="225">
        <f t="shared" si="119"/>
        <v>0</v>
      </c>
      <c r="AP417" s="132"/>
      <c r="AQ417" s="132"/>
    </row>
    <row r="418" spans="1:43" ht="15.5" hidden="1" x14ac:dyDescent="0.35">
      <c r="A418" s="197" t="str">
        <f t="shared" si="115"/>
        <v/>
      </c>
      <c r="B418" s="98" t="str">
        <f t="shared" si="126"/>
        <v/>
      </c>
      <c r="C418" s="99" t="str">
        <f t="shared" si="132"/>
        <v/>
      </c>
      <c r="D418" s="100" t="str">
        <f t="shared" si="133"/>
        <v/>
      </c>
      <c r="E418" s="100" t="str">
        <f t="shared" si="134"/>
        <v/>
      </c>
      <c r="F418" s="100" t="str">
        <f t="shared" si="135"/>
        <v/>
      </c>
      <c r="G418" s="100" t="str">
        <f t="shared" si="136"/>
        <v/>
      </c>
      <c r="H418" s="100" t="str">
        <f t="shared" si="111"/>
        <v/>
      </c>
      <c r="I418" s="100" t="str">
        <f t="shared" si="112"/>
        <v/>
      </c>
      <c r="J418" s="100" t="str">
        <f t="shared" si="125"/>
        <v/>
      </c>
      <c r="K418" s="100" t="str">
        <f t="shared" si="113"/>
        <v/>
      </c>
      <c r="L418" s="101" t="str">
        <f t="shared" si="114"/>
        <v/>
      </c>
      <c r="M418" s="12"/>
      <c r="N418" s="12"/>
      <c r="O418" s="12"/>
      <c r="Q418" s="118">
        <f t="shared" si="104"/>
        <v>0</v>
      </c>
      <c r="R418" s="119">
        <f t="shared" si="105"/>
        <v>0</v>
      </c>
      <c r="S418" s="120">
        <v>365</v>
      </c>
      <c r="AC418" s="224">
        <v>10770</v>
      </c>
      <c r="AD418" s="225">
        <f t="shared" si="116"/>
        <v>0</v>
      </c>
      <c r="AE418" s="236">
        <f t="shared" si="117"/>
        <v>0</v>
      </c>
      <c r="AF418" s="225">
        <f t="shared" si="118"/>
        <v>0</v>
      </c>
      <c r="AG418" s="225">
        <f t="shared" si="119"/>
        <v>0</v>
      </c>
      <c r="AP418" s="132"/>
      <c r="AQ418" s="132"/>
    </row>
    <row r="419" spans="1:43" ht="15.5" hidden="1" x14ac:dyDescent="0.35">
      <c r="A419" s="197" t="str">
        <f t="shared" si="115"/>
        <v/>
      </c>
      <c r="B419" s="98" t="str">
        <f t="shared" si="126"/>
        <v/>
      </c>
      <c r="C419" s="99" t="str">
        <f t="shared" ref="C419" si="137">IFERROR(IF(B419&lt;=$J$21,DATE(YEAR(C418),MONTH(C418)+1,DAY(C418)),""),"")</f>
        <v/>
      </c>
      <c r="D419" s="100" t="str">
        <f t="shared" ref="D419" si="138">IF(B419="","",L418)</f>
        <v/>
      </c>
      <c r="E419" s="100" t="str">
        <f t="shared" ref="E419" si="139">IFERROR(D419*TAXA,"")</f>
        <v/>
      </c>
      <c r="F419" s="100" t="str">
        <f t="shared" ref="F419" si="140">IFERROR(D419+E419,"")</f>
        <v/>
      </c>
      <c r="G419" s="100" t="str">
        <f t="shared" ref="G419" si="141">IFERROR(IF(C419="","",IF(SISTEMA_AMORTIZAÇÃO=PRICE_PRE,H419-E419,
IF(SISTEMA_AMORTIZAÇÃO=SAC_PRE,VALOR_CREDITO_BRUTO/PRAZO,
IF(SISTEMA_AMORTIZAÇÃO=SAC_POS,VALOR_CREDITO_BRUTO/PRAZO,)))),"")</f>
        <v/>
      </c>
      <c r="H419" s="100" t="str">
        <f t="shared" si="111"/>
        <v/>
      </c>
      <c r="I419" s="100" t="str">
        <f t="shared" si="112"/>
        <v/>
      </c>
      <c r="J419" s="100" t="str">
        <f t="shared" si="125"/>
        <v/>
      </c>
      <c r="K419" s="100" t="str">
        <f t="shared" si="113"/>
        <v/>
      </c>
      <c r="L419" s="101" t="str">
        <f t="shared" si="114"/>
        <v/>
      </c>
      <c r="M419" s="12"/>
      <c r="N419" s="12"/>
      <c r="O419" s="12"/>
      <c r="Q419" s="118">
        <f t="shared" si="104"/>
        <v>0</v>
      </c>
      <c r="R419" s="119">
        <f t="shared" si="105"/>
        <v>0</v>
      </c>
      <c r="S419" s="120">
        <v>365</v>
      </c>
      <c r="AC419" s="224">
        <v>10800</v>
      </c>
      <c r="AD419" s="225">
        <f t="shared" si="116"/>
        <v>0</v>
      </c>
      <c r="AE419" s="236">
        <f t="shared" si="117"/>
        <v>0</v>
      </c>
      <c r="AF419" s="225">
        <f t="shared" si="118"/>
        <v>0</v>
      </c>
      <c r="AG419" s="225">
        <f t="shared" si="119"/>
        <v>0</v>
      </c>
      <c r="AP419" s="132"/>
      <c r="AQ419" s="132"/>
    </row>
    <row r="420" spans="1:43" s="218" customFormat="1" ht="19" thickBot="1" x14ac:dyDescent="0.4">
      <c r="A420" s="217"/>
      <c r="B420" s="168" t="s">
        <v>97</v>
      </c>
      <c r="C420" s="159"/>
      <c r="D420" s="160"/>
      <c r="E420" s="125"/>
      <c r="F420" s="126" t="s">
        <v>98</v>
      </c>
      <c r="G420" s="125">
        <f ca="1">ROUNDDOWN(SUM(G60:G419),0)</f>
        <v>1039201</v>
      </c>
      <c r="H420" s="125"/>
      <c r="I420" s="125">
        <f ca="1">SUM(I60:I419)</f>
        <v>31151.719854995816</v>
      </c>
      <c r="J420" s="125">
        <f ca="1">SUM(J60:J419)</f>
        <v>26751</v>
      </c>
      <c r="K420" s="125"/>
      <c r="L420" s="127"/>
      <c r="M420" s="12"/>
      <c r="N420" s="12"/>
      <c r="O420" s="12"/>
      <c r="AC420" s="228"/>
      <c r="AD420" s="225">
        <f t="shared" si="116"/>
        <v>0</v>
      </c>
      <c r="AE420" s="228"/>
      <c r="AF420" s="231" t="s">
        <v>393</v>
      </c>
      <c r="AG420" s="232" t="s">
        <v>388</v>
      </c>
      <c r="AP420" s="219"/>
      <c r="AQ420" s="219"/>
    </row>
    <row r="421" spans="1:43" ht="6.75" customHeight="1" x14ac:dyDescent="0.35">
      <c r="A421" s="2"/>
      <c r="B421" s="12"/>
      <c r="C421" s="212"/>
      <c r="D421" s="213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AC421" s="224"/>
      <c r="AD421" s="233">
        <f ca="1">XIRR(AD59:AD419,AC59:AC419,0)+1</f>
        <v>1.1687634326171876</v>
      </c>
      <c r="AE421" s="224"/>
      <c r="AF421" s="233">
        <f ca="1">XIRR(AF59:AF419,AE59:AE419,0)+1</f>
        <v>1.1677708447265625</v>
      </c>
      <c r="AG421" s="233">
        <f ca="1">XIRR(AG59:AG299,AE59:AE299,0)+1</f>
        <v>1.1718743701171874</v>
      </c>
      <c r="AP421" s="132"/>
      <c r="AQ421" s="132"/>
    </row>
    <row r="422" spans="1:43" ht="21" customHeight="1" x14ac:dyDescent="0.35">
      <c r="A422" s="2"/>
      <c r="B422" s="12"/>
      <c r="C422" s="215" t="s">
        <v>392</v>
      </c>
      <c r="D422" s="214"/>
      <c r="E422" s="214"/>
      <c r="F422" s="214"/>
      <c r="G422" s="214"/>
      <c r="H422" s="214"/>
      <c r="I422" s="214"/>
      <c r="J422" s="214"/>
      <c r="K422" s="214"/>
      <c r="L422" s="12"/>
      <c r="M422" s="12"/>
      <c r="N422" s="12"/>
      <c r="O422" s="12"/>
      <c r="AC422" s="224"/>
      <c r="AD422" s="234">
        <f ca="1">(AD421)^(30/365)-1</f>
        <v>1.2899999963144282E-2</v>
      </c>
      <c r="AE422" s="224"/>
      <c r="AF422" s="234">
        <f ca="1">(AF421)^(30/365)-1</f>
        <v>1.2829269478249028E-2</v>
      </c>
      <c r="AG422" s="234">
        <f ca="1">(AG421)^(30/365)-1</f>
        <v>1.3121324583316385E-2</v>
      </c>
      <c r="AP422" s="132"/>
      <c r="AQ422" s="132"/>
    </row>
    <row r="423" spans="1:43" ht="21" customHeight="1" x14ac:dyDescent="0.35">
      <c r="A423" s="2"/>
      <c r="B423" s="12"/>
      <c r="C423" s="215" t="s">
        <v>377</v>
      </c>
      <c r="D423" s="214"/>
      <c r="E423" s="214"/>
      <c r="F423" s="214"/>
      <c r="G423" s="214"/>
      <c r="H423" s="214"/>
      <c r="I423" s="214"/>
      <c r="J423" s="214"/>
      <c r="K423" s="214"/>
      <c r="L423" s="12"/>
      <c r="M423" s="12"/>
      <c r="N423" s="12"/>
      <c r="O423" s="12"/>
      <c r="AC423" s="224"/>
      <c r="AD423" s="225"/>
      <c r="AE423" s="224"/>
      <c r="AF423" s="229"/>
      <c r="AG423" s="230"/>
      <c r="AP423" s="132"/>
      <c r="AQ423" s="132"/>
    </row>
    <row r="424" spans="1:43" ht="32.25" customHeight="1" x14ac:dyDescent="0.35">
      <c r="A424" s="2"/>
      <c r="B424" s="12"/>
      <c r="C424" s="277" t="s">
        <v>395</v>
      </c>
      <c r="D424" s="277"/>
      <c r="E424" s="277"/>
      <c r="F424" s="277"/>
      <c r="G424" s="277"/>
      <c r="H424" s="277"/>
      <c r="I424" s="277"/>
      <c r="J424" s="277"/>
      <c r="K424" s="277"/>
      <c r="L424" s="277"/>
      <c r="M424" s="12"/>
      <c r="N424" s="12"/>
      <c r="O424" s="12"/>
      <c r="AC424" s="224"/>
      <c r="AD424" s="225"/>
      <c r="AE424" s="224"/>
      <c r="AF424" s="235">
        <f ca="1">AF421-1</f>
        <v>0.16777084472656245</v>
      </c>
      <c r="AG424" s="235">
        <f ca="1">AG421-1</f>
        <v>0.17187437011718742</v>
      </c>
      <c r="AP424" s="132"/>
      <c r="AQ424" s="132"/>
    </row>
    <row r="425" spans="1:43" ht="20.25" customHeight="1" x14ac:dyDescent="0.35">
      <c r="A425" s="2"/>
      <c r="B425" s="12"/>
      <c r="C425" s="215" t="s">
        <v>396</v>
      </c>
      <c r="D425" s="213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AC425" s="224"/>
      <c r="AD425" s="224"/>
      <c r="AE425" s="224"/>
      <c r="AF425" s="92"/>
      <c r="AG425" s="92"/>
      <c r="AP425" s="132"/>
      <c r="AQ425" s="132"/>
    </row>
    <row r="426" spans="1:43" ht="6.75" customHeight="1" x14ac:dyDescent="0.35">
      <c r="A426" s="2"/>
      <c r="B426" s="12"/>
      <c r="C426" s="212"/>
      <c r="D426" s="213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AC426" s="224"/>
      <c r="AD426" s="233" t="e">
        <f ca="1">XIRR(AD64:AD424,AC64:AC424,0)+1</f>
        <v>#NUM!</v>
      </c>
      <c r="AE426" s="224"/>
      <c r="AF426" s="233" t="e">
        <f ca="1">XIRR(AF64:AF424,AE64:AE424,0)+1</f>
        <v>#VALUE!</v>
      </c>
      <c r="AG426" s="233" t="e">
        <f ca="1">XIRR(AG64:AG304,AE64:AE304,0)+1</f>
        <v>#NUM!</v>
      </c>
      <c r="AP426" s="132"/>
      <c r="AQ426" s="132"/>
    </row>
    <row r="427" spans="1:43" ht="15.5" x14ac:dyDescent="0.35">
      <c r="AP427" s="132"/>
      <c r="AQ427" s="132"/>
    </row>
    <row r="428" spans="1:43" ht="15.5" x14ac:dyDescent="0.35">
      <c r="AP428" s="132"/>
      <c r="AQ428" s="132"/>
    </row>
    <row r="429" spans="1:43" ht="15.5" x14ac:dyDescent="0.35">
      <c r="AP429" s="132"/>
      <c r="AQ429" s="132"/>
    </row>
    <row r="430" spans="1:43" ht="15.5" x14ac:dyDescent="0.35">
      <c r="AP430" s="132"/>
      <c r="AQ430" s="132"/>
    </row>
    <row r="431" spans="1:43" ht="15.5" x14ac:dyDescent="0.35">
      <c r="AP431" s="132"/>
      <c r="AQ431" s="132"/>
    </row>
    <row r="432" spans="1:43" ht="15.5" x14ac:dyDescent="0.35">
      <c r="AP432" s="132"/>
      <c r="AQ432" s="132"/>
    </row>
    <row r="433" spans="42:43" ht="15.5" x14ac:dyDescent="0.35">
      <c r="AP433" s="132"/>
      <c r="AQ433" s="132"/>
    </row>
    <row r="434" spans="42:43" ht="15.5" x14ac:dyDescent="0.35">
      <c r="AP434" s="132"/>
      <c r="AQ434" s="132"/>
    </row>
    <row r="435" spans="42:43" ht="15.5" x14ac:dyDescent="0.35">
      <c r="AP435" s="132"/>
      <c r="AQ435" s="132"/>
    </row>
    <row r="436" spans="42:43" ht="15.5" x14ac:dyDescent="0.35">
      <c r="AP436" s="132"/>
      <c r="AQ436" s="132"/>
    </row>
    <row r="437" spans="42:43" ht="15.5" x14ac:dyDescent="0.35">
      <c r="AP437" s="132"/>
      <c r="AQ437" s="132"/>
    </row>
    <row r="438" spans="42:43" ht="15.5" x14ac:dyDescent="0.35">
      <c r="AP438" s="132"/>
      <c r="AQ438" s="132"/>
    </row>
    <row r="439" spans="42:43" ht="15.5" x14ac:dyDescent="0.35">
      <c r="AP439" s="132"/>
      <c r="AQ439" s="132"/>
    </row>
    <row r="440" spans="42:43" ht="15.5" x14ac:dyDescent="0.35">
      <c r="AP440" s="132"/>
      <c r="AQ440" s="132"/>
    </row>
    <row r="441" spans="42:43" ht="15.5" x14ac:dyDescent="0.35">
      <c r="AP441" s="132"/>
      <c r="AQ441" s="132"/>
    </row>
    <row r="442" spans="42:43" ht="15.5" x14ac:dyDescent="0.35">
      <c r="AP442" s="132"/>
      <c r="AQ442" s="132"/>
    </row>
    <row r="443" spans="42:43" ht="15.5" x14ac:dyDescent="0.35">
      <c r="AP443" s="132"/>
      <c r="AQ443" s="132"/>
    </row>
    <row r="444" spans="42:43" ht="15.5" x14ac:dyDescent="0.35">
      <c r="AP444" s="132"/>
      <c r="AQ444" s="132"/>
    </row>
    <row r="445" spans="42:43" ht="15.5" x14ac:dyDescent="0.35">
      <c r="AP445" s="132"/>
      <c r="AQ445" s="132"/>
    </row>
    <row r="446" spans="42:43" ht="15.5" x14ac:dyDescent="0.35">
      <c r="AP446" s="132"/>
      <c r="AQ446" s="132"/>
    </row>
    <row r="447" spans="42:43" ht="15.5" x14ac:dyDescent="0.35">
      <c r="AP447" s="132"/>
      <c r="AQ447" s="132"/>
    </row>
    <row r="448" spans="42:43" ht="15.5" x14ac:dyDescent="0.35">
      <c r="AP448" s="132"/>
      <c r="AQ448" s="132"/>
    </row>
    <row r="449" spans="42:43" ht="15.5" x14ac:dyDescent="0.35">
      <c r="AP449" s="132"/>
      <c r="AQ449" s="132"/>
    </row>
    <row r="450" spans="42:43" ht="15.5" x14ac:dyDescent="0.35">
      <c r="AP450" s="132"/>
      <c r="AQ450" s="132"/>
    </row>
    <row r="451" spans="42:43" ht="15.5" x14ac:dyDescent="0.35">
      <c r="AP451" s="132"/>
      <c r="AQ451" s="132"/>
    </row>
    <row r="452" spans="42:43" ht="15.5" x14ac:dyDescent="0.35">
      <c r="AP452" s="132"/>
      <c r="AQ452" s="132"/>
    </row>
    <row r="453" spans="42:43" ht="15.5" x14ac:dyDescent="0.35">
      <c r="AP453" s="132"/>
      <c r="AQ453" s="132"/>
    </row>
    <row r="454" spans="42:43" ht="15.5" x14ac:dyDescent="0.35">
      <c r="AP454" s="132"/>
      <c r="AQ454" s="132"/>
    </row>
    <row r="455" spans="42:43" ht="15.5" x14ac:dyDescent="0.35">
      <c r="AP455" s="132"/>
      <c r="AQ455" s="132"/>
    </row>
    <row r="456" spans="42:43" ht="15.5" x14ac:dyDescent="0.35">
      <c r="AP456" s="132"/>
      <c r="AQ456" s="132"/>
    </row>
    <row r="457" spans="42:43" ht="15.5" x14ac:dyDescent="0.35">
      <c r="AP457" s="132"/>
      <c r="AQ457" s="132"/>
    </row>
    <row r="458" spans="42:43" ht="15.5" x14ac:dyDescent="0.35">
      <c r="AP458" s="132"/>
      <c r="AQ458" s="132"/>
    </row>
    <row r="459" spans="42:43" ht="15.5" x14ac:dyDescent="0.35">
      <c r="AP459" s="132"/>
      <c r="AQ459" s="132"/>
    </row>
    <row r="460" spans="42:43" ht="15.5" x14ac:dyDescent="0.35">
      <c r="AP460" s="132"/>
      <c r="AQ460" s="132"/>
    </row>
    <row r="461" spans="42:43" ht="15.5" x14ac:dyDescent="0.35">
      <c r="AP461" s="132"/>
      <c r="AQ461" s="132"/>
    </row>
    <row r="462" spans="42:43" ht="15.5" x14ac:dyDescent="0.35">
      <c r="AP462" s="132"/>
      <c r="AQ462" s="132"/>
    </row>
    <row r="463" spans="42:43" ht="15.5" x14ac:dyDescent="0.35">
      <c r="AP463" s="132"/>
      <c r="AQ463" s="132"/>
    </row>
    <row r="464" spans="42:43" ht="15.5" x14ac:dyDescent="0.35">
      <c r="AP464" s="132"/>
      <c r="AQ464" s="132"/>
    </row>
    <row r="465" spans="42:43" ht="15.5" x14ac:dyDescent="0.35">
      <c r="AP465" s="132"/>
      <c r="AQ465" s="132"/>
    </row>
    <row r="466" spans="42:43" ht="15.5" x14ac:dyDescent="0.35">
      <c r="AP466" s="132"/>
      <c r="AQ466" s="132"/>
    </row>
    <row r="467" spans="42:43" ht="15.5" x14ac:dyDescent="0.35">
      <c r="AP467" s="132"/>
      <c r="AQ467" s="132"/>
    </row>
    <row r="468" spans="42:43" ht="15.5" x14ac:dyDescent="0.35">
      <c r="AP468" s="132"/>
      <c r="AQ468" s="132"/>
    </row>
    <row r="469" spans="42:43" ht="15.5" x14ac:dyDescent="0.35">
      <c r="AP469" s="132"/>
      <c r="AQ469" s="132"/>
    </row>
    <row r="470" spans="42:43" ht="15.5" x14ac:dyDescent="0.35">
      <c r="AP470" s="132"/>
      <c r="AQ470" s="132"/>
    </row>
    <row r="471" spans="42:43" ht="15.5" x14ac:dyDescent="0.35">
      <c r="AP471" s="132"/>
      <c r="AQ471" s="132"/>
    </row>
    <row r="472" spans="42:43" ht="15.5" x14ac:dyDescent="0.35">
      <c r="AP472" s="132"/>
      <c r="AQ472" s="132"/>
    </row>
    <row r="473" spans="42:43" ht="15.5" x14ac:dyDescent="0.35">
      <c r="AP473" s="132"/>
      <c r="AQ473" s="132"/>
    </row>
    <row r="474" spans="42:43" ht="15.5" x14ac:dyDescent="0.35">
      <c r="AP474" s="132"/>
      <c r="AQ474" s="132"/>
    </row>
    <row r="475" spans="42:43" ht="15.5" x14ac:dyDescent="0.35">
      <c r="AP475" s="132"/>
      <c r="AQ475" s="132"/>
    </row>
    <row r="476" spans="42:43" ht="15.5" x14ac:dyDescent="0.35">
      <c r="AP476" s="132"/>
      <c r="AQ476" s="132"/>
    </row>
    <row r="477" spans="42:43" ht="15.5" x14ac:dyDescent="0.35">
      <c r="AP477" s="132"/>
      <c r="AQ477" s="132"/>
    </row>
    <row r="478" spans="42:43" ht="15.5" x14ac:dyDescent="0.35">
      <c r="AP478" s="132"/>
      <c r="AQ478" s="132"/>
    </row>
    <row r="479" spans="42:43" ht="15.5" x14ac:dyDescent="0.35">
      <c r="AP479" s="132"/>
      <c r="AQ479" s="132"/>
    </row>
    <row r="480" spans="42:43" ht="15.5" x14ac:dyDescent="0.35">
      <c r="AP480" s="132"/>
      <c r="AQ480" s="132"/>
    </row>
    <row r="481" spans="42:43" ht="15.5" x14ac:dyDescent="0.35">
      <c r="AP481" s="132"/>
      <c r="AQ481" s="132"/>
    </row>
    <row r="482" spans="42:43" ht="15.5" x14ac:dyDescent="0.35">
      <c r="AP482" s="132"/>
      <c r="AQ482" s="132"/>
    </row>
    <row r="483" spans="42:43" ht="15.5" x14ac:dyDescent="0.35">
      <c r="AP483" s="132"/>
      <c r="AQ483" s="132"/>
    </row>
    <row r="484" spans="42:43" ht="15.5" x14ac:dyDescent="0.35">
      <c r="AP484" s="132"/>
      <c r="AQ484" s="132"/>
    </row>
    <row r="485" spans="42:43" ht="15.5" x14ac:dyDescent="0.35">
      <c r="AP485" s="132"/>
      <c r="AQ485" s="132"/>
    </row>
    <row r="486" spans="42:43" ht="15.5" x14ac:dyDescent="0.35">
      <c r="AP486" s="132"/>
      <c r="AQ486" s="132"/>
    </row>
    <row r="487" spans="42:43" ht="15.5" x14ac:dyDescent="0.35">
      <c r="AP487" s="132"/>
      <c r="AQ487" s="132"/>
    </row>
    <row r="488" spans="42:43" ht="15.5" x14ac:dyDescent="0.35">
      <c r="AP488" s="132"/>
      <c r="AQ488" s="132"/>
    </row>
    <row r="489" spans="42:43" ht="15.5" x14ac:dyDescent="0.35">
      <c r="AP489" s="132"/>
      <c r="AQ489" s="132"/>
    </row>
    <row r="490" spans="42:43" ht="15.5" x14ac:dyDescent="0.35">
      <c r="AP490" s="132"/>
      <c r="AQ490" s="132"/>
    </row>
    <row r="491" spans="42:43" ht="15.5" x14ac:dyDescent="0.35">
      <c r="AP491" s="132"/>
      <c r="AQ491" s="132"/>
    </row>
    <row r="492" spans="42:43" ht="15.5" x14ac:dyDescent="0.35">
      <c r="AP492" s="132"/>
      <c r="AQ492" s="132"/>
    </row>
    <row r="493" spans="42:43" ht="15.5" x14ac:dyDescent="0.35">
      <c r="AP493" s="132"/>
      <c r="AQ493" s="132"/>
    </row>
    <row r="494" spans="42:43" ht="15.5" x14ac:dyDescent="0.35">
      <c r="AP494" s="132"/>
      <c r="AQ494" s="132"/>
    </row>
    <row r="495" spans="42:43" ht="15.5" x14ac:dyDescent="0.35">
      <c r="AP495" s="132"/>
      <c r="AQ495" s="132"/>
    </row>
    <row r="496" spans="42:43" ht="15.5" x14ac:dyDescent="0.35">
      <c r="AP496" s="132"/>
      <c r="AQ496" s="132"/>
    </row>
    <row r="497" spans="42:43" ht="15.5" x14ac:dyDescent="0.35">
      <c r="AP497" s="132"/>
      <c r="AQ497" s="132"/>
    </row>
    <row r="498" spans="42:43" ht="15.5" x14ac:dyDescent="0.35">
      <c r="AP498" s="132"/>
      <c r="AQ498" s="132"/>
    </row>
    <row r="499" spans="42:43" ht="15.5" x14ac:dyDescent="0.35">
      <c r="AP499" s="132"/>
      <c r="AQ499" s="132"/>
    </row>
    <row r="500" spans="42:43" ht="15.5" x14ac:dyDescent="0.35">
      <c r="AP500" s="132"/>
      <c r="AQ500" s="132"/>
    </row>
    <row r="501" spans="42:43" ht="15.5" x14ac:dyDescent="0.35">
      <c r="AP501" s="132"/>
      <c r="AQ501" s="132"/>
    </row>
    <row r="502" spans="42:43" ht="15.5" x14ac:dyDescent="0.35">
      <c r="AP502" s="132"/>
      <c r="AQ502" s="132"/>
    </row>
    <row r="503" spans="42:43" ht="15.5" x14ac:dyDescent="0.35">
      <c r="AP503" s="132"/>
      <c r="AQ503" s="132"/>
    </row>
    <row r="504" spans="42:43" ht="15.5" x14ac:dyDescent="0.35">
      <c r="AP504" s="132"/>
      <c r="AQ504" s="132"/>
    </row>
    <row r="505" spans="42:43" ht="15.5" x14ac:dyDescent="0.35">
      <c r="AP505" s="132"/>
      <c r="AQ505" s="132"/>
    </row>
    <row r="506" spans="42:43" ht="15.5" x14ac:dyDescent="0.35">
      <c r="AP506" s="132"/>
      <c r="AQ506" s="132"/>
    </row>
    <row r="507" spans="42:43" ht="15.5" x14ac:dyDescent="0.35">
      <c r="AP507" s="132"/>
      <c r="AQ507" s="132"/>
    </row>
    <row r="508" spans="42:43" ht="15.5" x14ac:dyDescent="0.35">
      <c r="AP508" s="132"/>
      <c r="AQ508" s="132"/>
    </row>
    <row r="509" spans="42:43" ht="15.5" x14ac:dyDescent="0.35">
      <c r="AP509" s="132"/>
      <c r="AQ509" s="132"/>
    </row>
    <row r="510" spans="42:43" ht="15.5" x14ac:dyDescent="0.35">
      <c r="AP510" s="132"/>
      <c r="AQ510" s="132"/>
    </row>
    <row r="511" spans="42:43" ht="15.5" x14ac:dyDescent="0.35">
      <c r="AP511" s="132"/>
      <c r="AQ511" s="132"/>
    </row>
    <row r="512" spans="42:43" ht="15.5" x14ac:dyDescent="0.35">
      <c r="AP512" s="132"/>
      <c r="AQ512" s="132"/>
    </row>
    <row r="513" spans="42:43" ht="15.5" x14ac:dyDescent="0.35">
      <c r="AP513" s="132"/>
      <c r="AQ513" s="132"/>
    </row>
    <row r="514" spans="42:43" ht="15.5" x14ac:dyDescent="0.35">
      <c r="AP514" s="132"/>
      <c r="AQ514" s="132"/>
    </row>
    <row r="515" spans="42:43" ht="15.5" x14ac:dyDescent="0.35">
      <c r="AP515" s="132"/>
      <c r="AQ515" s="132"/>
    </row>
    <row r="516" spans="42:43" ht="15.5" x14ac:dyDescent="0.35">
      <c r="AP516" s="132"/>
      <c r="AQ516" s="132"/>
    </row>
    <row r="517" spans="42:43" ht="15.5" x14ac:dyDescent="0.35">
      <c r="AP517" s="132"/>
      <c r="AQ517" s="132"/>
    </row>
    <row r="518" spans="42:43" ht="15.5" x14ac:dyDescent="0.35">
      <c r="AP518" s="132"/>
      <c r="AQ518" s="132"/>
    </row>
    <row r="519" spans="42:43" ht="15.5" x14ac:dyDescent="0.35">
      <c r="AP519" s="132"/>
      <c r="AQ519" s="132"/>
    </row>
    <row r="520" spans="42:43" ht="15.5" x14ac:dyDescent="0.35">
      <c r="AP520" s="132"/>
      <c r="AQ520" s="132"/>
    </row>
    <row r="521" spans="42:43" ht="15.5" x14ac:dyDescent="0.35">
      <c r="AP521" s="132"/>
      <c r="AQ521" s="132"/>
    </row>
    <row r="522" spans="42:43" ht="15.5" x14ac:dyDescent="0.35">
      <c r="AP522" s="132"/>
    </row>
    <row r="523" spans="42:43" ht="15.5" x14ac:dyDescent="0.35">
      <c r="AP523" s="132"/>
    </row>
    <row r="524" spans="42:43" ht="15.5" x14ac:dyDescent="0.35">
      <c r="AP524" s="132"/>
    </row>
    <row r="525" spans="42:43" ht="15.5" x14ac:dyDescent="0.35">
      <c r="AP525" s="132"/>
    </row>
    <row r="526" spans="42:43" ht="15.5" x14ac:dyDescent="0.35">
      <c r="AP526" s="132"/>
    </row>
    <row r="527" spans="42:43" ht="15.5" x14ac:dyDescent="0.35">
      <c r="AP527" s="132"/>
    </row>
    <row r="528" spans="42:43" ht="15.5" x14ac:dyDescent="0.35">
      <c r="AP528" s="132"/>
    </row>
    <row r="529" spans="42:42" ht="15.5" x14ac:dyDescent="0.35">
      <c r="AP529" s="132"/>
    </row>
    <row r="530" spans="42:42" ht="15.5" x14ac:dyDescent="0.35">
      <c r="AP530" s="132"/>
    </row>
    <row r="531" spans="42:42" ht="15.5" x14ac:dyDescent="0.35">
      <c r="AP531" s="132"/>
    </row>
    <row r="532" spans="42:42" ht="15.5" x14ac:dyDescent="0.35">
      <c r="AP532" s="132"/>
    </row>
    <row r="533" spans="42:42" ht="15.5" x14ac:dyDescent="0.35">
      <c r="AP533" s="132"/>
    </row>
    <row r="534" spans="42:42" ht="15.5" x14ac:dyDescent="0.35">
      <c r="AP534" s="132"/>
    </row>
    <row r="535" spans="42:42" ht="15.5" x14ac:dyDescent="0.35">
      <c r="AP535" s="132"/>
    </row>
    <row r="536" spans="42:42" ht="15.5" x14ac:dyDescent="0.35">
      <c r="AP536" s="132"/>
    </row>
    <row r="537" spans="42:42" ht="15.5" x14ac:dyDescent="0.35">
      <c r="AP537" s="132"/>
    </row>
    <row r="538" spans="42:42" ht="15.5" x14ac:dyDescent="0.35">
      <c r="AP538" s="132"/>
    </row>
    <row r="539" spans="42:42" ht="15.5" x14ac:dyDescent="0.35">
      <c r="AP539" s="132"/>
    </row>
    <row r="540" spans="42:42" ht="15.5" x14ac:dyDescent="0.35">
      <c r="AP540" s="132"/>
    </row>
    <row r="541" spans="42:42" ht="15.5" x14ac:dyDescent="0.35">
      <c r="AP541" s="132"/>
    </row>
    <row r="542" spans="42:42" ht="15.5" x14ac:dyDescent="0.35">
      <c r="AP542" s="132"/>
    </row>
    <row r="543" spans="42:42" ht="15.5" x14ac:dyDescent="0.35">
      <c r="AP543" s="132"/>
    </row>
    <row r="544" spans="42:42" ht="15.5" x14ac:dyDescent="0.35">
      <c r="AP544" s="132"/>
    </row>
    <row r="545" spans="42:42" ht="15.5" x14ac:dyDescent="0.35">
      <c r="AP545" s="132"/>
    </row>
    <row r="546" spans="42:42" ht="15.5" x14ac:dyDescent="0.35">
      <c r="AP546" s="132"/>
    </row>
    <row r="547" spans="42:42" ht="15.5" x14ac:dyDescent="0.35">
      <c r="AP547" s="132"/>
    </row>
    <row r="548" spans="42:42" ht="15.5" x14ac:dyDescent="0.35">
      <c r="AP548" s="132"/>
    </row>
    <row r="549" spans="42:42" ht="15.5" x14ac:dyDescent="0.35">
      <c r="AP549" s="132"/>
    </row>
    <row r="550" spans="42:42" ht="15.5" x14ac:dyDescent="0.35">
      <c r="AP550" s="132"/>
    </row>
    <row r="551" spans="42:42" ht="15.5" x14ac:dyDescent="0.35">
      <c r="AP551" s="132"/>
    </row>
    <row r="552" spans="42:42" ht="15.5" x14ac:dyDescent="0.35">
      <c r="AP552" s="132"/>
    </row>
    <row r="553" spans="42:42" ht="15.5" x14ac:dyDescent="0.35">
      <c r="AP553" s="132"/>
    </row>
    <row r="554" spans="42:42" ht="15.5" x14ac:dyDescent="0.35">
      <c r="AP554" s="132"/>
    </row>
    <row r="555" spans="42:42" ht="15.5" x14ac:dyDescent="0.35">
      <c r="AP555" s="132"/>
    </row>
    <row r="556" spans="42:42" ht="15.5" x14ac:dyDescent="0.35">
      <c r="AP556" s="132"/>
    </row>
    <row r="557" spans="42:42" ht="15.5" x14ac:dyDescent="0.35">
      <c r="AP557" s="132"/>
    </row>
    <row r="558" spans="42:42" ht="15.5" x14ac:dyDescent="0.35">
      <c r="AP558" s="132"/>
    </row>
    <row r="559" spans="42:42" ht="15.5" x14ac:dyDescent="0.35">
      <c r="AP559" s="132"/>
    </row>
    <row r="560" spans="42:42" ht="15.5" x14ac:dyDescent="0.35">
      <c r="AP560" s="132"/>
    </row>
    <row r="561" spans="42:42" ht="15.5" x14ac:dyDescent="0.35">
      <c r="AP561" s="132"/>
    </row>
    <row r="562" spans="42:42" ht="15.5" x14ac:dyDescent="0.35">
      <c r="AP562" s="132"/>
    </row>
    <row r="563" spans="42:42" ht="15.5" x14ac:dyDescent="0.35">
      <c r="AP563" s="132"/>
    </row>
    <row r="564" spans="42:42" ht="15.5" x14ac:dyDescent="0.35">
      <c r="AP564" s="132"/>
    </row>
    <row r="565" spans="42:42" ht="15.5" x14ac:dyDescent="0.35">
      <c r="AP565" s="132"/>
    </row>
    <row r="566" spans="42:42" ht="15.5" x14ac:dyDescent="0.35">
      <c r="AP566" s="132"/>
    </row>
    <row r="567" spans="42:42" ht="15.5" x14ac:dyDescent="0.35">
      <c r="AP567" s="132"/>
    </row>
    <row r="568" spans="42:42" ht="15.5" x14ac:dyDescent="0.35">
      <c r="AP568" s="132"/>
    </row>
    <row r="569" spans="42:42" ht="15.5" x14ac:dyDescent="0.35">
      <c r="AP569" s="132"/>
    </row>
    <row r="570" spans="42:42" ht="15.5" x14ac:dyDescent="0.35">
      <c r="AP570" s="132"/>
    </row>
    <row r="571" spans="42:42" ht="15.5" x14ac:dyDescent="0.35">
      <c r="AP571" s="132"/>
    </row>
    <row r="572" spans="42:42" ht="15.5" x14ac:dyDescent="0.35">
      <c r="AP572" s="132"/>
    </row>
    <row r="573" spans="42:42" ht="15.5" x14ac:dyDescent="0.35">
      <c r="AP573" s="132"/>
    </row>
    <row r="574" spans="42:42" ht="15.5" x14ac:dyDescent="0.35">
      <c r="AP574" s="132"/>
    </row>
    <row r="575" spans="42:42" ht="15.5" x14ac:dyDescent="0.35">
      <c r="AP575" s="132"/>
    </row>
    <row r="576" spans="42:42" ht="15.5" x14ac:dyDescent="0.35">
      <c r="AP576" s="132"/>
    </row>
    <row r="577" spans="42:42" ht="15.5" x14ac:dyDescent="0.35">
      <c r="AP577" s="132"/>
    </row>
    <row r="578" spans="42:42" ht="15.5" x14ac:dyDescent="0.35">
      <c r="AP578" s="132"/>
    </row>
    <row r="579" spans="42:42" ht="15.5" x14ac:dyDescent="0.35">
      <c r="AP579" s="132"/>
    </row>
    <row r="580" spans="42:42" ht="15.5" x14ac:dyDescent="0.35">
      <c r="AP580" s="132"/>
    </row>
    <row r="581" spans="42:42" ht="15.5" x14ac:dyDescent="0.35">
      <c r="AP581" s="132"/>
    </row>
    <row r="582" spans="42:42" ht="15.5" x14ac:dyDescent="0.35">
      <c r="AP582" s="132"/>
    </row>
    <row r="583" spans="42:42" ht="15.5" x14ac:dyDescent="0.35">
      <c r="AP583" s="132"/>
    </row>
    <row r="584" spans="42:42" ht="15.5" x14ac:dyDescent="0.35">
      <c r="AP584" s="132"/>
    </row>
    <row r="585" spans="42:42" ht="15.5" x14ac:dyDescent="0.35">
      <c r="AP585" s="132"/>
    </row>
    <row r="586" spans="42:42" ht="15.5" x14ac:dyDescent="0.35">
      <c r="AP586" s="132"/>
    </row>
    <row r="587" spans="42:42" ht="15.5" x14ac:dyDescent="0.35">
      <c r="AP587" s="132"/>
    </row>
    <row r="588" spans="42:42" ht="15.5" x14ac:dyDescent="0.35">
      <c r="AP588" s="132"/>
    </row>
    <row r="589" spans="42:42" ht="15.5" x14ac:dyDescent="0.35">
      <c r="AP589" s="132"/>
    </row>
    <row r="590" spans="42:42" ht="15.5" x14ac:dyDescent="0.35">
      <c r="AP590" s="132"/>
    </row>
    <row r="591" spans="42:42" ht="15.5" x14ac:dyDescent="0.35">
      <c r="AP591" s="132"/>
    </row>
    <row r="592" spans="42:42" ht="15.5" x14ac:dyDescent="0.35">
      <c r="AP592" s="132"/>
    </row>
    <row r="593" spans="42:42" ht="15.5" x14ac:dyDescent="0.35">
      <c r="AP593" s="132"/>
    </row>
    <row r="594" spans="42:42" ht="15.5" x14ac:dyDescent="0.35">
      <c r="AP594" s="132"/>
    </row>
    <row r="595" spans="42:42" ht="15.5" x14ac:dyDescent="0.35">
      <c r="AP595" s="132"/>
    </row>
    <row r="596" spans="42:42" ht="15.5" x14ac:dyDescent="0.35">
      <c r="AP596" s="132"/>
    </row>
    <row r="597" spans="42:42" ht="15.5" x14ac:dyDescent="0.35">
      <c r="AP597" s="132"/>
    </row>
    <row r="598" spans="42:42" ht="15.5" x14ac:dyDescent="0.35">
      <c r="AP598" s="132"/>
    </row>
    <row r="599" spans="42:42" ht="15.5" x14ac:dyDescent="0.35">
      <c r="AP599" s="132"/>
    </row>
    <row r="600" spans="42:42" ht="15.5" x14ac:dyDescent="0.35">
      <c r="AP600" s="132"/>
    </row>
    <row r="601" spans="42:42" ht="15.5" x14ac:dyDescent="0.35">
      <c r="AP601" s="132"/>
    </row>
    <row r="602" spans="42:42" ht="15.5" x14ac:dyDescent="0.35">
      <c r="AP602" s="132"/>
    </row>
    <row r="603" spans="42:42" ht="15.5" x14ac:dyDescent="0.35">
      <c r="AP603" s="132"/>
    </row>
    <row r="604" spans="42:42" ht="15.5" x14ac:dyDescent="0.35">
      <c r="AP604" s="132"/>
    </row>
    <row r="605" spans="42:42" ht="15.5" x14ac:dyDescent="0.35">
      <c r="AP605" s="132"/>
    </row>
    <row r="606" spans="42:42" ht="15.5" x14ac:dyDescent="0.35">
      <c r="AP606" s="132"/>
    </row>
    <row r="607" spans="42:42" ht="15.5" x14ac:dyDescent="0.35">
      <c r="AP607" s="132"/>
    </row>
    <row r="608" spans="42:42" ht="15.5" x14ac:dyDescent="0.35">
      <c r="AP608" s="132"/>
    </row>
    <row r="609" spans="42:42" ht="15.5" x14ac:dyDescent="0.35">
      <c r="AP609" s="132"/>
    </row>
    <row r="610" spans="42:42" ht="15.5" x14ac:dyDescent="0.35">
      <c r="AP610" s="132"/>
    </row>
    <row r="611" spans="42:42" ht="15.5" x14ac:dyDescent="0.35">
      <c r="AP611" s="132"/>
    </row>
    <row r="612" spans="42:42" ht="15.5" x14ac:dyDescent="0.35">
      <c r="AP612" s="132"/>
    </row>
    <row r="613" spans="42:42" ht="15.5" x14ac:dyDescent="0.35">
      <c r="AP613" s="132"/>
    </row>
    <row r="614" spans="42:42" ht="15.5" x14ac:dyDescent="0.35">
      <c r="AP614" s="132"/>
    </row>
    <row r="615" spans="42:42" ht="15.5" x14ac:dyDescent="0.35">
      <c r="AP615" s="132"/>
    </row>
    <row r="616" spans="42:42" ht="15.5" x14ac:dyDescent="0.35">
      <c r="AP616" s="132"/>
    </row>
    <row r="617" spans="42:42" ht="15.5" x14ac:dyDescent="0.35">
      <c r="AP617" s="132"/>
    </row>
    <row r="618" spans="42:42" ht="15.5" x14ac:dyDescent="0.35">
      <c r="AP618" s="132"/>
    </row>
    <row r="619" spans="42:42" ht="15.5" x14ac:dyDescent="0.35">
      <c r="AP619" s="132"/>
    </row>
    <row r="620" spans="42:42" ht="15.5" x14ac:dyDescent="0.35">
      <c r="AP620" s="132"/>
    </row>
    <row r="621" spans="42:42" ht="15.5" x14ac:dyDescent="0.35">
      <c r="AP621" s="132"/>
    </row>
    <row r="622" spans="42:42" ht="15.5" x14ac:dyDescent="0.35">
      <c r="AP622" s="132"/>
    </row>
    <row r="623" spans="42:42" ht="15.5" x14ac:dyDescent="0.35">
      <c r="AP623" s="132"/>
    </row>
    <row r="624" spans="42:42" ht="15.5" x14ac:dyDescent="0.35">
      <c r="AP624" s="132"/>
    </row>
    <row r="625" spans="42:42" ht="15.5" x14ac:dyDescent="0.35">
      <c r="AP625" s="132"/>
    </row>
    <row r="626" spans="42:42" ht="15.5" x14ac:dyDescent="0.35">
      <c r="AP626" s="132"/>
    </row>
    <row r="627" spans="42:42" ht="15.5" x14ac:dyDescent="0.35">
      <c r="AP627" s="132"/>
    </row>
    <row r="628" spans="42:42" ht="15.5" x14ac:dyDescent="0.35">
      <c r="AP628" s="132"/>
    </row>
    <row r="629" spans="42:42" ht="15.5" x14ac:dyDescent="0.35">
      <c r="AP629" s="132"/>
    </row>
    <row r="630" spans="42:42" ht="15.5" x14ac:dyDescent="0.35">
      <c r="AP630" s="132"/>
    </row>
    <row r="631" spans="42:42" ht="15.5" x14ac:dyDescent="0.35">
      <c r="AP631" s="132"/>
    </row>
    <row r="632" spans="42:42" ht="15.5" x14ac:dyDescent="0.35">
      <c r="AP632" s="132"/>
    </row>
    <row r="633" spans="42:42" ht="15.5" x14ac:dyDescent="0.35">
      <c r="AP633" s="132"/>
    </row>
    <row r="634" spans="42:42" ht="15.5" x14ac:dyDescent="0.35">
      <c r="AP634" s="132"/>
    </row>
    <row r="635" spans="42:42" ht="15.5" x14ac:dyDescent="0.35">
      <c r="AP635" s="132"/>
    </row>
    <row r="636" spans="42:42" ht="15.5" x14ac:dyDescent="0.35">
      <c r="AP636" s="132"/>
    </row>
    <row r="637" spans="42:42" ht="15.5" x14ac:dyDescent="0.35">
      <c r="AP637" s="132"/>
    </row>
    <row r="638" spans="42:42" ht="15.5" x14ac:dyDescent="0.35">
      <c r="AP638" s="132"/>
    </row>
    <row r="639" spans="42:42" ht="15.5" x14ac:dyDescent="0.35">
      <c r="AP639" s="132"/>
    </row>
    <row r="640" spans="42:42" ht="15.5" x14ac:dyDescent="0.35">
      <c r="AP640" s="132"/>
    </row>
    <row r="641" spans="42:42" ht="15.5" x14ac:dyDescent="0.35">
      <c r="AP641" s="132"/>
    </row>
    <row r="642" spans="42:42" ht="15.5" x14ac:dyDescent="0.35">
      <c r="AP642" s="132"/>
    </row>
    <row r="643" spans="42:42" ht="15.5" x14ac:dyDescent="0.35">
      <c r="AP643" s="132"/>
    </row>
    <row r="644" spans="42:42" ht="15.5" x14ac:dyDescent="0.35">
      <c r="AP644" s="132"/>
    </row>
    <row r="645" spans="42:42" ht="15.5" x14ac:dyDescent="0.35">
      <c r="AP645" s="132"/>
    </row>
    <row r="646" spans="42:42" ht="15.5" x14ac:dyDescent="0.35">
      <c r="AP646" s="132"/>
    </row>
    <row r="647" spans="42:42" ht="15.5" x14ac:dyDescent="0.35">
      <c r="AP647" s="132"/>
    </row>
    <row r="648" spans="42:42" ht="15.5" x14ac:dyDescent="0.35">
      <c r="AP648" s="132"/>
    </row>
    <row r="649" spans="42:42" ht="15.5" x14ac:dyDescent="0.35">
      <c r="AP649" s="132"/>
    </row>
    <row r="650" spans="42:42" ht="15.5" x14ac:dyDescent="0.35">
      <c r="AP650" s="132"/>
    </row>
    <row r="651" spans="42:42" ht="15.5" x14ac:dyDescent="0.35">
      <c r="AP651" s="132"/>
    </row>
    <row r="652" spans="42:42" ht="15.5" x14ac:dyDescent="0.35">
      <c r="AP652" s="132"/>
    </row>
    <row r="653" spans="42:42" ht="15.5" x14ac:dyDescent="0.35">
      <c r="AP653" s="132"/>
    </row>
    <row r="654" spans="42:42" ht="15.5" x14ac:dyDescent="0.35">
      <c r="AP654" s="132"/>
    </row>
    <row r="655" spans="42:42" ht="15.5" x14ac:dyDescent="0.35">
      <c r="AP655" s="132"/>
    </row>
    <row r="656" spans="42:42" ht="15.5" x14ac:dyDescent="0.35">
      <c r="AP656" s="132"/>
    </row>
    <row r="657" spans="42:42" ht="15.5" x14ac:dyDescent="0.35">
      <c r="AP657" s="132"/>
    </row>
    <row r="658" spans="42:42" ht="15.5" x14ac:dyDescent="0.35">
      <c r="AP658" s="132"/>
    </row>
    <row r="659" spans="42:42" ht="15.5" x14ac:dyDescent="0.35">
      <c r="AP659" s="132"/>
    </row>
    <row r="660" spans="42:42" ht="15.5" x14ac:dyDescent="0.35">
      <c r="AP660" s="132"/>
    </row>
    <row r="661" spans="42:42" ht="15.5" x14ac:dyDescent="0.35">
      <c r="AP661" s="132"/>
    </row>
    <row r="662" spans="42:42" ht="15.5" x14ac:dyDescent="0.35">
      <c r="AP662" s="132"/>
    </row>
    <row r="663" spans="42:42" ht="15.5" x14ac:dyDescent="0.35">
      <c r="AP663" s="132"/>
    </row>
    <row r="664" spans="42:42" ht="15.5" x14ac:dyDescent="0.35">
      <c r="AP664" s="132"/>
    </row>
    <row r="665" spans="42:42" ht="15.5" x14ac:dyDescent="0.35">
      <c r="AP665" s="132"/>
    </row>
    <row r="666" spans="42:42" ht="15.5" x14ac:dyDescent="0.35">
      <c r="AP666" s="132"/>
    </row>
    <row r="667" spans="42:42" ht="15.5" x14ac:dyDescent="0.35">
      <c r="AP667" s="132"/>
    </row>
    <row r="668" spans="42:42" ht="15.5" x14ac:dyDescent="0.35">
      <c r="AP668" s="132"/>
    </row>
    <row r="669" spans="42:42" ht="15.5" x14ac:dyDescent="0.35">
      <c r="AP669" s="132"/>
    </row>
    <row r="670" spans="42:42" ht="15.5" x14ac:dyDescent="0.35">
      <c r="AP670" s="132"/>
    </row>
    <row r="671" spans="42:42" ht="15.5" x14ac:dyDescent="0.35">
      <c r="AP671" s="132"/>
    </row>
    <row r="672" spans="42:42" ht="15.5" x14ac:dyDescent="0.35">
      <c r="AP672" s="132"/>
    </row>
    <row r="673" spans="42:42" ht="15.5" x14ac:dyDescent="0.35">
      <c r="AP673" s="132"/>
    </row>
    <row r="674" spans="42:42" ht="15.5" x14ac:dyDescent="0.35">
      <c r="AP674" s="132"/>
    </row>
    <row r="675" spans="42:42" ht="15.5" x14ac:dyDescent="0.35">
      <c r="AP675" s="132"/>
    </row>
    <row r="676" spans="42:42" ht="15.5" x14ac:dyDescent="0.35">
      <c r="AP676" s="132"/>
    </row>
    <row r="677" spans="42:42" ht="15.5" x14ac:dyDescent="0.35">
      <c r="AP677" s="132"/>
    </row>
    <row r="678" spans="42:42" ht="15.5" x14ac:dyDescent="0.35">
      <c r="AP678" s="132"/>
    </row>
    <row r="679" spans="42:42" ht="15.5" x14ac:dyDescent="0.35">
      <c r="AP679" s="132"/>
    </row>
    <row r="680" spans="42:42" ht="15.5" x14ac:dyDescent="0.35">
      <c r="AP680" s="132"/>
    </row>
    <row r="681" spans="42:42" ht="15.5" x14ac:dyDescent="0.35">
      <c r="AP681" s="132"/>
    </row>
    <row r="682" spans="42:42" ht="15.5" x14ac:dyDescent="0.35">
      <c r="AP682" s="132"/>
    </row>
    <row r="683" spans="42:42" ht="15.5" x14ac:dyDescent="0.35">
      <c r="AP683" s="132"/>
    </row>
    <row r="684" spans="42:42" ht="15.5" x14ac:dyDescent="0.35">
      <c r="AP684" s="132"/>
    </row>
    <row r="685" spans="42:42" ht="15.5" x14ac:dyDescent="0.35">
      <c r="AP685" s="132"/>
    </row>
    <row r="686" spans="42:42" ht="15.5" x14ac:dyDescent="0.35">
      <c r="AP686" s="132"/>
    </row>
    <row r="687" spans="42:42" ht="15.5" x14ac:dyDescent="0.35">
      <c r="AP687" s="132"/>
    </row>
    <row r="688" spans="42:42" ht="15.5" x14ac:dyDescent="0.35">
      <c r="AP688" s="132"/>
    </row>
    <row r="689" spans="42:42" ht="15.5" x14ac:dyDescent="0.35">
      <c r="AP689" s="132"/>
    </row>
    <row r="690" spans="42:42" ht="15.5" x14ac:dyDescent="0.35">
      <c r="AP690" s="132"/>
    </row>
    <row r="691" spans="42:42" ht="15.5" x14ac:dyDescent="0.35">
      <c r="AP691" s="132"/>
    </row>
    <row r="692" spans="42:42" ht="15.5" x14ac:dyDescent="0.35">
      <c r="AP692" s="132"/>
    </row>
    <row r="693" spans="42:42" ht="15.5" x14ac:dyDescent="0.35">
      <c r="AP693" s="132"/>
    </row>
    <row r="694" spans="42:42" ht="15.5" x14ac:dyDescent="0.35">
      <c r="AP694" s="132"/>
    </row>
    <row r="695" spans="42:42" ht="15.5" x14ac:dyDescent="0.35">
      <c r="AP695" s="132"/>
    </row>
    <row r="696" spans="42:42" ht="15.5" x14ac:dyDescent="0.35">
      <c r="AP696" s="132"/>
    </row>
    <row r="697" spans="42:42" ht="15.5" x14ac:dyDescent="0.35">
      <c r="AP697" s="132"/>
    </row>
    <row r="698" spans="42:42" ht="15.5" x14ac:dyDescent="0.35">
      <c r="AP698" s="132"/>
    </row>
    <row r="699" spans="42:42" ht="15.5" x14ac:dyDescent="0.35">
      <c r="AP699" s="132"/>
    </row>
    <row r="700" spans="42:42" ht="15.5" x14ac:dyDescent="0.35">
      <c r="AP700" s="132"/>
    </row>
    <row r="701" spans="42:42" ht="15.5" x14ac:dyDescent="0.35">
      <c r="AP701" s="132"/>
    </row>
    <row r="702" spans="42:42" ht="15.75" customHeight="1" x14ac:dyDescent="0.35"/>
    <row r="703" spans="42:42" ht="15.75" customHeight="1" x14ac:dyDescent="0.35"/>
    <row r="704" spans="42:42" ht="15.75" customHeight="1" x14ac:dyDescent="0.35"/>
    <row r="705" ht="15.75" customHeight="1" x14ac:dyDescent="0.35"/>
    <row r="706" ht="15.75" customHeight="1" x14ac:dyDescent="0.35"/>
    <row r="707" ht="15.75" customHeight="1" x14ac:dyDescent="0.35"/>
  </sheetData>
  <mergeCells count="23">
    <mergeCell ref="D5:E5"/>
    <mergeCell ref="AC58:AE58"/>
    <mergeCell ref="C424:L424"/>
    <mergeCell ref="D29:I29"/>
    <mergeCell ref="D32:I32"/>
    <mergeCell ref="D33:I33"/>
    <mergeCell ref="F9:H9"/>
    <mergeCell ref="AQ41:AZ41"/>
    <mergeCell ref="D25:I25"/>
    <mergeCell ref="I2:K2"/>
    <mergeCell ref="D3:G3"/>
    <mergeCell ref="I3:K3"/>
    <mergeCell ref="D6:E6"/>
    <mergeCell ref="G6:H6"/>
    <mergeCell ref="D17:I17"/>
    <mergeCell ref="D18:I18"/>
    <mergeCell ref="D19:I19"/>
    <mergeCell ref="D20:I20"/>
    <mergeCell ref="V41:Y41"/>
    <mergeCell ref="P41:S41"/>
    <mergeCell ref="D14:K14"/>
    <mergeCell ref="D26:I26"/>
    <mergeCell ref="G5:H5"/>
  </mergeCells>
  <conditionalFormatting sqref="A60:A419">
    <cfRule type="containsBlanks" dxfId="2" priority="3">
      <formula>LEN(TRIM(A60))=0</formula>
    </cfRule>
  </conditionalFormatting>
  <conditionalFormatting sqref="B58:L419">
    <cfRule type="containsBlanks" dxfId="1" priority="5">
      <formula>LEN(TRIM(B58))=0</formula>
    </cfRule>
  </conditionalFormatting>
  <conditionalFormatting sqref="K30:K31">
    <cfRule type="containsText" dxfId="0" priority="1" operator="containsText" text="Observação">
      <formula>NOT(ISERROR(SEARCH("Observação",K30)))</formula>
    </cfRule>
  </conditionalFormatting>
  <dataValidations xWindow="1069" yWindow="420" count="15">
    <dataValidation type="list" allowBlank="1" showInputMessage="1" showErrorMessage="1" sqref="U76:U82 U85:U91" xr:uid="{0CA33612-05DB-44D9-B1C6-627784F198D0}">
      <formula1>"1 - RESIDENCIAL - CASA,2 - RESIDENCIAL - APARTAMENTO,3 - COMERCIAL - LOJA,4 - COMERCIAL - SALA COMERCIAL,5 - MISTO - COMERCIAL / RESIDENCIAL,6 - IMOVEL VERANEIO,7 - TERRENO + CONSTRUÇÃO CONCLUÍDA"</formula1>
    </dataValidation>
    <dataValidation type="list" allowBlank="1" showInputMessage="1" showErrorMessage="1" sqref="U75 U84" xr:uid="{D6A0E943-29DF-44AB-A867-F44F0AE6F764}">
      <formula1>"CGI, FCTO-AQUIS"</formula1>
    </dataValidation>
    <dataValidation type="list" allowBlank="1" showInputMessage="1" showErrorMessage="1" sqref="Q22:S24 P21:P24" xr:uid="{B90B952B-7F79-4B14-B264-3A0526820C35}">
      <formula1>"Crédito Com Garantia de Imóvel - CGI, Financiamento Imobiliário - Aquisição, Terreno Com Construção Concluída - TCC"</formula1>
    </dataValidation>
    <dataValidation type="whole" operator="greaterThanOrEqual" allowBlank="1" showInputMessage="1" showErrorMessage="1" errorTitle="Valor não Permitido" error="** Valor Mínimo do imóvel oferecido é de R$ 200mil  em garantia fora da Política ** _x000a__x000a_Favor checar Política da Instituição Financeira" promptTitle="Valor Mínimo de Imóvel" prompt="Valor mínimo de Imóvel R$ 200mil" sqref="G6:H6" xr:uid="{711A5A1F-5C3C-4FB0-80B7-8266AA0720C6}">
      <formula1>200000</formula1>
    </dataValidation>
    <dataValidation type="whole" operator="greaterThanOrEqual" allowBlank="1" showInputMessage="1" showErrorMessage="1" errorTitle="Valor não Permitido" error="** Valor mínimo de Crédito não Permitido **_x000a__x000a_Favor checar política da instituição" promptTitle="Valor Mínimo de Crédito Bruto" prompt="Valor Mínimo de Crédito Bruto é de R$ 30mil" sqref="D6:E6" xr:uid="{48E4E855-BA0A-413C-A66C-88993837B689}">
      <formula1>30000</formula1>
    </dataValidation>
    <dataValidation type="whole" allowBlank="1" showInputMessage="1" showErrorMessage="1" errorTitle="Prazo não Permitido" error="** Prazo da operação fora da Politica ** _x000a__x000a_Favor checar Política da Instituição Financeira_x000a_" promptTitle="Prazo Mínimo e Prazo Máximo" prompt="Prazo mínimo permitido 36 meses e prazo máximo de 240 meses para operações sistema de amortização Price_x000a__x000a_Pré-Fixada Aquisição poderé chegar até 300meses" sqref="J6" xr:uid="{284D61D8-3494-41D6-A9BD-1C77B04C2286}">
      <formula1>36</formula1>
      <formula2>360</formula2>
    </dataValidation>
    <dataValidation type="list" errorStyle="warning" allowBlank="1" showInputMessage="1" showErrorMessage="1" promptTitle="Sistema de Amortização" prompt="Sistema de Amortização e Indice de correção das Parcelas_x000a_Valores simulados abaixo são estimados e para as operações Pós-fixas não consta a correçao monetária ao valor das parcelas abaixo." sqref="P17:P20" xr:uid="{39FE8721-4EE4-40DD-95D5-F42FF95B095E}">
      <formula1>"PRICE - PRÉ-FIXADA, SAC - PRÉ-FIXADA, PRICE - PÓS-FIXADA, SAC - PÓS-FIXADA"</formula1>
    </dataValidation>
    <dataValidation type="list" allowBlank="1" showInputMessage="1" showErrorMessage="1" sqref="D3:G3" xr:uid="{2F2E49E2-7B11-47AB-92AF-37F8A7878D51}">
      <formula1>"Crédito Com Garantia de Imóvel - CGI, Financiamento Imobiliário - Aquisição, Terreno Com Construção Concluída - TCC,Financiamento Imobiliário - Aquisição TCC"</formula1>
    </dataValidation>
    <dataValidation type="list" allowBlank="1" showInputMessage="1" showErrorMessage="1" sqref="I3:K3" xr:uid="{539494CB-EB70-4B85-9298-F56105820A23}">
      <formula1>"Apartamento/Casa, Sala Comercial, Loja Comercial,"</formula1>
    </dataValidation>
    <dataValidation type="list" errorStyle="warning" allowBlank="1" showInputMessage="1" showErrorMessage="1" promptTitle="Sistema de Amortização" prompt="Sistema de Amortização e Indice de correção das Parcelas_x000a_Valores simulados abaixo são estimados e para as operações Pós-fixas não consta a correçao monetária ao valor das parcelas abaixo." sqref="K6" xr:uid="{3D22BB1C-E726-4599-9B44-9E0A6BA29127}">
      <formula1>$P$17:$P$18</formula1>
    </dataValidation>
    <dataValidation type="list" allowBlank="1" showInputMessage="1" showErrorMessage="1" sqref="D9" xr:uid="{CC8A1A59-2990-43BF-8BE3-EDDF6DD5955B}">
      <formula1>"0,1,2,3,4,5,6,7,8,9,10,11,12"</formula1>
    </dataValidation>
    <dataValidation type="list" allowBlank="1" showInputMessage="1" showErrorMessage="1" sqref="J9" xr:uid="{705B5B20-9C94-4072-936A-AD7A8E595BA8}">
      <formula1>"EXCELSIOR, ZURICH"</formula1>
    </dataValidation>
    <dataValidation type="decimal" operator="greaterThanOrEqual" allowBlank="1" showInputMessage="1" showErrorMessage="1" errorTitle="Taxa Inferior ao Mínimo" error="AJUSTAR TAXA_x000a__x000a_Pós-Fixadas_x000a_Apartir de 1,29% a.m_x000a__x000a_Pré-Fixadas_x000a_Apartir de: 1,79% a.m" promptTitle="Taxas apartir de:" prompt="Pós-Fixadas_x000a_Apartir de 1,29% a.m_x000a__x000a_Pré-Fixadas_x000a_Apartir de: 1,79% a.m" sqref="J22" xr:uid="{90B71E5A-513E-4A66-A451-B39EE2B6032C}">
      <formula1>K24</formula1>
    </dataValidation>
    <dataValidation type="custom" errorStyle="information" operator="lessThanOrEqual" allowBlank="1" showErrorMessage="1" errorTitle="Aentar as Regras da Seguradora" error="Atentar aos limites de Seguradora e necessidade de Envio de DPS" promptTitle="Atentar as Regras da Se" sqref="K30" xr:uid="{A2B369AB-CE01-4AD0-93AD-F8376035632F}">
      <formula1>(K31)&lt;&gt;""</formula1>
    </dataValidation>
    <dataValidation type="custom" errorStyle="information" allowBlank="1" showInputMessage="1" showErrorMessage="1" errorTitle="erro" promptTitle="erro" sqref="K29" xr:uid="{AAFFB184-DF85-4C06-A75B-D19F33568AC1}">
      <formula1>"observação"</formula1>
    </dataValidation>
  </dataValidations>
  <printOptions horizontalCentered="1"/>
  <pageMargins left="0.25" right="0.25" top="0.75" bottom="0.75" header="0.3" footer="0.3"/>
  <pageSetup paperSize="9" scale="48" fitToHeight="0" orientation="portrait" blackAndWhite="1" horizontalDpi="4294967295" verticalDpi="4294967295" r:id="rId1"/>
  <headerFooter>
    <oddFooter>&amp;LValores meramente para demonstração efeitos de Simulação Inicial 
Não Representa - Aprovação de Crédito
Não está previsto no valor da prestação acima demonstrada  o indexador de correção&amp;CPágina &amp;P&amp;RSimulação Excel Sistema SAC e PRICe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E4AA-480E-4DA5-9779-DF793A6C98C0}">
  <dimension ref="E5:T491"/>
  <sheetViews>
    <sheetView topLeftCell="B1" workbookViewId="0">
      <selection activeCell="G6" sqref="G6"/>
    </sheetView>
  </sheetViews>
  <sheetFormatPr defaultRowHeight="14.5" x14ac:dyDescent="0.35"/>
  <cols>
    <col min="6" max="6" width="13.26953125" bestFit="1" customWidth="1"/>
    <col min="7" max="7" width="10.7265625" bestFit="1" customWidth="1"/>
    <col min="8" max="8" width="13.26953125" bestFit="1" customWidth="1"/>
    <col min="9" max="9" width="13.26953125" style="206" bestFit="1" customWidth="1"/>
    <col min="14" max="14" width="14.1796875" customWidth="1"/>
    <col min="15" max="15" width="12" customWidth="1"/>
    <col min="18" max="18" width="11.54296875" customWidth="1"/>
    <col min="19" max="19" width="11" customWidth="1"/>
    <col min="20" max="20" width="10.54296875" bestFit="1" customWidth="1"/>
  </cols>
  <sheetData>
    <row r="5" spans="5:9" x14ac:dyDescent="0.35">
      <c r="F5" t="s">
        <v>389</v>
      </c>
      <c r="H5" t="s">
        <v>390</v>
      </c>
      <c r="I5" s="206" t="s">
        <v>391</v>
      </c>
    </row>
    <row r="6" spans="5:9" x14ac:dyDescent="0.35">
      <c r="E6">
        <v>0</v>
      </c>
      <c r="F6" s="206">
        <v>-2000000</v>
      </c>
      <c r="G6" s="211">
        <v>44645</v>
      </c>
      <c r="H6" s="206">
        <v>-1919423.84</v>
      </c>
      <c r="I6" s="206">
        <f>H6</f>
        <v>-1919423.84</v>
      </c>
    </row>
    <row r="7" spans="5:9" x14ac:dyDescent="0.35">
      <c r="E7">
        <v>30</v>
      </c>
      <c r="F7" s="206">
        <v>0</v>
      </c>
      <c r="G7" s="211">
        <v>44676</v>
      </c>
      <c r="H7" s="210">
        <f>F7</f>
        <v>0</v>
      </c>
      <c r="I7" s="206">
        <v>1240</v>
      </c>
    </row>
    <row r="8" spans="5:9" x14ac:dyDescent="0.35">
      <c r="E8">
        <v>60</v>
      </c>
      <c r="F8" s="206">
        <v>0</v>
      </c>
      <c r="G8" s="211">
        <v>44706</v>
      </c>
      <c r="H8" s="210">
        <f t="shared" ref="H8:H71" si="0">F8</f>
        <v>0</v>
      </c>
      <c r="I8" s="206">
        <v>625.93399999999997</v>
      </c>
    </row>
    <row r="9" spans="5:9" x14ac:dyDescent="0.35">
      <c r="E9">
        <v>90</v>
      </c>
      <c r="F9" s="206">
        <v>0</v>
      </c>
      <c r="G9" s="211">
        <v>44737</v>
      </c>
      <c r="H9" s="210">
        <f t="shared" si="0"/>
        <v>0</v>
      </c>
      <c r="I9" s="206">
        <v>631.94454859999996</v>
      </c>
    </row>
    <row r="10" spans="5:9" x14ac:dyDescent="0.35">
      <c r="E10">
        <v>120</v>
      </c>
      <c r="F10" s="206">
        <v>0</v>
      </c>
      <c r="G10" s="211">
        <v>44767</v>
      </c>
      <c r="H10" s="210">
        <f t="shared" si="0"/>
        <v>0</v>
      </c>
      <c r="I10" s="206">
        <v>638.03263327694003</v>
      </c>
    </row>
    <row r="11" spans="5:9" x14ac:dyDescent="0.35">
      <c r="E11">
        <v>150</v>
      </c>
      <c r="F11" s="206">
        <v>0</v>
      </c>
      <c r="G11" s="211">
        <v>44798</v>
      </c>
      <c r="H11" s="210">
        <f t="shared" si="0"/>
        <v>0</v>
      </c>
      <c r="I11" s="206">
        <v>644.1992542462126</v>
      </c>
    </row>
    <row r="12" spans="5:9" x14ac:dyDescent="0.35">
      <c r="E12">
        <v>180</v>
      </c>
      <c r="F12" s="206">
        <v>0</v>
      </c>
      <c r="G12" s="211">
        <v>44829</v>
      </c>
      <c r="H12" s="210">
        <f t="shared" si="0"/>
        <v>0</v>
      </c>
      <c r="I12" s="206">
        <v>650.44542462598872</v>
      </c>
    </row>
    <row r="13" spans="5:9" x14ac:dyDescent="0.35">
      <c r="E13">
        <v>210</v>
      </c>
      <c r="F13" s="206">
        <v>0</v>
      </c>
      <c r="G13" s="211">
        <v>44859</v>
      </c>
      <c r="H13" s="210">
        <f t="shared" si="0"/>
        <v>0</v>
      </c>
      <c r="I13" s="206">
        <v>656.77217060366388</v>
      </c>
    </row>
    <row r="14" spans="5:9" x14ac:dyDescent="0.35">
      <c r="E14">
        <v>240</v>
      </c>
      <c r="F14" s="206">
        <v>0</v>
      </c>
      <c r="G14" s="211">
        <v>44890</v>
      </c>
      <c r="H14" s="210">
        <f t="shared" si="0"/>
        <v>0</v>
      </c>
      <c r="I14" s="206">
        <v>663.18053160445129</v>
      </c>
    </row>
    <row r="15" spans="5:9" x14ac:dyDescent="0.35">
      <c r="E15">
        <v>270</v>
      </c>
      <c r="F15" s="206">
        <v>0</v>
      </c>
      <c r="G15" s="211">
        <v>44920</v>
      </c>
      <c r="H15" s="210">
        <f t="shared" si="0"/>
        <v>0</v>
      </c>
      <c r="I15" s="206">
        <v>669.6715604621487</v>
      </c>
    </row>
    <row r="16" spans="5:9" x14ac:dyDescent="0.35">
      <c r="E16">
        <v>300</v>
      </c>
      <c r="F16" s="206">
        <v>0</v>
      </c>
      <c r="G16" s="211">
        <v>44951</v>
      </c>
      <c r="H16" s="210">
        <f t="shared" si="0"/>
        <v>0</v>
      </c>
      <c r="I16" s="206">
        <v>676.24632359211034</v>
      </c>
    </row>
    <row r="17" spans="5:9" x14ac:dyDescent="0.35">
      <c r="E17">
        <v>330</v>
      </c>
      <c r="F17" s="206">
        <v>0</v>
      </c>
      <c r="G17" s="211">
        <v>44982</v>
      </c>
      <c r="H17" s="210">
        <f t="shared" si="0"/>
        <v>0</v>
      </c>
      <c r="I17" s="206">
        <v>682.90590116644853</v>
      </c>
    </row>
    <row r="18" spans="5:9" x14ac:dyDescent="0.35">
      <c r="E18">
        <v>360</v>
      </c>
      <c r="F18" s="206">
        <v>0</v>
      </c>
      <c r="G18" s="211">
        <v>45010</v>
      </c>
      <c r="H18" s="210">
        <f t="shared" si="0"/>
        <v>0</v>
      </c>
      <c r="I18" s="206">
        <v>689.65138729149578</v>
      </c>
    </row>
    <row r="19" spans="5:9" x14ac:dyDescent="0.35">
      <c r="E19">
        <v>390</v>
      </c>
      <c r="F19" s="206">
        <v>31800.79</v>
      </c>
      <c r="G19" s="211">
        <v>45041</v>
      </c>
      <c r="H19" s="210">
        <f t="shared" si="0"/>
        <v>31800.79</v>
      </c>
      <c r="I19" s="206">
        <v>32497.270470625888</v>
      </c>
    </row>
    <row r="20" spans="5:9" x14ac:dyDescent="0.35">
      <c r="E20">
        <v>420</v>
      </c>
      <c r="F20" s="206">
        <v>31800.79</v>
      </c>
      <c r="G20" s="211">
        <v>45071</v>
      </c>
      <c r="H20" s="210">
        <f t="shared" si="0"/>
        <v>31800.79</v>
      </c>
      <c r="I20" s="206">
        <v>32496.876931895815</v>
      </c>
    </row>
    <row r="21" spans="5:9" x14ac:dyDescent="0.35">
      <c r="E21">
        <v>450</v>
      </c>
      <c r="F21" s="206">
        <v>31800.79</v>
      </c>
      <c r="G21" s="211">
        <v>45102</v>
      </c>
      <c r="H21" s="210">
        <f t="shared" si="0"/>
        <v>31800.79</v>
      </c>
      <c r="I21" s="206">
        <v>32496.478316516117</v>
      </c>
    </row>
    <row r="22" spans="5:9" x14ac:dyDescent="0.35">
      <c r="E22">
        <v>480</v>
      </c>
      <c r="F22" s="206">
        <v>31800.79</v>
      </c>
      <c r="G22" s="211">
        <v>45132</v>
      </c>
      <c r="H22" s="210">
        <f t="shared" si="0"/>
        <v>31800.79</v>
      </c>
      <c r="I22" s="206">
        <v>32496.074558998011</v>
      </c>
    </row>
    <row r="23" spans="5:9" x14ac:dyDescent="0.35">
      <c r="E23">
        <v>510</v>
      </c>
      <c r="F23" s="206">
        <v>31800.79</v>
      </c>
      <c r="G23" s="211">
        <v>45163</v>
      </c>
      <c r="H23" s="210">
        <f t="shared" si="0"/>
        <v>31800.79</v>
      </c>
      <c r="I23" s="206">
        <v>32495.665593007936</v>
      </c>
    </row>
    <row r="24" spans="5:9" x14ac:dyDescent="0.35">
      <c r="E24">
        <v>540</v>
      </c>
      <c r="F24" s="206">
        <v>31800.79</v>
      </c>
      <c r="G24" s="211">
        <v>45194</v>
      </c>
      <c r="H24" s="210">
        <f t="shared" si="0"/>
        <v>31800.79</v>
      </c>
      <c r="I24" s="206">
        <v>32495.251351356583</v>
      </c>
    </row>
    <row r="25" spans="5:9" x14ac:dyDescent="0.35">
      <c r="E25">
        <v>570</v>
      </c>
      <c r="F25" s="206">
        <v>31800.79</v>
      </c>
      <c r="G25" s="211">
        <v>45224</v>
      </c>
      <c r="H25" s="210">
        <f t="shared" si="0"/>
        <v>31800.79</v>
      </c>
      <c r="I25" s="206">
        <v>32494.831765987921</v>
      </c>
    </row>
    <row r="26" spans="5:9" x14ac:dyDescent="0.35">
      <c r="E26">
        <v>600</v>
      </c>
      <c r="F26" s="206">
        <v>31800.79</v>
      </c>
      <c r="G26" s="211">
        <v>45255</v>
      </c>
      <c r="H26" s="210">
        <f t="shared" si="0"/>
        <v>31800.79</v>
      </c>
      <c r="I26" s="206">
        <v>32494.406767968008</v>
      </c>
    </row>
    <row r="27" spans="5:9" x14ac:dyDescent="0.35">
      <c r="E27">
        <v>630</v>
      </c>
      <c r="F27" s="206">
        <v>31800.79</v>
      </c>
      <c r="G27" s="211">
        <v>45285</v>
      </c>
      <c r="H27" s="210">
        <f t="shared" si="0"/>
        <v>31800.79</v>
      </c>
      <c r="I27" s="206">
        <v>32493.976287473648</v>
      </c>
    </row>
    <row r="28" spans="5:9" x14ac:dyDescent="0.35">
      <c r="E28">
        <v>660</v>
      </c>
      <c r="F28" s="206">
        <v>31800.79</v>
      </c>
      <c r="G28" s="211">
        <v>45316</v>
      </c>
      <c r="H28" s="210">
        <f t="shared" si="0"/>
        <v>31800.79</v>
      </c>
      <c r="I28" s="206">
        <v>32493.540253780895</v>
      </c>
    </row>
    <row r="29" spans="5:9" x14ac:dyDescent="0.35">
      <c r="E29">
        <v>690</v>
      </c>
      <c r="F29" s="206">
        <v>31800.79</v>
      </c>
      <c r="G29" s="211">
        <v>45347</v>
      </c>
      <c r="H29" s="210">
        <f t="shared" si="0"/>
        <v>31800.79</v>
      </c>
      <c r="I29" s="206">
        <v>32493.098595253516</v>
      </c>
    </row>
    <row r="30" spans="5:9" x14ac:dyDescent="0.35">
      <c r="E30">
        <v>720</v>
      </c>
      <c r="F30" s="206">
        <v>31800.79</v>
      </c>
      <c r="G30" s="211">
        <v>45376</v>
      </c>
      <c r="H30" s="210">
        <f t="shared" si="0"/>
        <v>31800.79</v>
      </c>
      <c r="I30" s="206">
        <v>32492.651239331131</v>
      </c>
    </row>
    <row r="31" spans="5:9" x14ac:dyDescent="0.35">
      <c r="E31">
        <v>750</v>
      </c>
      <c r="F31" s="206">
        <v>31800.79</v>
      </c>
      <c r="G31" s="211">
        <v>45407</v>
      </c>
      <c r="H31" s="210">
        <f t="shared" si="0"/>
        <v>31800.79</v>
      </c>
      <c r="I31" s="206">
        <v>32492.198112517341</v>
      </c>
    </row>
    <row r="32" spans="5:9" x14ac:dyDescent="0.35">
      <c r="E32">
        <v>780</v>
      </c>
      <c r="F32" s="206">
        <v>31800.79</v>
      </c>
      <c r="G32" s="211">
        <v>45437</v>
      </c>
      <c r="H32" s="210">
        <f t="shared" si="0"/>
        <v>31800.79</v>
      </c>
      <c r="I32" s="206">
        <v>32491.739140367663</v>
      </c>
    </row>
    <row r="33" spans="5:9" x14ac:dyDescent="0.35">
      <c r="E33">
        <v>810</v>
      </c>
      <c r="F33" s="206">
        <v>31800.79</v>
      </c>
      <c r="G33" s="211">
        <v>45468</v>
      </c>
      <c r="H33" s="210">
        <f t="shared" si="0"/>
        <v>31800.79</v>
      </c>
      <c r="I33" s="206">
        <v>32491.274247477253</v>
      </c>
    </row>
    <row r="34" spans="5:9" x14ac:dyDescent="0.35">
      <c r="E34">
        <v>840</v>
      </c>
      <c r="F34" s="206">
        <v>31800.79</v>
      </c>
      <c r="G34" s="211">
        <v>45498</v>
      </c>
      <c r="H34" s="210">
        <f t="shared" si="0"/>
        <v>31800.79</v>
      </c>
      <c r="I34" s="206">
        <v>32490.803357468554</v>
      </c>
    </row>
    <row r="35" spans="5:9" x14ac:dyDescent="0.35">
      <c r="E35">
        <v>870</v>
      </c>
      <c r="F35" s="206">
        <v>31800.79</v>
      </c>
      <c r="G35" s="211">
        <v>45529</v>
      </c>
      <c r="H35" s="210">
        <f t="shared" si="0"/>
        <v>31800.79</v>
      </c>
      <c r="I35" s="206">
        <v>32490.32639297875</v>
      </c>
    </row>
    <row r="36" spans="5:9" x14ac:dyDescent="0.35">
      <c r="E36">
        <v>900</v>
      </c>
      <c r="F36" s="206">
        <v>31800.79</v>
      </c>
      <c r="G36" s="211">
        <v>45560</v>
      </c>
      <c r="H36" s="210">
        <f t="shared" si="0"/>
        <v>31800.79</v>
      </c>
      <c r="I36" s="206">
        <v>32489.843275647021</v>
      </c>
    </row>
    <row r="37" spans="5:9" x14ac:dyDescent="0.35">
      <c r="E37">
        <v>930</v>
      </c>
      <c r="F37" s="206">
        <v>31800.79</v>
      </c>
      <c r="G37" s="211">
        <v>45590</v>
      </c>
      <c r="H37" s="210">
        <f t="shared" si="0"/>
        <v>31800.79</v>
      </c>
      <c r="I37" s="206">
        <v>32489.35392610171</v>
      </c>
    </row>
    <row r="38" spans="5:9" x14ac:dyDescent="0.35">
      <c r="E38">
        <v>960</v>
      </c>
      <c r="F38" s="206">
        <v>31800.79</v>
      </c>
      <c r="G38" s="211">
        <v>45621</v>
      </c>
      <c r="H38" s="210">
        <f t="shared" si="0"/>
        <v>31800.79</v>
      </c>
      <c r="I38" s="206">
        <v>32488.85826394727</v>
      </c>
    </row>
    <row r="39" spans="5:9" x14ac:dyDescent="0.35">
      <c r="E39">
        <v>990</v>
      </c>
      <c r="F39" s="206">
        <v>31800.79</v>
      </c>
      <c r="G39" s="211">
        <v>45651</v>
      </c>
      <c r="H39" s="210">
        <f t="shared" si="0"/>
        <v>31800.79</v>
      </c>
      <c r="I39" s="206">
        <v>32488.356207751032</v>
      </c>
    </row>
    <row r="40" spans="5:9" x14ac:dyDescent="0.35">
      <c r="E40">
        <v>1020</v>
      </c>
      <c r="F40" s="206">
        <v>31800.79</v>
      </c>
      <c r="G40" s="211">
        <v>45682</v>
      </c>
      <c r="H40" s="210">
        <f t="shared" si="0"/>
        <v>31800.79</v>
      </c>
      <c r="I40" s="206">
        <v>32487.847675029869</v>
      </c>
    </row>
    <row r="41" spans="5:9" x14ac:dyDescent="0.35">
      <c r="E41">
        <v>1050</v>
      </c>
      <c r="F41" s="206">
        <v>31800.79</v>
      </c>
      <c r="G41" s="211">
        <v>45713</v>
      </c>
      <c r="H41" s="210">
        <f t="shared" si="0"/>
        <v>31800.79</v>
      </c>
      <c r="I41" s="206">
        <v>32487.332582236599</v>
      </c>
    </row>
    <row r="42" spans="5:9" x14ac:dyDescent="0.35">
      <c r="E42">
        <v>1080</v>
      </c>
      <c r="F42" s="206">
        <v>31800.79</v>
      </c>
      <c r="G42" s="211">
        <v>45741</v>
      </c>
      <c r="H42" s="210">
        <f t="shared" si="0"/>
        <v>31800.79</v>
      </c>
      <c r="I42" s="206">
        <v>32486.810844746295</v>
      </c>
    </row>
    <row r="43" spans="5:9" x14ac:dyDescent="0.35">
      <c r="E43">
        <v>1110</v>
      </c>
      <c r="F43" s="206">
        <v>31800.79</v>
      </c>
      <c r="G43" s="211">
        <v>45772</v>
      </c>
      <c r="H43" s="210">
        <f t="shared" si="0"/>
        <v>31800.79</v>
      </c>
      <c r="I43" s="206">
        <v>32486.282376842373</v>
      </c>
    </row>
    <row r="44" spans="5:9" x14ac:dyDescent="0.35">
      <c r="E44">
        <v>1140</v>
      </c>
      <c r="F44" s="206">
        <v>31800.79</v>
      </c>
      <c r="G44" s="211">
        <v>45802</v>
      </c>
      <c r="H44" s="210">
        <f t="shared" si="0"/>
        <v>31800.79</v>
      </c>
      <c r="I44" s="206">
        <v>32485.74709170248</v>
      </c>
    </row>
    <row r="45" spans="5:9" x14ac:dyDescent="0.35">
      <c r="E45">
        <v>1170</v>
      </c>
      <c r="F45" s="206">
        <v>31800.79</v>
      </c>
      <c r="G45" s="211">
        <v>45833</v>
      </c>
      <c r="H45" s="210">
        <f t="shared" si="0"/>
        <v>31800.79</v>
      </c>
      <c r="I45" s="206">
        <v>32485.204901384292</v>
      </c>
    </row>
    <row r="46" spans="5:9" x14ac:dyDescent="0.35">
      <c r="E46">
        <v>1200</v>
      </c>
      <c r="F46" s="206">
        <v>31800.79</v>
      </c>
      <c r="G46" s="211">
        <v>45863</v>
      </c>
      <c r="H46" s="210">
        <f t="shared" si="0"/>
        <v>31800.79</v>
      </c>
      <c r="I46" s="206">
        <v>32484.655716810987</v>
      </c>
    </row>
    <row r="47" spans="5:9" x14ac:dyDescent="0.35">
      <c r="E47">
        <v>1230</v>
      </c>
      <c r="F47" s="206">
        <v>31800.79</v>
      </c>
      <c r="G47" s="211">
        <v>45894</v>
      </c>
      <c r="H47" s="210">
        <f t="shared" si="0"/>
        <v>31800.79</v>
      </c>
      <c r="I47" s="206">
        <v>32484.099447756693</v>
      </c>
    </row>
    <row r="48" spans="5:9" x14ac:dyDescent="0.35">
      <c r="E48">
        <v>1260</v>
      </c>
      <c r="F48" s="206">
        <v>31800.79</v>
      </c>
      <c r="G48" s="211">
        <v>45925</v>
      </c>
      <c r="H48" s="210">
        <f t="shared" si="0"/>
        <v>31800.79</v>
      </c>
      <c r="I48" s="206">
        <v>32483.536002831599</v>
      </c>
    </row>
    <row r="49" spans="5:9" x14ac:dyDescent="0.35">
      <c r="E49">
        <v>1290</v>
      </c>
      <c r="F49" s="206">
        <v>31800.79</v>
      </c>
      <c r="G49" s="211">
        <v>45955</v>
      </c>
      <c r="H49" s="210">
        <f t="shared" si="0"/>
        <v>31800.79</v>
      </c>
      <c r="I49" s="206">
        <v>32482.965289466971</v>
      </c>
    </row>
    <row r="50" spans="5:9" x14ac:dyDescent="0.35">
      <c r="E50">
        <v>1320</v>
      </c>
      <c r="F50" s="206">
        <v>31800.79</v>
      </c>
      <c r="G50" s="211">
        <v>45986</v>
      </c>
      <c r="H50" s="210">
        <f t="shared" si="0"/>
        <v>31800.79</v>
      </c>
      <c r="I50" s="206">
        <v>32482.387213899936</v>
      </c>
    </row>
    <row r="51" spans="5:9" x14ac:dyDescent="0.35">
      <c r="E51">
        <v>1350</v>
      </c>
      <c r="F51" s="206">
        <v>31800.79</v>
      </c>
      <c r="G51" s="211">
        <v>46016</v>
      </c>
      <c r="H51" s="210">
        <f t="shared" si="0"/>
        <v>31800.79</v>
      </c>
      <c r="I51" s="206">
        <v>32481.801681158089</v>
      </c>
    </row>
    <row r="52" spans="5:9" x14ac:dyDescent="0.35">
      <c r="E52">
        <v>1380</v>
      </c>
      <c r="F52" s="206">
        <v>31800.79</v>
      </c>
      <c r="G52" s="211">
        <v>46047</v>
      </c>
      <c r="H52" s="210">
        <f t="shared" si="0"/>
        <v>31800.79</v>
      </c>
      <c r="I52" s="206">
        <v>32481.208595043878</v>
      </c>
    </row>
    <row r="53" spans="5:9" x14ac:dyDescent="0.35">
      <c r="E53">
        <v>1410</v>
      </c>
      <c r="F53" s="206">
        <v>31800.79</v>
      </c>
      <c r="G53" s="211">
        <v>46078</v>
      </c>
      <c r="H53" s="210">
        <f t="shared" si="0"/>
        <v>31800.79</v>
      </c>
      <c r="I53" s="206">
        <v>32480.607858118787</v>
      </c>
    </row>
    <row r="54" spans="5:9" x14ac:dyDescent="0.35">
      <c r="E54">
        <v>1440</v>
      </c>
      <c r="F54" s="206">
        <v>31800.79</v>
      </c>
      <c r="G54" s="211">
        <v>46106</v>
      </c>
      <c r="H54" s="210">
        <f t="shared" si="0"/>
        <v>31800.79</v>
      </c>
      <c r="I54" s="206">
        <v>32479.999371687361</v>
      </c>
    </row>
    <row r="55" spans="5:9" x14ac:dyDescent="0.35">
      <c r="E55">
        <v>1470</v>
      </c>
      <c r="F55" s="206">
        <v>31800.79</v>
      </c>
      <c r="G55" s="211">
        <v>46137</v>
      </c>
      <c r="H55" s="210">
        <f t="shared" si="0"/>
        <v>31800.79</v>
      </c>
      <c r="I55" s="206">
        <v>32479.383035780975</v>
      </c>
    </row>
    <row r="56" spans="5:9" x14ac:dyDescent="0.35">
      <c r="E56">
        <v>1500</v>
      </c>
      <c r="F56" s="206">
        <v>31800.79</v>
      </c>
      <c r="G56" s="211">
        <v>46167</v>
      </c>
      <c r="H56" s="210">
        <f t="shared" si="0"/>
        <v>31800.79</v>
      </c>
      <c r="I56" s="206">
        <v>32478.758749141394</v>
      </c>
    </row>
    <row r="57" spans="5:9" x14ac:dyDescent="0.35">
      <c r="E57">
        <v>1530</v>
      </c>
      <c r="F57" s="206">
        <v>31800.79</v>
      </c>
      <c r="G57" s="211">
        <v>46198</v>
      </c>
      <c r="H57" s="210">
        <f t="shared" si="0"/>
        <v>31800.79</v>
      </c>
      <c r="I57" s="206">
        <v>32478.126409204164</v>
      </c>
    </row>
    <row r="58" spans="5:9" x14ac:dyDescent="0.35">
      <c r="E58">
        <v>1560</v>
      </c>
      <c r="F58" s="206">
        <v>31800.79</v>
      </c>
      <c r="G58" s="211">
        <v>46228</v>
      </c>
      <c r="H58" s="210">
        <f t="shared" si="0"/>
        <v>31800.79</v>
      </c>
      <c r="I58" s="206">
        <v>32477.485912081749</v>
      </c>
    </row>
    <row r="59" spans="5:9" x14ac:dyDescent="0.35">
      <c r="E59">
        <v>1590</v>
      </c>
      <c r="F59" s="206">
        <v>31800.79</v>
      </c>
      <c r="G59" s="211">
        <v>46259</v>
      </c>
      <c r="H59" s="210">
        <f t="shared" si="0"/>
        <v>31800.79</v>
      </c>
      <c r="I59" s="206">
        <v>32476.837152546443</v>
      </c>
    </row>
    <row r="60" spans="5:9" x14ac:dyDescent="0.35">
      <c r="E60">
        <v>1620</v>
      </c>
      <c r="F60" s="206">
        <v>31800.79</v>
      </c>
      <c r="G60" s="211">
        <v>46290</v>
      </c>
      <c r="H60" s="210">
        <f t="shared" si="0"/>
        <v>31800.79</v>
      </c>
      <c r="I60" s="206">
        <v>32476.180024013134</v>
      </c>
    </row>
    <row r="61" spans="5:9" x14ac:dyDescent="0.35">
      <c r="E61">
        <v>1650</v>
      </c>
      <c r="F61" s="206">
        <v>31800.79</v>
      </c>
      <c r="G61" s="211">
        <v>46320</v>
      </c>
      <c r="H61" s="210">
        <f t="shared" si="0"/>
        <v>31800.79</v>
      </c>
      <c r="I61" s="206">
        <v>32475.51441852175</v>
      </c>
    </row>
    <row r="62" spans="5:9" x14ac:dyDescent="0.35">
      <c r="E62">
        <v>1680</v>
      </c>
      <c r="F62" s="206">
        <v>31800.79</v>
      </c>
      <c r="G62" s="211">
        <v>46351</v>
      </c>
      <c r="H62" s="210">
        <f t="shared" si="0"/>
        <v>31800.79</v>
      </c>
      <c r="I62" s="206">
        <v>32474.840226719523</v>
      </c>
    </row>
    <row r="63" spans="5:9" x14ac:dyDescent="0.35">
      <c r="E63">
        <v>1710</v>
      </c>
      <c r="F63" s="206">
        <v>31800.79</v>
      </c>
      <c r="G63" s="211">
        <v>46381</v>
      </c>
      <c r="H63" s="210">
        <f t="shared" si="0"/>
        <v>31800.79</v>
      </c>
      <c r="I63" s="206">
        <v>32474.157337843051</v>
      </c>
    </row>
    <row r="64" spans="5:9" x14ac:dyDescent="0.35">
      <c r="E64">
        <v>1740</v>
      </c>
      <c r="F64" s="206">
        <v>31800.79</v>
      </c>
      <c r="G64" s="211">
        <v>46412</v>
      </c>
      <c r="H64" s="210">
        <f t="shared" si="0"/>
        <v>31800.79</v>
      </c>
      <c r="I64" s="206">
        <v>32473.465639700076</v>
      </c>
    </row>
    <row r="65" spans="5:9" x14ac:dyDescent="0.35">
      <c r="E65">
        <v>1770</v>
      </c>
      <c r="F65" s="206">
        <v>31800.79</v>
      </c>
      <c r="G65" s="211">
        <v>46443</v>
      </c>
      <c r="H65" s="210">
        <f t="shared" si="0"/>
        <v>31800.79</v>
      </c>
      <c r="I65" s="206">
        <v>32472.765018651047</v>
      </c>
    </row>
    <row r="66" spans="5:9" x14ac:dyDescent="0.35">
      <c r="E66">
        <v>1800</v>
      </c>
      <c r="F66" s="206">
        <v>31800.79</v>
      </c>
      <c r="G66" s="211">
        <v>46471</v>
      </c>
      <c r="H66" s="210">
        <f t="shared" si="0"/>
        <v>31800.79</v>
      </c>
      <c r="I66" s="206">
        <v>32472.055359590489</v>
      </c>
    </row>
    <row r="67" spans="5:9" x14ac:dyDescent="0.35">
      <c r="E67">
        <v>1830</v>
      </c>
      <c r="F67" s="206">
        <v>31800.79</v>
      </c>
      <c r="G67" s="211">
        <v>46502</v>
      </c>
      <c r="H67" s="210">
        <f t="shared" si="0"/>
        <v>31800.79</v>
      </c>
      <c r="I67" s="206">
        <v>32471.33654592805</v>
      </c>
    </row>
    <row r="68" spans="5:9" x14ac:dyDescent="0.35">
      <c r="E68">
        <v>1860</v>
      </c>
      <c r="F68" s="206">
        <v>31800.79</v>
      </c>
      <c r="G68" s="211">
        <v>46532</v>
      </c>
      <c r="H68" s="210">
        <f t="shared" si="0"/>
        <v>31800.79</v>
      </c>
      <c r="I68" s="206">
        <v>32470.608459569368</v>
      </c>
    </row>
    <row r="69" spans="5:9" x14ac:dyDescent="0.35">
      <c r="E69">
        <v>1890</v>
      </c>
      <c r="F69" s="206">
        <v>31800.79</v>
      </c>
      <c r="G69" s="211">
        <v>46563</v>
      </c>
      <c r="H69" s="210">
        <f t="shared" si="0"/>
        <v>31800.79</v>
      </c>
      <c r="I69" s="206">
        <v>32469.870980896656</v>
      </c>
    </row>
    <row r="70" spans="5:9" x14ac:dyDescent="0.35">
      <c r="E70">
        <v>1920</v>
      </c>
      <c r="F70" s="206">
        <v>31800.79</v>
      </c>
      <c r="G70" s="211">
        <v>46593</v>
      </c>
      <c r="H70" s="210">
        <f t="shared" si="0"/>
        <v>31800.79</v>
      </c>
      <c r="I70" s="206">
        <v>32469.123988749066</v>
      </c>
    </row>
    <row r="71" spans="5:9" x14ac:dyDescent="0.35">
      <c r="E71">
        <v>1950</v>
      </c>
      <c r="F71" s="206">
        <v>31800.79</v>
      </c>
      <c r="G71" s="211">
        <v>46624</v>
      </c>
      <c r="H71" s="210">
        <f t="shared" si="0"/>
        <v>31800.79</v>
      </c>
      <c r="I71" s="206">
        <v>32468.367360402783</v>
      </c>
    </row>
    <row r="72" spans="5:9" x14ac:dyDescent="0.35">
      <c r="E72">
        <v>1980</v>
      </c>
      <c r="F72" s="206">
        <v>31800.79</v>
      </c>
      <c r="G72" s="211">
        <v>46655</v>
      </c>
      <c r="H72" s="210">
        <f t="shared" ref="H72:H135" si="1">F72</f>
        <v>31800.79</v>
      </c>
      <c r="I72" s="206">
        <v>32467.600971550815</v>
      </c>
    </row>
    <row r="73" spans="5:9" x14ac:dyDescent="0.35">
      <c r="E73">
        <v>2010</v>
      </c>
      <c r="F73" s="206">
        <v>31800.79</v>
      </c>
      <c r="G73" s="211">
        <v>46685</v>
      </c>
      <c r="H73" s="210">
        <f t="shared" si="1"/>
        <v>31800.79</v>
      </c>
      <c r="I73" s="206">
        <v>32466.824696282667</v>
      </c>
    </row>
    <row r="74" spans="5:9" x14ac:dyDescent="0.35">
      <c r="E74">
        <v>2040</v>
      </c>
      <c r="F74" s="206">
        <v>31800.79</v>
      </c>
      <c r="G74" s="211">
        <v>46716</v>
      </c>
      <c r="H74" s="210">
        <f t="shared" si="1"/>
        <v>31800.79</v>
      </c>
      <c r="I74" s="206">
        <v>32466.038407063552</v>
      </c>
    </row>
    <row r="75" spans="5:9" x14ac:dyDescent="0.35">
      <c r="E75">
        <v>2070</v>
      </c>
      <c r="F75" s="206">
        <v>31800.79</v>
      </c>
      <c r="G75" s="211">
        <v>46746</v>
      </c>
      <c r="H75" s="210">
        <f t="shared" si="1"/>
        <v>31800.79</v>
      </c>
      <c r="I75" s="206">
        <v>32465.241974713521</v>
      </c>
    </row>
    <row r="76" spans="5:9" x14ac:dyDescent="0.35">
      <c r="E76">
        <v>2100</v>
      </c>
      <c r="F76" s="206">
        <v>31800.79</v>
      </c>
      <c r="G76" s="211">
        <v>46777</v>
      </c>
      <c r="H76" s="210">
        <f t="shared" si="1"/>
        <v>31800.79</v>
      </c>
      <c r="I76" s="206">
        <v>32464.435268386169</v>
      </c>
    </row>
    <row r="77" spans="5:9" x14ac:dyDescent="0.35">
      <c r="E77">
        <v>2130</v>
      </c>
      <c r="F77" s="206">
        <v>31800.79</v>
      </c>
      <c r="G77" s="211">
        <v>46808</v>
      </c>
      <c r="H77" s="210">
        <f t="shared" si="1"/>
        <v>31800.79</v>
      </c>
      <c r="I77" s="206">
        <v>32463.618155547192</v>
      </c>
    </row>
    <row r="78" spans="5:9" x14ac:dyDescent="0.35">
      <c r="E78">
        <v>2160</v>
      </c>
      <c r="F78" s="206">
        <v>31800.79</v>
      </c>
      <c r="G78" s="211">
        <v>46837</v>
      </c>
      <c r="H78" s="210">
        <f t="shared" si="1"/>
        <v>31800.79</v>
      </c>
      <c r="I78" s="206">
        <v>32462.79050195259</v>
      </c>
    </row>
    <row r="79" spans="5:9" x14ac:dyDescent="0.35">
      <c r="E79">
        <v>2190</v>
      </c>
      <c r="F79" s="206">
        <v>31800.79</v>
      </c>
      <c r="G79" s="211">
        <v>46868</v>
      </c>
      <c r="H79" s="210">
        <f t="shared" si="1"/>
        <v>31800.79</v>
      </c>
      <c r="I79" s="206">
        <v>32461.952171626628</v>
      </c>
    </row>
    <row r="80" spans="5:9" x14ac:dyDescent="0.35">
      <c r="E80">
        <v>2220</v>
      </c>
      <c r="F80" s="206">
        <v>31800.79</v>
      </c>
      <c r="G80" s="211">
        <v>46898</v>
      </c>
      <c r="H80" s="210">
        <f t="shared" si="1"/>
        <v>31800.79</v>
      </c>
      <c r="I80" s="206">
        <v>32461.103026839457</v>
      </c>
    </row>
    <row r="81" spans="5:9" x14ac:dyDescent="0.35">
      <c r="E81">
        <v>2250</v>
      </c>
      <c r="F81" s="206">
        <v>31800.79</v>
      </c>
      <c r="G81" s="211">
        <v>46929</v>
      </c>
      <c r="H81" s="210">
        <f t="shared" si="1"/>
        <v>31800.79</v>
      </c>
      <c r="I81" s="206">
        <v>32460.242928084532</v>
      </c>
    </row>
    <row r="82" spans="5:9" x14ac:dyDescent="0.35">
      <c r="E82">
        <v>2280</v>
      </c>
      <c r="F82" s="206">
        <v>31800.79</v>
      </c>
      <c r="G82" s="211">
        <v>46959</v>
      </c>
      <c r="H82" s="210">
        <f t="shared" si="1"/>
        <v>31800.79</v>
      </c>
      <c r="I82" s="206">
        <v>32459.371734055665</v>
      </c>
    </row>
    <row r="83" spans="5:9" x14ac:dyDescent="0.35">
      <c r="E83">
        <v>2310</v>
      </c>
      <c r="F83" s="206">
        <v>31800.79</v>
      </c>
      <c r="G83" s="211">
        <v>46990</v>
      </c>
      <c r="H83" s="210">
        <f t="shared" si="1"/>
        <v>31800.79</v>
      </c>
      <c r="I83" s="206">
        <v>32458.489301623827</v>
      </c>
    </row>
    <row r="84" spans="5:9" x14ac:dyDescent="0.35">
      <c r="E84">
        <v>2340</v>
      </c>
      <c r="F84" s="206">
        <v>31800.79</v>
      </c>
      <c r="G84" s="211">
        <v>47021</v>
      </c>
      <c r="H84" s="210">
        <f t="shared" si="1"/>
        <v>31800.79</v>
      </c>
      <c r="I84" s="206">
        <v>32457.595485813625</v>
      </c>
    </row>
    <row r="85" spans="5:9" x14ac:dyDescent="0.35">
      <c r="E85">
        <v>2370</v>
      </c>
      <c r="F85" s="206">
        <v>31800.79</v>
      </c>
      <c r="G85" s="211">
        <v>47051</v>
      </c>
      <c r="H85" s="210">
        <f t="shared" si="1"/>
        <v>31800.79</v>
      </c>
      <c r="I85" s="206">
        <v>32456.690139779465</v>
      </c>
    </row>
    <row r="86" spans="5:9" x14ac:dyDescent="0.35">
      <c r="E86">
        <v>2400</v>
      </c>
      <c r="F86" s="206">
        <v>31800.79</v>
      </c>
      <c r="G86" s="211">
        <v>47082</v>
      </c>
      <c r="H86" s="210">
        <f t="shared" si="1"/>
        <v>31800.79</v>
      </c>
      <c r="I86" s="206">
        <v>32455.773114781463</v>
      </c>
    </row>
    <row r="87" spans="5:9" x14ac:dyDescent="0.35">
      <c r="E87">
        <v>2430</v>
      </c>
      <c r="F87" s="206">
        <v>31800.79</v>
      </c>
      <c r="G87" s="211">
        <v>47112</v>
      </c>
      <c r="H87" s="210">
        <f t="shared" si="1"/>
        <v>31800.79</v>
      </c>
      <c r="I87" s="206">
        <v>32454.84426016099</v>
      </c>
    </row>
    <row r="88" spans="5:9" x14ac:dyDescent="0.35">
      <c r="E88">
        <v>2460</v>
      </c>
      <c r="F88" s="206">
        <v>31800.79</v>
      </c>
      <c r="G88" s="211">
        <v>47143</v>
      </c>
      <c r="H88" s="210">
        <f t="shared" si="1"/>
        <v>31800.79</v>
      </c>
      <c r="I88" s="206">
        <v>32453.903423315911</v>
      </c>
    </row>
    <row r="89" spans="5:9" x14ac:dyDescent="0.35">
      <c r="E89">
        <v>2490</v>
      </c>
      <c r="F89" s="206">
        <v>31800.79</v>
      </c>
      <c r="G89" s="211">
        <v>47174</v>
      </c>
      <c r="H89" s="210">
        <f t="shared" si="1"/>
        <v>31800.79</v>
      </c>
      <c r="I89" s="206">
        <v>32452.950449675533</v>
      </c>
    </row>
    <row r="90" spans="5:9" x14ac:dyDescent="0.35">
      <c r="E90">
        <v>2520</v>
      </c>
      <c r="F90" s="206">
        <v>31800.79</v>
      </c>
      <c r="G90" s="211">
        <v>47202</v>
      </c>
      <c r="H90" s="210">
        <f t="shared" si="1"/>
        <v>31800.79</v>
      </c>
      <c r="I90" s="206">
        <v>32451.985182675187</v>
      </c>
    </row>
    <row r="91" spans="5:9" x14ac:dyDescent="0.35">
      <c r="E91">
        <v>2550</v>
      </c>
      <c r="F91" s="206">
        <v>31800.79</v>
      </c>
      <c r="G91" s="211">
        <v>47233</v>
      </c>
      <c r="H91" s="210">
        <f t="shared" si="1"/>
        <v>31800.79</v>
      </c>
      <c r="I91" s="206">
        <v>32451.007463730541</v>
      </c>
    </row>
    <row r="92" spans="5:9" x14ac:dyDescent="0.35">
      <c r="E92">
        <v>2580</v>
      </c>
      <c r="F92" s="206">
        <v>31800.79</v>
      </c>
      <c r="G92" s="211">
        <v>47263</v>
      </c>
      <c r="H92" s="210">
        <f t="shared" si="1"/>
        <v>31800.79</v>
      </c>
      <c r="I92" s="206">
        <v>32450.017132211509</v>
      </c>
    </row>
    <row r="93" spans="5:9" x14ac:dyDescent="0.35">
      <c r="E93">
        <v>2610</v>
      </c>
      <c r="F93" s="206">
        <v>31800.79</v>
      </c>
      <c r="G93" s="211">
        <v>47294</v>
      </c>
      <c r="H93" s="210">
        <f t="shared" si="1"/>
        <v>31800.79</v>
      </c>
      <c r="I93" s="206">
        <v>32449.014025415887</v>
      </c>
    </row>
    <row r="94" spans="5:9" x14ac:dyDescent="0.35">
      <c r="E94">
        <v>2640</v>
      </c>
      <c r="F94" s="206">
        <v>31800.79</v>
      </c>
      <c r="G94" s="211">
        <v>47324</v>
      </c>
      <c r="H94" s="210">
        <f t="shared" si="1"/>
        <v>31800.79</v>
      </c>
      <c r="I94" s="206">
        <v>32447.997978542593</v>
      </c>
    </row>
    <row r="95" spans="5:9" x14ac:dyDescent="0.35">
      <c r="E95">
        <v>2670</v>
      </c>
      <c r="F95" s="206">
        <v>31800.79</v>
      </c>
      <c r="G95" s="211">
        <v>47355</v>
      </c>
      <c r="H95" s="210">
        <f t="shared" si="1"/>
        <v>31800.79</v>
      </c>
      <c r="I95" s="206">
        <v>32446.968824664636</v>
      </c>
    </row>
    <row r="96" spans="5:9" x14ac:dyDescent="0.35">
      <c r="E96">
        <v>2700</v>
      </c>
      <c r="F96" s="206">
        <v>31800.79</v>
      </c>
      <c r="G96" s="211">
        <v>47386</v>
      </c>
      <c r="H96" s="210">
        <f t="shared" si="1"/>
        <v>31800.79</v>
      </c>
      <c r="I96" s="206">
        <v>32445.926394701655</v>
      </c>
    </row>
    <row r="97" spans="5:9" x14ac:dyDescent="0.35">
      <c r="E97">
        <v>2730</v>
      </c>
      <c r="F97" s="206">
        <v>31800.79</v>
      </c>
      <c r="G97" s="211">
        <v>47416</v>
      </c>
      <c r="H97" s="210">
        <f t="shared" si="1"/>
        <v>31800.79</v>
      </c>
      <c r="I97" s="206">
        <v>32444.870517392155</v>
      </c>
    </row>
    <row r="98" spans="5:9" x14ac:dyDescent="0.35">
      <c r="E98">
        <v>2760</v>
      </c>
      <c r="F98" s="206">
        <v>31800.79</v>
      </c>
      <c r="G98" s="211">
        <v>47447</v>
      </c>
      <c r="H98" s="210">
        <f t="shared" si="1"/>
        <v>31800.79</v>
      </c>
      <c r="I98" s="206">
        <v>32443.801019265356</v>
      </c>
    </row>
    <row r="99" spans="5:9" x14ac:dyDescent="0.35">
      <c r="E99">
        <v>2790</v>
      </c>
      <c r="F99" s="206">
        <v>31800.79</v>
      </c>
      <c r="G99" s="211">
        <v>47477</v>
      </c>
      <c r="H99" s="210">
        <f t="shared" si="1"/>
        <v>31800.79</v>
      </c>
      <c r="I99" s="206">
        <v>32442.717724612725</v>
      </c>
    </row>
    <row r="100" spans="5:9" x14ac:dyDescent="0.35">
      <c r="E100">
        <v>2820</v>
      </c>
      <c r="F100" s="206">
        <v>31800.79</v>
      </c>
      <c r="G100" s="211">
        <v>47508</v>
      </c>
      <c r="H100" s="210">
        <f t="shared" si="1"/>
        <v>31800.79</v>
      </c>
      <c r="I100" s="206">
        <v>32441.620455459073</v>
      </c>
    </row>
    <row r="101" spans="5:9" x14ac:dyDescent="0.35">
      <c r="E101">
        <v>2850</v>
      </c>
      <c r="F101" s="206">
        <v>31800.79</v>
      </c>
      <c r="G101" s="211">
        <v>47539</v>
      </c>
      <c r="H101" s="210">
        <f t="shared" si="1"/>
        <v>31800.79</v>
      </c>
      <c r="I101" s="206">
        <v>32440.50903153334</v>
      </c>
    </row>
    <row r="102" spans="5:9" x14ac:dyDescent="0.35">
      <c r="E102">
        <v>2880</v>
      </c>
      <c r="F102" s="206">
        <v>31800.79</v>
      </c>
      <c r="G102" s="211">
        <v>47567</v>
      </c>
      <c r="H102" s="210">
        <f t="shared" si="1"/>
        <v>31800.79</v>
      </c>
      <c r="I102" s="206">
        <v>32439.383270238966</v>
      </c>
    </row>
    <row r="103" spans="5:9" x14ac:dyDescent="0.35">
      <c r="E103">
        <v>2910</v>
      </c>
      <c r="F103" s="206">
        <v>31800.79</v>
      </c>
      <c r="G103" s="211">
        <v>47598</v>
      </c>
      <c r="H103" s="210">
        <f t="shared" si="1"/>
        <v>31800.79</v>
      </c>
      <c r="I103" s="206">
        <v>32438.242986623893</v>
      </c>
    </row>
    <row r="104" spans="5:9" x14ac:dyDescent="0.35">
      <c r="E104">
        <v>2940</v>
      </c>
      <c r="F104" s="206">
        <v>31800.79</v>
      </c>
      <c r="G104" s="211">
        <v>47628</v>
      </c>
      <c r="H104" s="210">
        <f t="shared" si="1"/>
        <v>31800.79</v>
      </c>
      <c r="I104" s="206">
        <v>32437.087993350186</v>
      </c>
    </row>
    <row r="105" spans="5:9" x14ac:dyDescent="0.35">
      <c r="E105">
        <v>2970</v>
      </c>
      <c r="F105" s="206">
        <v>31800.79</v>
      </c>
      <c r="G105" s="211">
        <v>47659</v>
      </c>
      <c r="H105" s="210">
        <f t="shared" si="1"/>
        <v>31800.79</v>
      </c>
      <c r="I105" s="206">
        <v>32435.918100663246</v>
      </c>
    </row>
    <row r="106" spans="5:9" x14ac:dyDescent="0.35">
      <c r="E106">
        <v>3000</v>
      </c>
      <c r="F106" s="206">
        <v>31800.79</v>
      </c>
      <c r="G106" s="211">
        <v>47689</v>
      </c>
      <c r="H106" s="210">
        <f t="shared" si="1"/>
        <v>31800.79</v>
      </c>
      <c r="I106" s="206">
        <v>32434.733116360647</v>
      </c>
    </row>
    <row r="107" spans="5:9" x14ac:dyDescent="0.35">
      <c r="E107">
        <v>3030</v>
      </c>
      <c r="F107" s="206">
        <v>31800.79</v>
      </c>
      <c r="G107" s="211">
        <v>47720</v>
      </c>
      <c r="H107" s="210">
        <f t="shared" si="1"/>
        <v>31800.79</v>
      </c>
      <c r="I107" s="206">
        <v>32433.532845760539</v>
      </c>
    </row>
    <row r="108" spans="5:9" x14ac:dyDescent="0.35">
      <c r="E108">
        <v>3060</v>
      </c>
      <c r="F108" s="206">
        <v>31800.79</v>
      </c>
      <c r="G108" s="211">
        <v>47751</v>
      </c>
      <c r="H108" s="210">
        <f t="shared" si="1"/>
        <v>31800.79</v>
      </c>
      <c r="I108" s="206">
        <v>32432.317091669694</v>
      </c>
    </row>
    <row r="109" spans="5:9" x14ac:dyDescent="0.35">
      <c r="E109">
        <v>3090</v>
      </c>
      <c r="F109" s="206">
        <v>31800.79</v>
      </c>
      <c r="G109" s="211">
        <v>47781</v>
      </c>
      <c r="H109" s="210">
        <f t="shared" si="1"/>
        <v>31800.79</v>
      </c>
      <c r="I109" s="206">
        <v>32431.085654351082</v>
      </c>
    </row>
    <row r="110" spans="5:9" x14ac:dyDescent="0.35">
      <c r="E110">
        <v>3120</v>
      </c>
      <c r="F110" s="206">
        <v>31800.79</v>
      </c>
      <c r="G110" s="211">
        <v>47812</v>
      </c>
      <c r="H110" s="210">
        <f t="shared" si="1"/>
        <v>31800.79</v>
      </c>
      <c r="I110" s="206">
        <v>32429.838331491053</v>
      </c>
    </row>
    <row r="111" spans="5:9" x14ac:dyDescent="0.35">
      <c r="E111">
        <v>3150</v>
      </c>
      <c r="F111" s="206">
        <v>31800.79</v>
      </c>
      <c r="G111" s="211">
        <v>47842</v>
      </c>
      <c r="H111" s="210">
        <f t="shared" si="1"/>
        <v>31800.79</v>
      </c>
      <c r="I111" s="206">
        <v>32428.57491816613</v>
      </c>
    </row>
    <row r="112" spans="5:9" x14ac:dyDescent="0.35">
      <c r="E112">
        <v>3180</v>
      </c>
      <c r="F112" s="206">
        <v>31800.79</v>
      </c>
      <c r="G112" s="211">
        <v>47873</v>
      </c>
      <c r="H112" s="210">
        <f t="shared" si="1"/>
        <v>31800.79</v>
      </c>
      <c r="I112" s="206">
        <v>32427.295206809322</v>
      </c>
    </row>
    <row r="113" spans="5:9" x14ac:dyDescent="0.35">
      <c r="E113">
        <v>3210</v>
      </c>
      <c r="F113" s="206">
        <v>31800.79</v>
      </c>
      <c r="G113" s="211">
        <v>47904</v>
      </c>
      <c r="H113" s="210">
        <f t="shared" si="1"/>
        <v>31800.79</v>
      </c>
      <c r="I113" s="206">
        <v>32425.998987176004</v>
      </c>
    </row>
    <row r="114" spans="5:9" x14ac:dyDescent="0.35">
      <c r="E114">
        <v>3240</v>
      </c>
      <c r="F114" s="206">
        <v>31800.79</v>
      </c>
      <c r="G114" s="211">
        <v>47932</v>
      </c>
      <c r="H114" s="210">
        <f t="shared" si="1"/>
        <v>31800.79</v>
      </c>
      <c r="I114" s="206">
        <v>32424.68604630942</v>
      </c>
    </row>
    <row r="115" spans="5:9" x14ac:dyDescent="0.35">
      <c r="E115">
        <v>3270</v>
      </c>
      <c r="F115" s="206">
        <v>31800.79</v>
      </c>
      <c r="G115" s="211">
        <v>47963</v>
      </c>
      <c r="H115" s="210">
        <f t="shared" si="1"/>
        <v>31800.79</v>
      </c>
      <c r="I115" s="206">
        <v>32423.356168505656</v>
      </c>
    </row>
    <row r="116" spans="5:9" x14ac:dyDescent="0.35">
      <c r="E116">
        <v>3300</v>
      </c>
      <c r="F116" s="206">
        <v>31800.79</v>
      </c>
      <c r="G116" s="211">
        <v>47993</v>
      </c>
      <c r="H116" s="210">
        <f t="shared" si="1"/>
        <v>31800.79</v>
      </c>
      <c r="I116" s="206">
        <v>32422.009135278222</v>
      </c>
    </row>
    <row r="117" spans="5:9" x14ac:dyDescent="0.35">
      <c r="E117">
        <v>3330</v>
      </c>
      <c r="F117" s="206">
        <v>31800.79</v>
      </c>
      <c r="G117" s="211">
        <v>48024</v>
      </c>
      <c r="H117" s="210">
        <f t="shared" si="1"/>
        <v>31800.79</v>
      </c>
      <c r="I117" s="206">
        <v>32420.64472532216</v>
      </c>
    </row>
    <row r="118" spans="5:9" x14ac:dyDescent="0.35">
      <c r="E118">
        <v>3360</v>
      </c>
      <c r="F118" s="206">
        <v>31800.79</v>
      </c>
      <c r="G118" s="211">
        <v>48054</v>
      </c>
      <c r="H118" s="210">
        <f t="shared" si="1"/>
        <v>31800.79</v>
      </c>
      <c r="I118" s="206">
        <v>32419.262714477656</v>
      </c>
    </row>
    <row r="119" spans="5:9" x14ac:dyDescent="0.35">
      <c r="E119">
        <v>3390</v>
      </c>
      <c r="F119" s="206">
        <v>31800.79</v>
      </c>
      <c r="G119" s="211">
        <v>48085</v>
      </c>
      <c r="H119" s="210">
        <f t="shared" si="1"/>
        <v>31800.79</v>
      </c>
      <c r="I119" s="206">
        <v>32417.862875693263</v>
      </c>
    </row>
    <row r="120" spans="5:9" x14ac:dyDescent="0.35">
      <c r="E120">
        <v>3420</v>
      </c>
      <c r="F120" s="206">
        <v>31800.79</v>
      </c>
      <c r="G120" s="211">
        <v>48116</v>
      </c>
      <c r="H120" s="210">
        <f t="shared" si="1"/>
        <v>31800.79</v>
      </c>
      <c r="I120" s="206">
        <v>32416.444978988551</v>
      </c>
    </row>
    <row r="121" spans="5:9" x14ac:dyDescent="0.35">
      <c r="E121">
        <v>3450</v>
      </c>
      <c r="F121" s="206">
        <v>31800.79</v>
      </c>
      <c r="G121" s="211">
        <v>48146</v>
      </c>
      <c r="H121" s="210">
        <f t="shared" si="1"/>
        <v>31800.79</v>
      </c>
      <c r="I121" s="206">
        <v>32415.008791416352</v>
      </c>
    </row>
    <row r="122" spans="5:9" x14ac:dyDescent="0.35">
      <c r="E122">
        <v>3480</v>
      </c>
      <c r="F122" s="206">
        <v>31800.79</v>
      </c>
      <c r="G122" s="211">
        <v>48177</v>
      </c>
      <c r="H122" s="210">
        <f t="shared" si="1"/>
        <v>31800.79</v>
      </c>
      <c r="I122" s="206">
        <v>32413.554077024462</v>
      </c>
    </row>
    <row r="123" spans="5:9" x14ac:dyDescent="0.35">
      <c r="E123">
        <v>3510</v>
      </c>
      <c r="F123" s="206">
        <v>31800.79</v>
      </c>
      <c r="G123" s="211">
        <v>48207</v>
      </c>
      <c r="H123" s="210">
        <f t="shared" si="1"/>
        <v>31800.79</v>
      </c>
      <c r="I123" s="206">
        <v>32412.080596816922</v>
      </c>
    </row>
    <row r="124" spans="5:9" x14ac:dyDescent="0.35">
      <c r="E124">
        <v>3540</v>
      </c>
      <c r="F124" s="206">
        <v>31800.79</v>
      </c>
      <c r="G124" s="211">
        <v>48238</v>
      </c>
      <c r="H124" s="210">
        <f t="shared" si="1"/>
        <v>31800.79</v>
      </c>
      <c r="I124" s="206">
        <v>32410.588108714706</v>
      </c>
    </row>
    <row r="125" spans="5:9" x14ac:dyDescent="0.35">
      <c r="E125">
        <v>3570</v>
      </c>
      <c r="F125" s="206">
        <v>31800.79</v>
      </c>
      <c r="G125" s="211">
        <v>48269</v>
      </c>
      <c r="H125" s="210">
        <f t="shared" si="1"/>
        <v>31800.79</v>
      </c>
      <c r="I125" s="206">
        <v>32409.076367515972</v>
      </c>
    </row>
    <row r="126" spans="5:9" x14ac:dyDescent="0.35">
      <c r="E126">
        <v>3600</v>
      </c>
      <c r="F126" s="206">
        <v>31800.79</v>
      </c>
      <c r="G126" s="211">
        <v>48298</v>
      </c>
      <c r="H126" s="210">
        <f t="shared" si="1"/>
        <v>31800.79</v>
      </c>
      <c r="I126" s="206">
        <v>32407.545124855777</v>
      </c>
    </row>
    <row r="127" spans="5:9" x14ac:dyDescent="0.35">
      <c r="E127">
        <v>3630</v>
      </c>
      <c r="F127" s="206">
        <v>31800.79</v>
      </c>
      <c r="G127" s="211">
        <v>48329</v>
      </c>
      <c r="H127" s="210">
        <f t="shared" si="1"/>
        <v>31800.79</v>
      </c>
      <c r="I127" s="206">
        <v>32405.994129165261</v>
      </c>
    </row>
    <row r="128" spans="5:9" x14ac:dyDescent="0.35">
      <c r="E128">
        <v>3660</v>
      </c>
      <c r="F128" s="206">
        <v>31800.79</v>
      </c>
      <c r="G128" s="211">
        <v>48359</v>
      </c>
      <c r="H128" s="210">
        <f t="shared" si="1"/>
        <v>31800.79</v>
      </c>
      <c r="I128" s="206">
        <v>32404.423125630332</v>
      </c>
    </row>
    <row r="129" spans="5:9" x14ac:dyDescent="0.35">
      <c r="E129">
        <v>3690</v>
      </c>
      <c r="F129" s="206">
        <v>31800.79</v>
      </c>
      <c r="G129" s="211">
        <v>48390</v>
      </c>
      <c r="H129" s="210">
        <f t="shared" si="1"/>
        <v>31800.79</v>
      </c>
      <c r="I129" s="206">
        <v>32402.831856149809</v>
      </c>
    </row>
    <row r="130" spans="5:9" x14ac:dyDescent="0.35">
      <c r="E130">
        <v>3720</v>
      </c>
      <c r="F130" s="206">
        <v>31800.79</v>
      </c>
      <c r="G130" s="211">
        <v>48420</v>
      </c>
      <c r="H130" s="210">
        <f t="shared" si="1"/>
        <v>31800.79</v>
      </c>
      <c r="I130" s="206">
        <v>32401.220059292984</v>
      </c>
    </row>
    <row r="131" spans="5:9" x14ac:dyDescent="0.35">
      <c r="E131">
        <v>3750</v>
      </c>
      <c r="F131" s="206">
        <v>31800.79</v>
      </c>
      <c r="G131" s="211">
        <v>48451</v>
      </c>
      <c r="H131" s="210">
        <f t="shared" si="1"/>
        <v>31800.79</v>
      </c>
      <c r="I131" s="206">
        <v>32399.587470256709</v>
      </c>
    </row>
    <row r="132" spans="5:9" x14ac:dyDescent="0.35">
      <c r="E132">
        <v>3780</v>
      </c>
      <c r="F132" s="206">
        <v>31800.79</v>
      </c>
      <c r="G132" s="211">
        <v>48482</v>
      </c>
      <c r="H132" s="210">
        <f t="shared" si="1"/>
        <v>31800.79</v>
      </c>
      <c r="I132" s="206">
        <v>32397.933820821865</v>
      </c>
    </row>
    <row r="133" spans="5:9" x14ac:dyDescent="0.35">
      <c r="E133">
        <v>3810</v>
      </c>
      <c r="F133" s="206">
        <v>31800.79</v>
      </c>
      <c r="G133" s="211">
        <v>48512</v>
      </c>
      <c r="H133" s="210">
        <f t="shared" si="1"/>
        <v>31800.79</v>
      </c>
      <c r="I133" s="206">
        <v>32396.258839309314</v>
      </c>
    </row>
    <row r="134" spans="5:9" x14ac:dyDescent="0.35">
      <c r="E134">
        <v>3840</v>
      </c>
      <c r="F134" s="206">
        <v>31800.79</v>
      </c>
      <c r="G134" s="211">
        <v>48543</v>
      </c>
      <c r="H134" s="210">
        <f t="shared" si="1"/>
        <v>31800.79</v>
      </c>
      <c r="I134" s="206">
        <v>32394.562250535248</v>
      </c>
    </row>
    <row r="135" spans="5:9" x14ac:dyDescent="0.35">
      <c r="E135">
        <v>3870</v>
      </c>
      <c r="F135" s="206">
        <v>31800.79</v>
      </c>
      <c r="G135" s="211">
        <v>48573</v>
      </c>
      <c r="H135" s="210">
        <f t="shared" si="1"/>
        <v>31800.79</v>
      </c>
      <c r="I135" s="206">
        <v>32392.843775765996</v>
      </c>
    </row>
    <row r="136" spans="5:9" x14ac:dyDescent="0.35">
      <c r="E136">
        <v>3900</v>
      </c>
      <c r="F136" s="206">
        <v>31800.79</v>
      </c>
      <c r="G136" s="211">
        <v>48604</v>
      </c>
      <c r="H136" s="210">
        <f t="shared" ref="H136:H199" si="2">F136</f>
        <v>31800.79</v>
      </c>
      <c r="I136" s="206">
        <v>32391.103132672222</v>
      </c>
    </row>
    <row r="137" spans="5:9" x14ac:dyDescent="0.35">
      <c r="E137">
        <v>3930</v>
      </c>
      <c r="F137" s="206">
        <v>31800.79</v>
      </c>
      <c r="G137" s="211">
        <v>48635</v>
      </c>
      <c r="H137" s="210">
        <f t="shared" si="2"/>
        <v>31800.79</v>
      </c>
      <c r="I137" s="206">
        <v>32389.340035282537</v>
      </c>
    </row>
    <row r="138" spans="5:9" x14ac:dyDescent="0.35">
      <c r="E138">
        <v>3960</v>
      </c>
      <c r="F138" s="206">
        <v>31800.79</v>
      </c>
      <c r="G138" s="211">
        <v>48663</v>
      </c>
      <c r="H138" s="210">
        <f t="shared" si="2"/>
        <v>31800.79</v>
      </c>
      <c r="I138" s="206">
        <v>32387.554193936528</v>
      </c>
    </row>
    <row r="139" spans="5:9" x14ac:dyDescent="0.35">
      <c r="E139">
        <v>3990</v>
      </c>
      <c r="F139" s="206">
        <v>31800.79</v>
      </c>
      <c r="G139" s="211">
        <v>48694</v>
      </c>
      <c r="H139" s="210">
        <f t="shared" si="2"/>
        <v>31800.79</v>
      </c>
      <c r="I139" s="206">
        <v>32385.745315237145</v>
      </c>
    </row>
    <row r="140" spans="5:9" x14ac:dyDescent="0.35">
      <c r="E140">
        <v>4020</v>
      </c>
      <c r="F140" s="206">
        <v>31800.79</v>
      </c>
      <c r="G140" s="211">
        <v>48724</v>
      </c>
      <c r="H140" s="210">
        <f t="shared" si="2"/>
        <v>31800.79</v>
      </c>
      <c r="I140" s="206">
        <v>32383.913102002556</v>
      </c>
    </row>
    <row r="141" spans="5:9" x14ac:dyDescent="0.35">
      <c r="E141">
        <v>4050</v>
      </c>
      <c r="F141" s="206">
        <v>31800.79</v>
      </c>
      <c r="G141" s="211">
        <v>48755</v>
      </c>
      <c r="H141" s="210">
        <f t="shared" si="2"/>
        <v>31800.79</v>
      </c>
      <c r="I141" s="206">
        <v>32382.057253217234</v>
      </c>
    </row>
    <row r="142" spans="5:9" x14ac:dyDescent="0.35">
      <c r="E142">
        <v>4080</v>
      </c>
      <c r="F142" s="206">
        <v>31800.79</v>
      </c>
      <c r="G142" s="211">
        <v>48785</v>
      </c>
      <c r="H142" s="210">
        <f t="shared" si="2"/>
        <v>31800.79</v>
      </c>
      <c r="I142" s="206">
        <v>32380.177463982582</v>
      </c>
    </row>
    <row r="143" spans="5:9" x14ac:dyDescent="0.35">
      <c r="E143">
        <v>4110</v>
      </c>
      <c r="F143" s="206">
        <v>31800.79</v>
      </c>
      <c r="G143" s="211">
        <v>48816</v>
      </c>
      <c r="H143" s="210">
        <f t="shared" si="2"/>
        <v>31800.79</v>
      </c>
      <c r="I143" s="206">
        <v>32378.273425466803</v>
      </c>
    </row>
    <row r="144" spans="5:9" x14ac:dyDescent="0.35">
      <c r="E144">
        <v>4140</v>
      </c>
      <c r="F144" s="206">
        <v>31800.79</v>
      </c>
      <c r="G144" s="211">
        <v>48847</v>
      </c>
      <c r="H144" s="210">
        <f t="shared" si="2"/>
        <v>31800.79</v>
      </c>
      <c r="I144" s="206">
        <v>32376.344824854168</v>
      </c>
    </row>
    <row r="145" spans="5:9" x14ac:dyDescent="0.35">
      <c r="E145">
        <v>4170</v>
      </c>
      <c r="F145" s="206">
        <v>31800.79</v>
      </c>
      <c r="G145" s="211">
        <v>48877</v>
      </c>
      <c r="H145" s="210">
        <f t="shared" si="2"/>
        <v>31800.79</v>
      </c>
      <c r="I145" s="206">
        <v>32374.391345293632</v>
      </c>
    </row>
    <row r="146" spans="5:9" x14ac:dyDescent="0.35">
      <c r="E146">
        <v>4200</v>
      </c>
      <c r="F146" s="206">
        <v>31800.79</v>
      </c>
      <c r="G146" s="211">
        <v>48908</v>
      </c>
      <c r="H146" s="210">
        <f t="shared" si="2"/>
        <v>31800.79</v>
      </c>
      <c r="I146" s="206">
        <v>32372.412665846769</v>
      </c>
    </row>
    <row r="147" spans="5:9" x14ac:dyDescent="0.35">
      <c r="E147">
        <v>4230</v>
      </c>
      <c r="F147" s="206">
        <v>31800.79</v>
      </c>
      <c r="G147" s="211">
        <v>48938</v>
      </c>
      <c r="H147" s="210">
        <f t="shared" si="2"/>
        <v>31800.79</v>
      </c>
      <c r="I147" s="206">
        <v>32370.408461435032</v>
      </c>
    </row>
    <row r="148" spans="5:9" x14ac:dyDescent="0.35">
      <c r="E148">
        <v>4260</v>
      </c>
      <c r="F148" s="206">
        <v>31800.79</v>
      </c>
      <c r="G148" s="211">
        <v>48969</v>
      </c>
      <c r="H148" s="210">
        <f t="shared" si="2"/>
        <v>31800.79</v>
      </c>
      <c r="I148" s="206">
        <v>32368.378402786391</v>
      </c>
    </row>
    <row r="149" spans="5:9" x14ac:dyDescent="0.35">
      <c r="E149">
        <v>4290</v>
      </c>
      <c r="F149" s="206">
        <v>31800.79</v>
      </c>
      <c r="G149" s="211">
        <v>49000</v>
      </c>
      <c r="H149" s="210">
        <f t="shared" si="2"/>
        <v>31800.79</v>
      </c>
      <c r="I149" s="206">
        <v>32366.322156381182</v>
      </c>
    </row>
    <row r="150" spans="5:9" x14ac:dyDescent="0.35">
      <c r="E150">
        <v>4320</v>
      </c>
      <c r="F150" s="206">
        <v>31800.79</v>
      </c>
      <c r="G150" s="211">
        <v>49028</v>
      </c>
      <c r="H150" s="210">
        <f t="shared" si="2"/>
        <v>31800.79</v>
      </c>
      <c r="I150" s="206">
        <v>32364.239384397344</v>
      </c>
    </row>
    <row r="151" spans="5:9" x14ac:dyDescent="0.35">
      <c r="E151">
        <v>4350</v>
      </c>
      <c r="F151" s="206">
        <v>31800.79</v>
      </c>
      <c r="G151" s="211">
        <v>49059</v>
      </c>
      <c r="H151" s="210">
        <f t="shared" si="2"/>
        <v>31800.79</v>
      </c>
      <c r="I151" s="206">
        <v>32362.129744654911</v>
      </c>
    </row>
    <row r="152" spans="5:9" x14ac:dyDescent="0.35">
      <c r="E152">
        <v>4380</v>
      </c>
      <c r="F152" s="206">
        <v>31800.79</v>
      </c>
      <c r="G152" s="211">
        <v>49089</v>
      </c>
      <c r="H152" s="210">
        <f t="shared" si="2"/>
        <v>31800.79</v>
      </c>
      <c r="I152" s="206">
        <v>32359.992890559803</v>
      </c>
    </row>
    <row r="153" spans="5:9" x14ac:dyDescent="0.35">
      <c r="E153">
        <v>4410</v>
      </c>
      <c r="F153" s="206">
        <v>31800.79</v>
      </c>
      <c r="G153" s="211">
        <v>49120</v>
      </c>
      <c r="H153" s="210">
        <f t="shared" si="2"/>
        <v>31800.79</v>
      </c>
      <c r="I153" s="206">
        <v>32357.828471046869</v>
      </c>
    </row>
    <row r="154" spans="5:9" x14ac:dyDescent="0.35">
      <c r="E154">
        <v>4440</v>
      </c>
      <c r="F154" s="206">
        <v>31800.79</v>
      </c>
      <c r="G154" s="211">
        <v>49150</v>
      </c>
      <c r="H154" s="210">
        <f t="shared" si="2"/>
        <v>31800.79</v>
      </c>
      <c r="I154" s="206">
        <v>32355.636130522216</v>
      </c>
    </row>
    <row r="155" spans="5:9" x14ac:dyDescent="0.35">
      <c r="E155">
        <v>4470</v>
      </c>
      <c r="F155" s="206">
        <v>31800.79</v>
      </c>
      <c r="G155" s="211">
        <v>49181</v>
      </c>
      <c r="H155" s="210">
        <f t="shared" si="2"/>
        <v>31800.79</v>
      </c>
      <c r="I155" s="206">
        <v>32353.415508804792</v>
      </c>
    </row>
    <row r="156" spans="5:9" x14ac:dyDescent="0.35">
      <c r="E156">
        <v>4500</v>
      </c>
      <c r="F156" s="206">
        <v>31800.79</v>
      </c>
      <c r="G156" s="211">
        <v>49212</v>
      </c>
      <c r="H156" s="210">
        <f t="shared" si="2"/>
        <v>31800.79</v>
      </c>
      <c r="I156" s="206">
        <v>32351.166241067225</v>
      </c>
    </row>
    <row r="157" spans="5:9" x14ac:dyDescent="0.35">
      <c r="E157">
        <v>4530</v>
      </c>
      <c r="F157" s="206">
        <v>31800.79</v>
      </c>
      <c r="G157" s="211">
        <v>49242</v>
      </c>
      <c r="H157" s="210">
        <f t="shared" si="2"/>
        <v>31800.79</v>
      </c>
      <c r="I157" s="206">
        <v>32348.887957775838</v>
      </c>
    </row>
    <row r="158" spans="5:9" x14ac:dyDescent="0.35">
      <c r="E158">
        <v>4560</v>
      </c>
      <c r="F158" s="206">
        <v>31800.79</v>
      </c>
      <c r="G158" s="211">
        <v>49273</v>
      </c>
      <c r="H158" s="210">
        <f t="shared" si="2"/>
        <v>31800.79</v>
      </c>
      <c r="I158" s="206">
        <v>32346.580284629988</v>
      </c>
    </row>
    <row r="159" spans="5:9" x14ac:dyDescent="0.35">
      <c r="E159">
        <v>4590</v>
      </c>
      <c r="F159" s="206">
        <v>31800.79</v>
      </c>
      <c r="G159" s="211">
        <v>49303</v>
      </c>
      <c r="H159" s="210">
        <f t="shared" si="2"/>
        <v>31800.79</v>
      </c>
      <c r="I159" s="206">
        <v>32344.24284250056</v>
      </c>
    </row>
    <row r="160" spans="5:9" x14ac:dyDescent="0.35">
      <c r="E160">
        <v>4620</v>
      </c>
      <c r="F160" s="206">
        <v>31800.79</v>
      </c>
      <c r="G160" s="211">
        <v>49334</v>
      </c>
      <c r="H160" s="210">
        <f t="shared" si="2"/>
        <v>31800.79</v>
      </c>
      <c r="I160" s="206">
        <v>32341.875247367665</v>
      </c>
    </row>
    <row r="161" spans="5:9" x14ac:dyDescent="0.35">
      <c r="E161">
        <v>4650</v>
      </c>
      <c r="F161" s="206">
        <v>31800.79</v>
      </c>
      <c r="G161" s="211">
        <v>49365</v>
      </c>
      <c r="H161" s="210">
        <f t="shared" si="2"/>
        <v>31800.79</v>
      </c>
      <c r="I161" s="206">
        <v>32339.477110257543</v>
      </c>
    </row>
    <row r="162" spans="5:9" x14ac:dyDescent="0.35">
      <c r="E162">
        <v>4680</v>
      </c>
      <c r="F162" s="206">
        <v>31800.79</v>
      </c>
      <c r="G162" s="211">
        <v>49393</v>
      </c>
      <c r="H162" s="210">
        <f t="shared" si="2"/>
        <v>31800.79</v>
      </c>
      <c r="I162" s="206">
        <v>32337.048037178716</v>
      </c>
    </row>
    <row r="163" spans="5:9" x14ac:dyDescent="0.35">
      <c r="E163">
        <v>4710</v>
      </c>
      <c r="F163" s="206">
        <v>31800.79</v>
      </c>
      <c r="G163" s="211">
        <v>49424</v>
      </c>
      <c r="H163" s="210">
        <f t="shared" si="2"/>
        <v>31800.79</v>
      </c>
      <c r="I163" s="206">
        <v>32334.587629057161</v>
      </c>
    </row>
    <row r="164" spans="5:9" x14ac:dyDescent="0.35">
      <c r="E164">
        <v>4740</v>
      </c>
      <c r="F164" s="206">
        <v>31800.79</v>
      </c>
      <c r="G164" s="211">
        <v>49454</v>
      </c>
      <c r="H164" s="210">
        <f t="shared" si="2"/>
        <v>31800.79</v>
      </c>
      <c r="I164" s="206">
        <v>32332.095481670844</v>
      </c>
    </row>
    <row r="165" spans="5:9" x14ac:dyDescent="0.35">
      <c r="E165">
        <v>4770</v>
      </c>
      <c r="F165" s="206">
        <v>31800.79</v>
      </c>
      <c r="G165" s="211">
        <v>49485</v>
      </c>
      <c r="H165" s="210">
        <f t="shared" si="2"/>
        <v>31800.79</v>
      </c>
      <c r="I165" s="206">
        <v>32329.571185583249</v>
      </c>
    </row>
    <row r="166" spans="5:9" x14ac:dyDescent="0.35">
      <c r="E166">
        <v>4800</v>
      </c>
      <c r="F166" s="206">
        <v>31800.79</v>
      </c>
      <c r="G166" s="211">
        <v>49515</v>
      </c>
      <c r="H166" s="210">
        <f t="shared" si="2"/>
        <v>31800.79</v>
      </c>
      <c r="I166" s="206">
        <v>32327.014326076118</v>
      </c>
    </row>
    <row r="167" spans="5:9" x14ac:dyDescent="0.35">
      <c r="E167">
        <v>4830</v>
      </c>
      <c r="F167" s="206">
        <v>31800.79</v>
      </c>
      <c r="G167" s="211">
        <v>49546</v>
      </c>
      <c r="H167" s="210">
        <f t="shared" si="2"/>
        <v>31800.79</v>
      </c>
      <c r="I167" s="206">
        <v>32324.424483081344</v>
      </c>
    </row>
    <row r="168" spans="5:9" x14ac:dyDescent="0.35">
      <c r="E168">
        <v>4860</v>
      </c>
      <c r="F168" s="206">
        <v>31800.79</v>
      </c>
      <c r="G168" s="211">
        <v>49577</v>
      </c>
      <c r="H168" s="210">
        <f t="shared" si="2"/>
        <v>31800.79</v>
      </c>
      <c r="I168" s="206">
        <v>32321.801231111938</v>
      </c>
    </row>
    <row r="169" spans="5:9" x14ac:dyDescent="0.35">
      <c r="E169">
        <v>4890</v>
      </c>
      <c r="F169" s="206">
        <v>31800.79</v>
      </c>
      <c r="G169" s="211">
        <v>49607</v>
      </c>
      <c r="H169" s="210">
        <f t="shared" si="2"/>
        <v>31800.79</v>
      </c>
      <c r="I169" s="206">
        <v>32319.144139192125</v>
      </c>
    </row>
    <row r="170" spans="5:9" x14ac:dyDescent="0.35">
      <c r="E170">
        <v>4920</v>
      </c>
      <c r="F170" s="206">
        <v>31800.79</v>
      </c>
      <c r="G170" s="211">
        <v>49638</v>
      </c>
      <c r="H170" s="210">
        <f t="shared" si="2"/>
        <v>31800.79</v>
      </c>
      <c r="I170" s="206">
        <v>32316.452770786549</v>
      </c>
    </row>
    <row r="171" spans="5:9" x14ac:dyDescent="0.35">
      <c r="E171">
        <v>4950</v>
      </c>
      <c r="F171" s="206">
        <v>31800.79</v>
      </c>
      <c r="G171" s="211">
        <v>49668</v>
      </c>
      <c r="H171" s="210">
        <f t="shared" si="2"/>
        <v>31800.79</v>
      </c>
      <c r="I171" s="206">
        <v>32313.726683728539</v>
      </c>
    </row>
    <row r="172" spans="5:9" x14ac:dyDescent="0.35">
      <c r="E172">
        <v>4980</v>
      </c>
      <c r="F172" s="206">
        <v>31800.79</v>
      </c>
      <c r="G172" s="211">
        <v>49699</v>
      </c>
      <c r="H172" s="210">
        <f t="shared" si="2"/>
        <v>31800.79</v>
      </c>
      <c r="I172" s="206">
        <v>32310.965430147484</v>
      </c>
    </row>
    <row r="173" spans="5:9" x14ac:dyDescent="0.35">
      <c r="E173">
        <v>5010</v>
      </c>
      <c r="F173" s="206">
        <v>31800.79</v>
      </c>
      <c r="G173" s="211">
        <v>49730</v>
      </c>
      <c r="H173" s="210">
        <f t="shared" si="2"/>
        <v>31800.79</v>
      </c>
      <c r="I173" s="206">
        <v>32308.168556395231</v>
      </c>
    </row>
    <row r="174" spans="5:9" x14ac:dyDescent="0.35">
      <c r="E174">
        <v>5040</v>
      </c>
      <c r="F174" s="206">
        <v>31800.79</v>
      </c>
      <c r="G174" s="211">
        <v>49759</v>
      </c>
      <c r="H174" s="210">
        <f t="shared" si="2"/>
        <v>31800.79</v>
      </c>
      <c r="I174" s="206">
        <v>32305.335602971572</v>
      </c>
    </row>
    <row r="175" spans="5:9" x14ac:dyDescent="0.35">
      <c r="E175">
        <v>5070</v>
      </c>
      <c r="F175" s="206">
        <v>31800.79</v>
      </c>
      <c r="G175" s="211">
        <v>49790</v>
      </c>
      <c r="H175" s="210">
        <f t="shared" si="2"/>
        <v>31800.79</v>
      </c>
      <c r="I175" s="206">
        <v>32302.466104448744</v>
      </c>
    </row>
    <row r="176" spans="5:9" x14ac:dyDescent="0.35">
      <c r="E176">
        <v>5100</v>
      </c>
      <c r="F176" s="206">
        <v>31800.79</v>
      </c>
      <c r="G176" s="211">
        <v>49820</v>
      </c>
      <c r="H176" s="210">
        <f t="shared" si="2"/>
        <v>31800.79</v>
      </c>
      <c r="I176" s="206">
        <v>32299.559589394983</v>
      </c>
    </row>
    <row r="177" spans="5:9" x14ac:dyDescent="0.35">
      <c r="E177">
        <v>5130</v>
      </c>
      <c r="F177" s="206">
        <v>31800.79</v>
      </c>
      <c r="G177" s="211">
        <v>49851</v>
      </c>
      <c r="H177" s="210">
        <f t="shared" si="2"/>
        <v>31800.79</v>
      </c>
      <c r="I177" s="206">
        <v>32296.615580297024</v>
      </c>
    </row>
    <row r="178" spans="5:9" x14ac:dyDescent="0.35">
      <c r="E178">
        <v>5160</v>
      </c>
      <c r="F178" s="206">
        <v>31800.79</v>
      </c>
      <c r="G178" s="211">
        <v>49881</v>
      </c>
      <c r="H178" s="210">
        <f t="shared" si="2"/>
        <v>31800.79</v>
      </c>
      <c r="I178" s="206">
        <v>32293.6335934817</v>
      </c>
    </row>
    <row r="179" spans="5:9" x14ac:dyDescent="0.35">
      <c r="E179">
        <v>5190</v>
      </c>
      <c r="F179" s="206">
        <v>31800.79</v>
      </c>
      <c r="G179" s="211">
        <v>49912</v>
      </c>
      <c r="H179" s="210">
        <f t="shared" si="2"/>
        <v>31800.79</v>
      </c>
      <c r="I179" s="206">
        <v>32290.613139036461</v>
      </c>
    </row>
    <row r="180" spans="5:9" x14ac:dyDescent="0.35">
      <c r="E180">
        <v>5220</v>
      </c>
      <c r="F180" s="206">
        <v>31800.79</v>
      </c>
      <c r="G180" s="211">
        <v>49943</v>
      </c>
      <c r="H180" s="210">
        <f t="shared" si="2"/>
        <v>31800.79</v>
      </c>
      <c r="I180" s="206">
        <v>32287.553720728873</v>
      </c>
    </row>
    <row r="181" spans="5:9" x14ac:dyDescent="0.35">
      <c r="E181">
        <v>5250</v>
      </c>
      <c r="F181" s="206">
        <v>31800.79</v>
      </c>
      <c r="G181" s="211">
        <v>49973</v>
      </c>
      <c r="H181" s="210">
        <f t="shared" si="2"/>
        <v>31800.79</v>
      </c>
      <c r="I181" s="206">
        <v>32284.454835925124</v>
      </c>
    </row>
    <row r="182" spans="5:9" x14ac:dyDescent="0.35">
      <c r="E182">
        <v>5280</v>
      </c>
      <c r="F182" s="206">
        <v>31800.79</v>
      </c>
      <c r="G182" s="211">
        <v>50004</v>
      </c>
      <c r="H182" s="210">
        <f t="shared" si="2"/>
        <v>31800.79</v>
      </c>
      <c r="I182" s="206">
        <v>32281.315975507401</v>
      </c>
    </row>
    <row r="183" spans="5:9" x14ac:dyDescent="0.35">
      <c r="E183">
        <v>5310</v>
      </c>
      <c r="F183" s="206">
        <v>31800.79</v>
      </c>
      <c r="G183" s="211">
        <v>50034</v>
      </c>
      <c r="H183" s="210">
        <f t="shared" si="2"/>
        <v>31800.79</v>
      </c>
      <c r="I183" s="206">
        <v>32278.136623790295</v>
      </c>
    </row>
    <row r="184" spans="5:9" x14ac:dyDescent="0.35">
      <c r="E184">
        <v>5340</v>
      </c>
      <c r="F184" s="206">
        <v>31800.79</v>
      </c>
      <c r="G184" s="211">
        <v>50065</v>
      </c>
      <c r="H184" s="210">
        <f t="shared" si="2"/>
        <v>31800.79</v>
      </c>
      <c r="I184" s="206">
        <v>32274.916258436027</v>
      </c>
    </row>
    <row r="185" spans="5:9" x14ac:dyDescent="0.35">
      <c r="E185">
        <v>5370</v>
      </c>
      <c r="F185" s="206">
        <v>31800.79</v>
      </c>
      <c r="G185" s="211">
        <v>50096</v>
      </c>
      <c r="H185" s="210">
        <f t="shared" si="2"/>
        <v>31800.79</v>
      </c>
      <c r="I185" s="206">
        <v>32271.654350368699</v>
      </c>
    </row>
    <row r="186" spans="5:9" x14ac:dyDescent="0.35">
      <c r="E186">
        <v>5400</v>
      </c>
      <c r="F186" s="206">
        <v>31800.79</v>
      </c>
      <c r="G186" s="211">
        <v>50124</v>
      </c>
      <c r="H186" s="210">
        <f t="shared" si="2"/>
        <v>31800.79</v>
      </c>
      <c r="I186" s="206">
        <v>32268.350363687299</v>
      </c>
    </row>
    <row r="187" spans="5:9" x14ac:dyDescent="0.35">
      <c r="E187">
        <v>5430</v>
      </c>
      <c r="F187" s="206">
        <v>31800.79</v>
      </c>
      <c r="G187" s="211">
        <v>50155</v>
      </c>
      <c r="H187" s="210">
        <f t="shared" si="2"/>
        <v>31800.79</v>
      </c>
      <c r="I187" s="206">
        <v>32265.003755577709</v>
      </c>
    </row>
    <row r="188" spans="5:9" x14ac:dyDescent="0.35">
      <c r="E188">
        <v>5460</v>
      </c>
      <c r="F188" s="206">
        <v>31800.79</v>
      </c>
      <c r="G188" s="211">
        <v>50185</v>
      </c>
      <c r="H188" s="210">
        <f t="shared" si="2"/>
        <v>31800.79</v>
      </c>
      <c r="I188" s="206">
        <v>32261.613976223507</v>
      </c>
    </row>
    <row r="189" spans="5:9" x14ac:dyDescent="0.35">
      <c r="E189">
        <v>5490</v>
      </c>
      <c r="F189" s="206">
        <v>31800.79</v>
      </c>
      <c r="G189" s="211">
        <v>50216</v>
      </c>
      <c r="H189" s="210">
        <f t="shared" si="2"/>
        <v>31800.79</v>
      </c>
      <c r="I189" s="206">
        <v>32258.180468715636</v>
      </c>
    </row>
    <row r="190" spans="5:9" x14ac:dyDescent="0.35">
      <c r="E190">
        <v>5520</v>
      </c>
      <c r="F190" s="206">
        <v>31800.79</v>
      </c>
      <c r="G190" s="211">
        <v>50246</v>
      </c>
      <c r="H190" s="210">
        <f t="shared" si="2"/>
        <v>31800.79</v>
      </c>
      <c r="I190" s="206">
        <v>32254.702668960912</v>
      </c>
    </row>
    <row r="191" spans="5:9" x14ac:dyDescent="0.35">
      <c r="E191">
        <v>5550</v>
      </c>
      <c r="F191" s="206">
        <v>31800.79</v>
      </c>
      <c r="G191" s="211">
        <v>50277</v>
      </c>
      <c r="H191" s="210">
        <f t="shared" si="2"/>
        <v>31800.79</v>
      </c>
      <c r="I191" s="206">
        <v>32251.180005589355</v>
      </c>
    </row>
    <row r="192" spans="5:9" x14ac:dyDescent="0.35">
      <c r="E192">
        <v>5580</v>
      </c>
      <c r="F192" s="206">
        <v>31800.79</v>
      </c>
      <c r="G192" s="211">
        <v>50308</v>
      </c>
      <c r="H192" s="210">
        <f t="shared" si="2"/>
        <v>31800.79</v>
      </c>
      <c r="I192" s="206">
        <v>32247.611899860309</v>
      </c>
    </row>
    <row r="193" spans="5:9" x14ac:dyDescent="0.35">
      <c r="E193">
        <v>5610</v>
      </c>
      <c r="F193" s="206">
        <v>31800.79</v>
      </c>
      <c r="G193" s="211">
        <v>50338</v>
      </c>
      <c r="H193" s="210">
        <f t="shared" si="2"/>
        <v>31800.79</v>
      </c>
      <c r="I193" s="206">
        <v>32243.997765567347</v>
      </c>
    </row>
    <row r="194" spans="5:9" x14ac:dyDescent="0.35">
      <c r="E194">
        <v>5640</v>
      </c>
      <c r="F194" s="206">
        <v>31800.79</v>
      </c>
      <c r="G194" s="211">
        <v>50369</v>
      </c>
      <c r="H194" s="210">
        <f t="shared" si="2"/>
        <v>31800.79</v>
      </c>
      <c r="I194" s="206">
        <v>32240.33700894201</v>
      </c>
    </row>
    <row r="195" spans="5:9" x14ac:dyDescent="0.35">
      <c r="E195">
        <v>5670</v>
      </c>
      <c r="F195" s="206">
        <v>31800.79</v>
      </c>
      <c r="G195" s="211">
        <v>50399</v>
      </c>
      <c r="H195" s="210">
        <f t="shared" si="2"/>
        <v>31800.79</v>
      </c>
      <c r="I195" s="206">
        <v>32236.629028556206</v>
      </c>
    </row>
    <row r="196" spans="5:9" x14ac:dyDescent="0.35">
      <c r="E196">
        <v>5700</v>
      </c>
      <c r="F196" s="206">
        <v>31800.79</v>
      </c>
      <c r="G196" s="211">
        <v>50430</v>
      </c>
      <c r="H196" s="210">
        <f t="shared" si="2"/>
        <v>31800.79</v>
      </c>
      <c r="I196" s="206">
        <v>32232.873215223426</v>
      </c>
    </row>
    <row r="197" spans="5:9" x14ac:dyDescent="0.35">
      <c r="E197">
        <v>5730</v>
      </c>
      <c r="F197" s="206">
        <v>31800.79</v>
      </c>
      <c r="G197" s="211">
        <v>50461</v>
      </c>
      <c r="H197" s="210">
        <f t="shared" si="2"/>
        <v>31800.79</v>
      </c>
      <c r="I197" s="206">
        <v>32229.068951898658</v>
      </c>
    </row>
    <row r="198" spans="5:9" x14ac:dyDescent="0.35">
      <c r="E198">
        <v>5760</v>
      </c>
      <c r="F198" s="206">
        <v>31800.79</v>
      </c>
      <c r="G198" s="211">
        <v>50489</v>
      </c>
      <c r="H198" s="210">
        <f t="shared" si="2"/>
        <v>31800.79</v>
      </c>
      <c r="I198" s="206">
        <v>32225.215613576987</v>
      </c>
    </row>
    <row r="199" spans="5:9" x14ac:dyDescent="0.35">
      <c r="E199">
        <v>5790</v>
      </c>
      <c r="F199" s="206">
        <v>31800.79</v>
      </c>
      <c r="G199" s="211">
        <v>50520</v>
      </c>
      <c r="H199" s="210">
        <f t="shared" si="2"/>
        <v>31800.79</v>
      </c>
      <c r="I199" s="206">
        <v>32221.312567190977</v>
      </c>
    </row>
    <row r="200" spans="5:9" x14ac:dyDescent="0.35">
      <c r="E200">
        <v>5820</v>
      </c>
      <c r="F200" s="206">
        <v>31800.79</v>
      </c>
      <c r="G200" s="211">
        <v>50550</v>
      </c>
      <c r="H200" s="210">
        <f t="shared" ref="H200:H246" si="3">F200</f>
        <v>31800.79</v>
      </c>
      <c r="I200" s="206">
        <v>32217.359171506581</v>
      </c>
    </row>
    <row r="201" spans="5:9" x14ac:dyDescent="0.35">
      <c r="E201">
        <v>5850</v>
      </c>
      <c r="F201" s="206">
        <v>31800.79</v>
      </c>
      <c r="G201" s="211">
        <v>50581</v>
      </c>
      <c r="H201" s="210">
        <f t="shared" si="3"/>
        <v>31800.79</v>
      </c>
      <c r="I201" s="206">
        <v>32213.354777017863</v>
      </c>
    </row>
    <row r="202" spans="5:9" x14ac:dyDescent="0.35">
      <c r="E202">
        <v>5880</v>
      </c>
      <c r="F202" s="206">
        <v>31800.79</v>
      </c>
      <c r="G202" s="211">
        <v>50611</v>
      </c>
      <c r="H202" s="210">
        <f t="shared" si="3"/>
        <v>31800.79</v>
      </c>
      <c r="I202" s="206">
        <v>32209.298725840239</v>
      </c>
    </row>
    <row r="203" spans="5:9" x14ac:dyDescent="0.35">
      <c r="E203">
        <v>5910</v>
      </c>
      <c r="F203" s="206">
        <v>31800.79</v>
      </c>
      <c r="G203" s="211">
        <v>50642</v>
      </c>
      <c r="H203" s="210">
        <f t="shared" si="3"/>
        <v>31800.79</v>
      </c>
      <c r="I203" s="206">
        <v>32205.190351602421</v>
      </c>
    </row>
    <row r="204" spans="5:9" x14ac:dyDescent="0.35">
      <c r="E204">
        <v>5940</v>
      </c>
      <c r="F204" s="206">
        <v>31800.79</v>
      </c>
      <c r="G204" s="211">
        <v>50673</v>
      </c>
      <c r="H204" s="210">
        <f t="shared" si="3"/>
        <v>31800.79</v>
      </c>
      <c r="I204" s="206">
        <v>32201.028979336934</v>
      </c>
    </row>
    <row r="205" spans="5:9" x14ac:dyDescent="0.35">
      <c r="E205">
        <v>5970</v>
      </c>
      <c r="F205" s="206">
        <v>31800.79</v>
      </c>
      <c r="G205" s="211">
        <v>50703</v>
      </c>
      <c r="H205" s="210">
        <f t="shared" si="3"/>
        <v>31800.79</v>
      </c>
      <c r="I205" s="206">
        <v>32196.813925369224</v>
      </c>
    </row>
    <row r="206" spans="5:9" x14ac:dyDescent="0.35">
      <c r="E206">
        <v>6000</v>
      </c>
      <c r="F206" s="206">
        <v>31800.79</v>
      </c>
      <c r="G206" s="211">
        <v>50734</v>
      </c>
      <c r="H206" s="210">
        <f t="shared" si="3"/>
        <v>31800.79</v>
      </c>
      <c r="I206" s="206">
        <v>32192.544497205326</v>
      </c>
    </row>
    <row r="207" spans="5:9" x14ac:dyDescent="0.35">
      <c r="E207">
        <v>6030</v>
      </c>
      <c r="F207" s="206">
        <v>31800.79</v>
      </c>
      <c r="G207" s="211">
        <v>50764</v>
      </c>
      <c r="H207" s="210">
        <f t="shared" si="3"/>
        <v>31800.79</v>
      </c>
      <c r="I207" s="206">
        <v>32188.219993418126</v>
      </c>
    </row>
    <row r="208" spans="5:9" x14ac:dyDescent="0.35">
      <c r="E208">
        <v>6060</v>
      </c>
      <c r="F208" s="206">
        <v>31800.79</v>
      </c>
      <c r="G208" s="211">
        <v>50795</v>
      </c>
      <c r="H208" s="210">
        <f t="shared" si="3"/>
        <v>31800.79</v>
      </c>
      <c r="I208" s="206">
        <v>32183.839703532063</v>
      </c>
    </row>
    <row r="209" spans="5:9" x14ac:dyDescent="0.35">
      <c r="E209">
        <v>6090</v>
      </c>
      <c r="F209" s="206">
        <v>31800.79</v>
      </c>
      <c r="G209" s="211">
        <v>50826</v>
      </c>
      <c r="H209" s="210">
        <f t="shared" si="3"/>
        <v>31800.79</v>
      </c>
      <c r="I209" s="206">
        <v>32179.402907906464</v>
      </c>
    </row>
    <row r="210" spans="5:9" x14ac:dyDescent="0.35">
      <c r="E210">
        <v>6120</v>
      </c>
      <c r="F210" s="206">
        <v>31800.79</v>
      </c>
      <c r="G210" s="211">
        <v>50854</v>
      </c>
      <c r="H210" s="210">
        <f t="shared" si="3"/>
        <v>31800.79</v>
      </c>
      <c r="I210" s="206">
        <v>32174.908877617305</v>
      </c>
    </row>
    <row r="211" spans="5:9" x14ac:dyDescent="0.35">
      <c r="E211">
        <v>6150</v>
      </c>
      <c r="F211" s="206">
        <v>31800.79</v>
      </c>
      <c r="G211" s="211">
        <v>50885</v>
      </c>
      <c r="H211" s="210">
        <f t="shared" si="3"/>
        <v>31800.79</v>
      </c>
      <c r="I211" s="206">
        <v>32170.35687433742</v>
      </c>
    </row>
    <row r="212" spans="5:9" x14ac:dyDescent="0.35">
      <c r="E212">
        <v>6180</v>
      </c>
      <c r="F212" s="206">
        <v>31800.79</v>
      </c>
      <c r="G212" s="211">
        <v>50915</v>
      </c>
      <c r="H212" s="210">
        <f t="shared" si="3"/>
        <v>31800.79</v>
      </c>
      <c r="I212" s="206">
        <v>32165.746150215215</v>
      </c>
    </row>
    <row r="213" spans="5:9" x14ac:dyDescent="0.35">
      <c r="E213">
        <v>6210</v>
      </c>
      <c r="F213" s="206">
        <v>31800.79</v>
      </c>
      <c r="G213" s="211">
        <v>50946</v>
      </c>
      <c r="H213" s="210">
        <f t="shared" si="3"/>
        <v>31800.79</v>
      </c>
      <c r="I213" s="206">
        <v>32161.075947751837</v>
      </c>
    </row>
    <row r="214" spans="5:9" x14ac:dyDescent="0.35">
      <c r="E214">
        <v>6240</v>
      </c>
      <c r="F214" s="206">
        <v>31800.79</v>
      </c>
      <c r="G214" s="211">
        <v>50976</v>
      </c>
      <c r="H214" s="210">
        <f t="shared" si="3"/>
        <v>31800.79</v>
      </c>
      <c r="I214" s="206">
        <v>32156.345499676685</v>
      </c>
    </row>
    <row r="215" spans="5:9" x14ac:dyDescent="0.35">
      <c r="E215">
        <v>6270</v>
      </c>
      <c r="F215" s="206">
        <v>31800.79</v>
      </c>
      <c r="G215" s="211">
        <v>51007</v>
      </c>
      <c r="H215" s="210">
        <f t="shared" si="3"/>
        <v>31800.79</v>
      </c>
      <c r="I215" s="206">
        <v>32151.55402882136</v>
      </c>
    </row>
    <row r="216" spans="5:9" x14ac:dyDescent="0.35">
      <c r="E216">
        <v>6300</v>
      </c>
      <c r="F216" s="206">
        <v>31800.79</v>
      </c>
      <c r="G216" s="211">
        <v>51038</v>
      </c>
      <c r="H216" s="210">
        <f t="shared" si="3"/>
        <v>31800.79</v>
      </c>
      <c r="I216" s="206">
        <v>32146.700747991996</v>
      </c>
    </row>
    <row r="217" spans="5:9" x14ac:dyDescent="0.35">
      <c r="E217">
        <v>6330</v>
      </c>
      <c r="F217" s="206">
        <v>31800.79</v>
      </c>
      <c r="G217" s="211">
        <v>51068</v>
      </c>
      <c r="H217" s="210">
        <f t="shared" si="3"/>
        <v>31800.79</v>
      </c>
      <c r="I217" s="206">
        <v>32141.784859839936</v>
      </c>
    </row>
    <row r="218" spans="5:9" x14ac:dyDescent="0.35">
      <c r="E218">
        <v>6360</v>
      </c>
      <c r="F218" s="206">
        <v>31800.79</v>
      </c>
      <c r="G218" s="211">
        <v>51099</v>
      </c>
      <c r="H218" s="210">
        <f t="shared" si="3"/>
        <v>31800.79</v>
      </c>
      <c r="I218" s="206">
        <v>32136.805556730709</v>
      </c>
    </row>
    <row r="219" spans="5:9" x14ac:dyDescent="0.35">
      <c r="E219">
        <v>6390</v>
      </c>
      <c r="F219" s="206">
        <v>31800.79</v>
      </c>
      <c r="G219" s="211">
        <v>51129</v>
      </c>
      <c r="H219" s="210">
        <f t="shared" si="3"/>
        <v>31800.79</v>
      </c>
      <c r="I219" s="206">
        <v>32131.762020611386</v>
      </c>
    </row>
    <row r="220" spans="5:9" x14ac:dyDescent="0.35">
      <c r="E220">
        <v>6420</v>
      </c>
      <c r="F220" s="206">
        <v>31800.79</v>
      </c>
      <c r="G220" s="211">
        <v>51160</v>
      </c>
      <c r="H220" s="210">
        <f t="shared" si="3"/>
        <v>31800.79</v>
      </c>
      <c r="I220" s="206">
        <v>32126.653422876112</v>
      </c>
    </row>
    <row r="221" spans="5:9" x14ac:dyDescent="0.35">
      <c r="E221">
        <v>6450</v>
      </c>
      <c r="F221" s="206">
        <v>31800.79</v>
      </c>
      <c r="G221" s="211">
        <v>51191</v>
      </c>
      <c r="H221" s="210">
        <f t="shared" si="3"/>
        <v>31800.79</v>
      </c>
      <c r="I221" s="206">
        <v>32121.478924230058</v>
      </c>
    </row>
    <row r="222" spans="5:9" x14ac:dyDescent="0.35">
      <c r="E222">
        <v>6480</v>
      </c>
      <c r="F222" s="206">
        <v>31800.79</v>
      </c>
      <c r="G222" s="211">
        <v>51220</v>
      </c>
      <c r="H222" s="210">
        <f t="shared" si="3"/>
        <v>31800.79</v>
      </c>
      <c r="I222" s="206">
        <v>32116.237674551478</v>
      </c>
    </row>
    <row r="223" spans="5:9" x14ac:dyDescent="0.35">
      <c r="E223">
        <v>6510</v>
      </c>
      <c r="F223" s="206">
        <v>31800.79</v>
      </c>
      <c r="G223" s="211">
        <v>51251</v>
      </c>
      <c r="H223" s="210">
        <f t="shared" si="3"/>
        <v>31800.79</v>
      </c>
      <c r="I223" s="206">
        <v>32110.928812752027</v>
      </c>
    </row>
    <row r="224" spans="5:9" x14ac:dyDescent="0.35">
      <c r="E224">
        <v>6540</v>
      </c>
      <c r="F224" s="206">
        <v>31800.79</v>
      </c>
      <c r="G224" s="211">
        <v>51281</v>
      </c>
      <c r="H224" s="210">
        <f t="shared" si="3"/>
        <v>31800.79</v>
      </c>
      <c r="I224" s="206">
        <v>32105.551466635374</v>
      </c>
    </row>
    <row r="225" spans="5:9" x14ac:dyDescent="0.35">
      <c r="E225">
        <v>6570</v>
      </c>
      <c r="F225" s="206">
        <v>31800.79</v>
      </c>
      <c r="G225" s="211">
        <v>51312</v>
      </c>
      <c r="H225" s="210">
        <f t="shared" si="3"/>
        <v>31800.79</v>
      </c>
      <c r="I225" s="206">
        <v>32100.104752753814</v>
      </c>
    </row>
    <row r="226" spans="5:9" x14ac:dyDescent="0.35">
      <c r="E226">
        <v>6600</v>
      </c>
      <c r="F226" s="206">
        <v>31800.79</v>
      </c>
      <c r="G226" s="211">
        <v>51342</v>
      </c>
      <c r="H226" s="210">
        <f t="shared" si="3"/>
        <v>31800.79</v>
      </c>
      <c r="I226" s="206">
        <v>32094.587776263194</v>
      </c>
    </row>
    <row r="227" spans="5:9" x14ac:dyDescent="0.35">
      <c r="E227">
        <v>6630</v>
      </c>
      <c r="F227" s="206">
        <v>31800.79</v>
      </c>
      <c r="G227" s="211">
        <v>51373</v>
      </c>
      <c r="H227" s="210">
        <f t="shared" si="3"/>
        <v>31800.79</v>
      </c>
      <c r="I227" s="206">
        <v>32088.999630775816</v>
      </c>
    </row>
    <row r="228" spans="5:9" x14ac:dyDescent="0.35">
      <c r="E228">
        <v>6660</v>
      </c>
      <c r="F228" s="206">
        <v>31800.79</v>
      </c>
      <c r="G228" s="211">
        <v>51404</v>
      </c>
      <c r="H228" s="210">
        <f t="shared" si="3"/>
        <v>31800.79</v>
      </c>
      <c r="I228" s="206">
        <v>32083.339398211676</v>
      </c>
    </row>
    <row r="229" spans="5:9" x14ac:dyDescent="0.35">
      <c r="E229">
        <v>6690</v>
      </c>
      <c r="F229" s="206">
        <v>31800.79</v>
      </c>
      <c r="G229" s="211">
        <v>51434</v>
      </c>
      <c r="H229" s="210">
        <f t="shared" si="3"/>
        <v>31800.79</v>
      </c>
      <c r="I229" s="206">
        <v>32077.60614864745</v>
      </c>
    </row>
    <row r="230" spans="5:9" x14ac:dyDescent="0.35">
      <c r="E230">
        <v>6720</v>
      </c>
      <c r="F230" s="206">
        <v>31800.79</v>
      </c>
      <c r="G230" s="211">
        <v>51465</v>
      </c>
      <c r="H230" s="210">
        <f t="shared" si="3"/>
        <v>31800.79</v>
      </c>
      <c r="I230" s="206">
        <v>32071.798940163841</v>
      </c>
    </row>
    <row r="231" spans="5:9" x14ac:dyDescent="0.35">
      <c r="E231">
        <v>6750</v>
      </c>
      <c r="F231" s="206">
        <v>31800.79</v>
      </c>
      <c r="G231" s="211">
        <v>51495</v>
      </c>
      <c r="H231" s="210">
        <f t="shared" si="3"/>
        <v>31800.79</v>
      </c>
      <c r="I231" s="206">
        <v>32065.916818690806</v>
      </c>
    </row>
    <row r="232" spans="5:9" x14ac:dyDescent="0.35">
      <c r="E232">
        <v>6780</v>
      </c>
      <c r="F232" s="206">
        <v>31800.79</v>
      </c>
      <c r="G232" s="211">
        <v>51526</v>
      </c>
      <c r="H232" s="210">
        <f t="shared" si="3"/>
        <v>31800.79</v>
      </c>
      <c r="I232" s="206">
        <v>32059.958817850755</v>
      </c>
    </row>
    <row r="233" spans="5:9" x14ac:dyDescent="0.35">
      <c r="E233">
        <v>6810</v>
      </c>
      <c r="F233" s="206">
        <v>31800.79</v>
      </c>
      <c r="G233" s="211">
        <v>51557</v>
      </c>
      <c r="H233" s="210">
        <f t="shared" si="3"/>
        <v>31800.79</v>
      </c>
      <c r="I233" s="206">
        <v>32053.923958799882</v>
      </c>
    </row>
    <row r="234" spans="5:9" x14ac:dyDescent="0.35">
      <c r="E234">
        <v>6840</v>
      </c>
      <c r="F234" s="206">
        <v>31800.79</v>
      </c>
      <c r="G234" s="211">
        <v>51585</v>
      </c>
      <c r="H234" s="210">
        <f t="shared" si="3"/>
        <v>31800.79</v>
      </c>
      <c r="I234" s="206">
        <v>32047.811250067247</v>
      </c>
    </row>
    <row r="235" spans="5:9" x14ac:dyDescent="0.35">
      <c r="E235">
        <v>6870</v>
      </c>
      <c r="F235" s="206">
        <v>31800.79</v>
      </c>
      <c r="G235" s="211">
        <v>51616</v>
      </c>
      <c r="H235" s="210">
        <f t="shared" si="3"/>
        <v>31800.79</v>
      </c>
      <c r="I235" s="206">
        <v>32041.619687391951</v>
      </c>
    </row>
    <row r="236" spans="5:9" x14ac:dyDescent="0.35">
      <c r="E236">
        <v>6900</v>
      </c>
      <c r="F236" s="206">
        <v>31800.79</v>
      </c>
      <c r="G236" s="211">
        <v>51646</v>
      </c>
      <c r="H236" s="210">
        <f t="shared" si="3"/>
        <v>31800.79</v>
      </c>
      <c r="I236" s="206">
        <v>32035.348253558157</v>
      </c>
    </row>
    <row r="237" spans="5:9" x14ac:dyDescent="0.35">
      <c r="E237">
        <v>6930</v>
      </c>
      <c r="F237" s="206">
        <v>31800.79</v>
      </c>
      <c r="G237" s="211">
        <v>51677</v>
      </c>
      <c r="H237" s="210">
        <f t="shared" si="3"/>
        <v>31800.79</v>
      </c>
      <c r="I237" s="206">
        <v>32028.995918227905</v>
      </c>
    </row>
    <row r="238" spans="5:9" x14ac:dyDescent="0.35">
      <c r="E238">
        <v>6960</v>
      </c>
      <c r="F238" s="206">
        <v>31800.79</v>
      </c>
      <c r="G238" s="211">
        <v>51707</v>
      </c>
      <c r="H238" s="210">
        <f t="shared" si="3"/>
        <v>31800.79</v>
      </c>
      <c r="I238" s="206">
        <v>32022.561637771887</v>
      </c>
    </row>
    <row r="239" spans="5:9" x14ac:dyDescent="0.35">
      <c r="E239">
        <v>6990</v>
      </c>
      <c r="F239" s="206">
        <v>31800.79</v>
      </c>
      <c r="G239" s="211">
        <v>51738</v>
      </c>
      <c r="H239" s="210">
        <f t="shared" si="3"/>
        <v>31800.79</v>
      </c>
      <c r="I239" s="206">
        <v>32016.044355097991</v>
      </c>
    </row>
    <row r="240" spans="5:9" x14ac:dyDescent="0.35">
      <c r="E240">
        <v>7020</v>
      </c>
      <c r="F240" s="206">
        <v>31800.79</v>
      </c>
      <c r="G240" s="211">
        <v>51769</v>
      </c>
      <c r="H240" s="210">
        <f t="shared" si="3"/>
        <v>31800.79</v>
      </c>
      <c r="I240" s="206">
        <v>32009.442999477607</v>
      </c>
    </row>
    <row r="241" spans="5:20" x14ac:dyDescent="0.35">
      <c r="E241">
        <v>7050</v>
      </c>
      <c r="F241" s="206">
        <v>31800.79</v>
      </c>
      <c r="G241" s="211">
        <v>51799</v>
      </c>
      <c r="H241" s="210">
        <f t="shared" si="3"/>
        <v>31800.79</v>
      </c>
      <c r="I241" s="206">
        <v>32002.756486369704</v>
      </c>
    </row>
    <row r="242" spans="5:20" x14ac:dyDescent="0.35">
      <c r="E242">
        <v>7080</v>
      </c>
      <c r="F242" s="206">
        <v>31800.79</v>
      </c>
      <c r="G242" s="211">
        <v>51830</v>
      </c>
      <c r="H242" s="210">
        <f t="shared" si="3"/>
        <v>31800.79</v>
      </c>
      <c r="I242" s="206">
        <v>31995.983717242707</v>
      </c>
    </row>
    <row r="243" spans="5:20" x14ac:dyDescent="0.35">
      <c r="E243">
        <v>7110</v>
      </c>
      <c r="F243" s="206">
        <v>31800.79</v>
      </c>
      <c r="G243" s="211">
        <v>51860</v>
      </c>
      <c r="H243" s="210">
        <f t="shared" si="3"/>
        <v>31800.79</v>
      </c>
      <c r="I243" s="206">
        <v>31989.123579393996</v>
      </c>
    </row>
    <row r="244" spans="5:20" x14ac:dyDescent="0.35">
      <c r="E244">
        <v>7140</v>
      </c>
      <c r="F244" s="206">
        <v>31800.79</v>
      </c>
      <c r="G244" s="211">
        <v>51891</v>
      </c>
      <c r="H244" s="210">
        <f t="shared" si="3"/>
        <v>31800.79</v>
      </c>
      <c r="I244" s="206">
        <v>31982.174945767023</v>
      </c>
    </row>
    <row r="245" spans="5:20" x14ac:dyDescent="0.35">
      <c r="E245">
        <v>7170</v>
      </c>
      <c r="F245" s="206">
        <v>31800.79</v>
      </c>
      <c r="G245" s="211">
        <v>51922</v>
      </c>
      <c r="H245" s="210">
        <f t="shared" si="3"/>
        <v>31800.79</v>
      </c>
      <c r="I245" s="206">
        <v>31975.136674766261</v>
      </c>
    </row>
    <row r="246" spans="5:20" x14ac:dyDescent="0.35">
      <c r="E246">
        <v>7200</v>
      </c>
      <c r="F246" s="206">
        <v>31800.79</v>
      </c>
      <c r="G246" s="211">
        <v>51950</v>
      </c>
      <c r="H246" s="210">
        <f t="shared" si="3"/>
        <v>31800.79</v>
      </c>
      <c r="I246" s="206">
        <v>31968.007610069584</v>
      </c>
    </row>
    <row r="247" spans="5:20" x14ac:dyDescent="0.35">
      <c r="F247" s="206"/>
    </row>
    <row r="248" spans="5:20" x14ac:dyDescent="0.35">
      <c r="F248" s="207">
        <f>XIRR(F6:F246,E6:E246,0)+1</f>
        <v>1.1687634521484376</v>
      </c>
      <c r="H248" s="207">
        <f>XIRR(H6:H246,G6:G246,0)+1</f>
        <v>1.1735778173828124</v>
      </c>
      <c r="I248" s="207">
        <f>XIRR(I6:I246,G6:G246,0)+1</f>
        <v>1.1780364892578126</v>
      </c>
    </row>
    <row r="249" spans="5:20" x14ac:dyDescent="0.35">
      <c r="F249" s="209">
        <f>(F248)^(30/365)-1</f>
        <v>1.2900001354372526E-2</v>
      </c>
      <c r="H249" s="209">
        <f>(H248)^(30/365)-1</f>
        <v>1.3242286303216444E-2</v>
      </c>
      <c r="I249" s="209">
        <f>(I248)^(30/365)-1</f>
        <v>1.3558135162040186E-2</v>
      </c>
    </row>
    <row r="250" spans="5:20" x14ac:dyDescent="0.35">
      <c r="F250" s="206"/>
    </row>
    <row r="251" spans="5:20" x14ac:dyDescent="0.35">
      <c r="F251" s="206"/>
      <c r="H251" s="208">
        <f>H248-1</f>
        <v>0.17357781738281242</v>
      </c>
      <c r="I251" s="208">
        <f>I248-1</f>
        <v>0.17803648925781257</v>
      </c>
    </row>
    <row r="252" spans="5:20" x14ac:dyDescent="0.35">
      <c r="H252" t="s">
        <v>387</v>
      </c>
      <c r="I252" s="206" t="s">
        <v>388</v>
      </c>
      <c r="T252" s="206"/>
    </row>
    <row r="253" spans="5:20" x14ac:dyDescent="0.35">
      <c r="T253" s="206"/>
    </row>
    <row r="254" spans="5:20" x14ac:dyDescent="0.35">
      <c r="T254" s="206"/>
    </row>
    <row r="255" spans="5:20" x14ac:dyDescent="0.35">
      <c r="T255" s="206"/>
    </row>
    <row r="256" spans="5:20" x14ac:dyDescent="0.35">
      <c r="T256" s="206"/>
    </row>
    <row r="257" spans="20:20" x14ac:dyDescent="0.35">
      <c r="T257" s="206"/>
    </row>
    <row r="258" spans="20:20" x14ac:dyDescent="0.35">
      <c r="T258" s="206"/>
    </row>
    <row r="259" spans="20:20" x14ac:dyDescent="0.35">
      <c r="T259" s="206"/>
    </row>
    <row r="260" spans="20:20" x14ac:dyDescent="0.35">
      <c r="T260" s="206"/>
    </row>
    <row r="261" spans="20:20" x14ac:dyDescent="0.35">
      <c r="T261" s="206"/>
    </row>
    <row r="262" spans="20:20" x14ac:dyDescent="0.35">
      <c r="T262" s="206"/>
    </row>
    <row r="263" spans="20:20" x14ac:dyDescent="0.35">
      <c r="T263" s="206"/>
    </row>
    <row r="264" spans="20:20" x14ac:dyDescent="0.35">
      <c r="T264" s="206"/>
    </row>
    <row r="265" spans="20:20" x14ac:dyDescent="0.35">
      <c r="T265" s="206"/>
    </row>
    <row r="266" spans="20:20" x14ac:dyDescent="0.35">
      <c r="T266" s="206"/>
    </row>
    <row r="267" spans="20:20" x14ac:dyDescent="0.35">
      <c r="T267" s="206"/>
    </row>
    <row r="268" spans="20:20" x14ac:dyDescent="0.35">
      <c r="T268" s="206"/>
    </row>
    <row r="269" spans="20:20" x14ac:dyDescent="0.35">
      <c r="T269" s="206"/>
    </row>
    <row r="270" spans="20:20" x14ac:dyDescent="0.35">
      <c r="T270" s="206"/>
    </row>
    <row r="271" spans="20:20" x14ac:dyDescent="0.35">
      <c r="T271" s="206"/>
    </row>
    <row r="272" spans="20:20" x14ac:dyDescent="0.35">
      <c r="T272" s="206"/>
    </row>
    <row r="273" spans="20:20" x14ac:dyDescent="0.35">
      <c r="T273" s="206"/>
    </row>
    <row r="274" spans="20:20" x14ac:dyDescent="0.35">
      <c r="T274" s="206"/>
    </row>
    <row r="275" spans="20:20" x14ac:dyDescent="0.35">
      <c r="T275" s="206"/>
    </row>
    <row r="276" spans="20:20" x14ac:dyDescent="0.35">
      <c r="T276" s="206"/>
    </row>
    <row r="277" spans="20:20" x14ac:dyDescent="0.35">
      <c r="T277" s="206"/>
    </row>
    <row r="278" spans="20:20" x14ac:dyDescent="0.35">
      <c r="T278" s="206"/>
    </row>
    <row r="279" spans="20:20" x14ac:dyDescent="0.35">
      <c r="T279" s="206"/>
    </row>
    <row r="280" spans="20:20" x14ac:dyDescent="0.35">
      <c r="T280" s="206"/>
    </row>
    <row r="281" spans="20:20" x14ac:dyDescent="0.35">
      <c r="T281" s="206"/>
    </row>
    <row r="282" spans="20:20" x14ac:dyDescent="0.35">
      <c r="T282" s="206"/>
    </row>
    <row r="283" spans="20:20" x14ac:dyDescent="0.35">
      <c r="T283" s="206"/>
    </row>
    <row r="284" spans="20:20" x14ac:dyDescent="0.35">
      <c r="T284" s="206"/>
    </row>
    <row r="285" spans="20:20" x14ac:dyDescent="0.35">
      <c r="T285" s="206"/>
    </row>
    <row r="286" spans="20:20" x14ac:dyDescent="0.35">
      <c r="T286" s="206"/>
    </row>
    <row r="287" spans="20:20" x14ac:dyDescent="0.35">
      <c r="T287" s="206"/>
    </row>
    <row r="288" spans="20:20" x14ac:dyDescent="0.35">
      <c r="T288" s="206"/>
    </row>
    <row r="289" spans="20:20" x14ac:dyDescent="0.35">
      <c r="T289" s="206"/>
    </row>
    <row r="290" spans="20:20" x14ac:dyDescent="0.35">
      <c r="T290" s="206"/>
    </row>
    <row r="291" spans="20:20" x14ac:dyDescent="0.35">
      <c r="T291" s="206"/>
    </row>
    <row r="292" spans="20:20" x14ac:dyDescent="0.35">
      <c r="T292" s="206"/>
    </row>
    <row r="293" spans="20:20" x14ac:dyDescent="0.35">
      <c r="T293" s="206"/>
    </row>
    <row r="294" spans="20:20" x14ac:dyDescent="0.35">
      <c r="T294" s="206"/>
    </row>
    <row r="295" spans="20:20" x14ac:dyDescent="0.35">
      <c r="T295" s="206"/>
    </row>
    <row r="296" spans="20:20" x14ac:dyDescent="0.35">
      <c r="T296" s="206"/>
    </row>
    <row r="297" spans="20:20" x14ac:dyDescent="0.35">
      <c r="T297" s="206"/>
    </row>
    <row r="298" spans="20:20" x14ac:dyDescent="0.35">
      <c r="T298" s="206"/>
    </row>
    <row r="299" spans="20:20" x14ac:dyDescent="0.35">
      <c r="T299" s="206"/>
    </row>
    <row r="300" spans="20:20" x14ac:dyDescent="0.35">
      <c r="T300" s="206"/>
    </row>
    <row r="301" spans="20:20" x14ac:dyDescent="0.35">
      <c r="T301" s="206"/>
    </row>
    <row r="302" spans="20:20" x14ac:dyDescent="0.35">
      <c r="T302" s="206"/>
    </row>
    <row r="303" spans="20:20" x14ac:dyDescent="0.35">
      <c r="T303" s="206"/>
    </row>
    <row r="304" spans="20:20" x14ac:dyDescent="0.35">
      <c r="T304" s="206"/>
    </row>
    <row r="305" spans="20:20" x14ac:dyDescent="0.35">
      <c r="T305" s="206"/>
    </row>
    <row r="306" spans="20:20" x14ac:dyDescent="0.35">
      <c r="T306" s="206"/>
    </row>
    <row r="307" spans="20:20" x14ac:dyDescent="0.35">
      <c r="T307" s="206"/>
    </row>
    <row r="308" spans="20:20" x14ac:dyDescent="0.35">
      <c r="T308" s="206"/>
    </row>
    <row r="309" spans="20:20" x14ac:dyDescent="0.35">
      <c r="T309" s="206"/>
    </row>
    <row r="310" spans="20:20" x14ac:dyDescent="0.35">
      <c r="T310" s="206"/>
    </row>
    <row r="311" spans="20:20" x14ac:dyDescent="0.35">
      <c r="T311" s="206"/>
    </row>
    <row r="312" spans="20:20" x14ac:dyDescent="0.35">
      <c r="T312" s="206"/>
    </row>
    <row r="313" spans="20:20" x14ac:dyDescent="0.35">
      <c r="T313" s="206"/>
    </row>
    <row r="314" spans="20:20" x14ac:dyDescent="0.35">
      <c r="T314" s="206"/>
    </row>
    <row r="315" spans="20:20" x14ac:dyDescent="0.35">
      <c r="T315" s="206"/>
    </row>
    <row r="316" spans="20:20" x14ac:dyDescent="0.35">
      <c r="T316" s="206"/>
    </row>
    <row r="317" spans="20:20" x14ac:dyDescent="0.35">
      <c r="T317" s="206"/>
    </row>
    <row r="318" spans="20:20" x14ac:dyDescent="0.35">
      <c r="T318" s="206"/>
    </row>
    <row r="319" spans="20:20" x14ac:dyDescent="0.35">
      <c r="T319" s="206"/>
    </row>
    <row r="320" spans="20:20" x14ac:dyDescent="0.35">
      <c r="T320" s="206"/>
    </row>
    <row r="321" spans="20:20" x14ac:dyDescent="0.35">
      <c r="T321" s="206"/>
    </row>
    <row r="322" spans="20:20" x14ac:dyDescent="0.35">
      <c r="T322" s="206"/>
    </row>
    <row r="323" spans="20:20" x14ac:dyDescent="0.35">
      <c r="T323" s="206"/>
    </row>
    <row r="324" spans="20:20" x14ac:dyDescent="0.35">
      <c r="T324" s="206"/>
    </row>
    <row r="325" spans="20:20" x14ac:dyDescent="0.35">
      <c r="T325" s="206"/>
    </row>
    <row r="326" spans="20:20" x14ac:dyDescent="0.35">
      <c r="T326" s="206"/>
    </row>
    <row r="327" spans="20:20" x14ac:dyDescent="0.35">
      <c r="T327" s="206"/>
    </row>
    <row r="328" spans="20:20" x14ac:dyDescent="0.35">
      <c r="T328" s="206"/>
    </row>
    <row r="329" spans="20:20" x14ac:dyDescent="0.35">
      <c r="T329" s="206"/>
    </row>
    <row r="330" spans="20:20" x14ac:dyDescent="0.35">
      <c r="T330" s="206"/>
    </row>
    <row r="331" spans="20:20" x14ac:dyDescent="0.35">
      <c r="T331" s="206"/>
    </row>
    <row r="332" spans="20:20" x14ac:dyDescent="0.35">
      <c r="T332" s="206"/>
    </row>
    <row r="333" spans="20:20" x14ac:dyDescent="0.35">
      <c r="T333" s="206"/>
    </row>
    <row r="334" spans="20:20" x14ac:dyDescent="0.35">
      <c r="T334" s="206"/>
    </row>
    <row r="335" spans="20:20" x14ac:dyDescent="0.35">
      <c r="T335" s="206"/>
    </row>
    <row r="336" spans="20:20" x14ac:dyDescent="0.35">
      <c r="T336" s="206"/>
    </row>
    <row r="337" spans="20:20" x14ac:dyDescent="0.35">
      <c r="T337" s="206"/>
    </row>
    <row r="338" spans="20:20" x14ac:dyDescent="0.35">
      <c r="T338" s="206"/>
    </row>
    <row r="339" spans="20:20" x14ac:dyDescent="0.35">
      <c r="T339" s="206"/>
    </row>
    <row r="340" spans="20:20" x14ac:dyDescent="0.35">
      <c r="T340" s="206"/>
    </row>
    <row r="341" spans="20:20" x14ac:dyDescent="0.35">
      <c r="T341" s="206"/>
    </row>
    <row r="342" spans="20:20" x14ac:dyDescent="0.35">
      <c r="T342" s="206"/>
    </row>
    <row r="343" spans="20:20" x14ac:dyDescent="0.35">
      <c r="T343" s="206"/>
    </row>
    <row r="344" spans="20:20" x14ac:dyDescent="0.35">
      <c r="T344" s="206"/>
    </row>
    <row r="345" spans="20:20" x14ac:dyDescent="0.35">
      <c r="T345" s="206"/>
    </row>
    <row r="346" spans="20:20" x14ac:dyDescent="0.35">
      <c r="T346" s="206"/>
    </row>
    <row r="347" spans="20:20" x14ac:dyDescent="0.35">
      <c r="T347" s="206"/>
    </row>
    <row r="348" spans="20:20" x14ac:dyDescent="0.35">
      <c r="T348" s="206"/>
    </row>
    <row r="349" spans="20:20" x14ac:dyDescent="0.35">
      <c r="T349" s="206"/>
    </row>
    <row r="350" spans="20:20" x14ac:dyDescent="0.35">
      <c r="T350" s="206"/>
    </row>
    <row r="351" spans="20:20" x14ac:dyDescent="0.35">
      <c r="T351" s="206"/>
    </row>
    <row r="352" spans="20:20" x14ac:dyDescent="0.35">
      <c r="T352" s="206"/>
    </row>
    <row r="353" spans="20:20" x14ac:dyDescent="0.35">
      <c r="T353" s="206"/>
    </row>
    <row r="354" spans="20:20" x14ac:dyDescent="0.35">
      <c r="T354" s="206"/>
    </row>
    <row r="355" spans="20:20" x14ac:dyDescent="0.35">
      <c r="T355" s="206"/>
    </row>
    <row r="356" spans="20:20" x14ac:dyDescent="0.35">
      <c r="T356" s="206"/>
    </row>
    <row r="357" spans="20:20" x14ac:dyDescent="0.35">
      <c r="T357" s="206"/>
    </row>
    <row r="358" spans="20:20" x14ac:dyDescent="0.35">
      <c r="T358" s="206"/>
    </row>
    <row r="359" spans="20:20" x14ac:dyDescent="0.35">
      <c r="T359" s="206"/>
    </row>
    <row r="360" spans="20:20" x14ac:dyDescent="0.35">
      <c r="T360" s="206"/>
    </row>
    <row r="361" spans="20:20" x14ac:dyDescent="0.35">
      <c r="T361" s="206"/>
    </row>
    <row r="362" spans="20:20" x14ac:dyDescent="0.35">
      <c r="T362" s="206"/>
    </row>
    <row r="363" spans="20:20" x14ac:dyDescent="0.35">
      <c r="T363" s="206"/>
    </row>
    <row r="364" spans="20:20" x14ac:dyDescent="0.35">
      <c r="T364" s="206"/>
    </row>
    <row r="365" spans="20:20" x14ac:dyDescent="0.35">
      <c r="T365" s="206"/>
    </row>
    <row r="366" spans="20:20" x14ac:dyDescent="0.35">
      <c r="T366" s="206"/>
    </row>
    <row r="367" spans="20:20" x14ac:dyDescent="0.35">
      <c r="T367" s="206"/>
    </row>
    <row r="368" spans="20:20" x14ac:dyDescent="0.35">
      <c r="T368" s="206"/>
    </row>
    <row r="369" spans="20:20" x14ac:dyDescent="0.35">
      <c r="T369" s="206"/>
    </row>
    <row r="370" spans="20:20" x14ac:dyDescent="0.35">
      <c r="T370" s="206"/>
    </row>
    <row r="371" spans="20:20" x14ac:dyDescent="0.35">
      <c r="T371" s="206"/>
    </row>
    <row r="372" spans="20:20" x14ac:dyDescent="0.35">
      <c r="T372" s="206"/>
    </row>
    <row r="373" spans="20:20" x14ac:dyDescent="0.35">
      <c r="T373" s="206"/>
    </row>
    <row r="374" spans="20:20" x14ac:dyDescent="0.35">
      <c r="T374" s="206"/>
    </row>
    <row r="375" spans="20:20" x14ac:dyDescent="0.35">
      <c r="T375" s="206"/>
    </row>
    <row r="376" spans="20:20" x14ac:dyDescent="0.35">
      <c r="T376" s="206"/>
    </row>
    <row r="377" spans="20:20" x14ac:dyDescent="0.35">
      <c r="T377" s="206"/>
    </row>
    <row r="378" spans="20:20" x14ac:dyDescent="0.35">
      <c r="T378" s="206"/>
    </row>
    <row r="379" spans="20:20" x14ac:dyDescent="0.35">
      <c r="T379" s="206"/>
    </row>
    <row r="380" spans="20:20" x14ac:dyDescent="0.35">
      <c r="T380" s="206"/>
    </row>
    <row r="381" spans="20:20" x14ac:dyDescent="0.35">
      <c r="T381" s="206"/>
    </row>
    <row r="382" spans="20:20" x14ac:dyDescent="0.35">
      <c r="T382" s="206"/>
    </row>
    <row r="383" spans="20:20" x14ac:dyDescent="0.35">
      <c r="T383" s="206"/>
    </row>
    <row r="384" spans="20:20" x14ac:dyDescent="0.35">
      <c r="T384" s="206"/>
    </row>
    <row r="385" spans="20:20" x14ac:dyDescent="0.35">
      <c r="T385" s="206"/>
    </row>
    <row r="386" spans="20:20" x14ac:dyDescent="0.35">
      <c r="T386" s="206"/>
    </row>
    <row r="387" spans="20:20" x14ac:dyDescent="0.35">
      <c r="T387" s="206"/>
    </row>
    <row r="388" spans="20:20" x14ac:dyDescent="0.35">
      <c r="T388" s="206"/>
    </row>
    <row r="389" spans="20:20" x14ac:dyDescent="0.35">
      <c r="T389" s="206"/>
    </row>
    <row r="390" spans="20:20" x14ac:dyDescent="0.35">
      <c r="T390" s="206"/>
    </row>
    <row r="391" spans="20:20" x14ac:dyDescent="0.35">
      <c r="T391" s="206"/>
    </row>
    <row r="392" spans="20:20" x14ac:dyDescent="0.35">
      <c r="T392" s="206"/>
    </row>
    <row r="393" spans="20:20" x14ac:dyDescent="0.35">
      <c r="T393" s="206"/>
    </row>
    <row r="394" spans="20:20" x14ac:dyDescent="0.35">
      <c r="T394" s="206"/>
    </row>
    <row r="395" spans="20:20" x14ac:dyDescent="0.35">
      <c r="T395" s="206"/>
    </row>
    <row r="396" spans="20:20" x14ac:dyDescent="0.35">
      <c r="T396" s="206"/>
    </row>
    <row r="397" spans="20:20" x14ac:dyDescent="0.35">
      <c r="T397" s="206"/>
    </row>
    <row r="398" spans="20:20" x14ac:dyDescent="0.35">
      <c r="T398" s="206"/>
    </row>
    <row r="399" spans="20:20" x14ac:dyDescent="0.35">
      <c r="T399" s="206"/>
    </row>
    <row r="400" spans="20:20" x14ac:dyDescent="0.35">
      <c r="T400" s="206"/>
    </row>
    <row r="401" spans="20:20" x14ac:dyDescent="0.35">
      <c r="T401" s="206"/>
    </row>
    <row r="402" spans="20:20" x14ac:dyDescent="0.35">
      <c r="T402" s="206"/>
    </row>
    <row r="403" spans="20:20" x14ac:dyDescent="0.35">
      <c r="T403" s="206"/>
    </row>
    <row r="404" spans="20:20" x14ac:dyDescent="0.35">
      <c r="T404" s="206"/>
    </row>
    <row r="405" spans="20:20" x14ac:dyDescent="0.35">
      <c r="T405" s="206"/>
    </row>
    <row r="406" spans="20:20" x14ac:dyDescent="0.35">
      <c r="T406" s="206"/>
    </row>
    <row r="407" spans="20:20" x14ac:dyDescent="0.35">
      <c r="T407" s="206"/>
    </row>
    <row r="408" spans="20:20" x14ac:dyDescent="0.35">
      <c r="T408" s="206"/>
    </row>
    <row r="409" spans="20:20" x14ac:dyDescent="0.35">
      <c r="T409" s="206"/>
    </row>
    <row r="410" spans="20:20" x14ac:dyDescent="0.35">
      <c r="T410" s="206"/>
    </row>
    <row r="411" spans="20:20" x14ac:dyDescent="0.35">
      <c r="T411" s="206"/>
    </row>
    <row r="412" spans="20:20" x14ac:dyDescent="0.35">
      <c r="T412" s="206"/>
    </row>
    <row r="413" spans="20:20" x14ac:dyDescent="0.35">
      <c r="T413" s="206"/>
    </row>
    <row r="414" spans="20:20" x14ac:dyDescent="0.35">
      <c r="T414" s="206"/>
    </row>
    <row r="415" spans="20:20" x14ac:dyDescent="0.35">
      <c r="T415" s="206"/>
    </row>
    <row r="416" spans="20:20" x14ac:dyDescent="0.35">
      <c r="T416" s="206"/>
    </row>
    <row r="417" spans="20:20" x14ac:dyDescent="0.35">
      <c r="T417" s="206"/>
    </row>
    <row r="418" spans="20:20" x14ac:dyDescent="0.35">
      <c r="T418" s="206"/>
    </row>
    <row r="419" spans="20:20" x14ac:dyDescent="0.35">
      <c r="T419" s="206"/>
    </row>
    <row r="420" spans="20:20" x14ac:dyDescent="0.35">
      <c r="T420" s="206"/>
    </row>
    <row r="421" spans="20:20" x14ac:dyDescent="0.35">
      <c r="T421" s="206"/>
    </row>
    <row r="422" spans="20:20" x14ac:dyDescent="0.35">
      <c r="T422" s="206"/>
    </row>
    <row r="423" spans="20:20" x14ac:dyDescent="0.35">
      <c r="T423" s="206"/>
    </row>
    <row r="424" spans="20:20" x14ac:dyDescent="0.35">
      <c r="T424" s="206"/>
    </row>
    <row r="425" spans="20:20" x14ac:dyDescent="0.35">
      <c r="T425" s="206"/>
    </row>
    <row r="426" spans="20:20" x14ac:dyDescent="0.35">
      <c r="T426" s="206"/>
    </row>
    <row r="427" spans="20:20" x14ac:dyDescent="0.35">
      <c r="T427" s="206"/>
    </row>
    <row r="428" spans="20:20" x14ac:dyDescent="0.35">
      <c r="T428" s="206"/>
    </row>
    <row r="429" spans="20:20" x14ac:dyDescent="0.35">
      <c r="T429" s="206"/>
    </row>
    <row r="430" spans="20:20" x14ac:dyDescent="0.35">
      <c r="T430" s="206"/>
    </row>
    <row r="431" spans="20:20" x14ac:dyDescent="0.35">
      <c r="T431" s="206"/>
    </row>
    <row r="432" spans="20:20" x14ac:dyDescent="0.35">
      <c r="T432" s="206"/>
    </row>
    <row r="433" spans="20:20" x14ac:dyDescent="0.35">
      <c r="T433" s="206"/>
    </row>
    <row r="434" spans="20:20" x14ac:dyDescent="0.35">
      <c r="T434" s="206"/>
    </row>
    <row r="435" spans="20:20" x14ac:dyDescent="0.35">
      <c r="T435" s="206"/>
    </row>
    <row r="436" spans="20:20" x14ac:dyDescent="0.35">
      <c r="T436" s="206"/>
    </row>
    <row r="437" spans="20:20" x14ac:dyDescent="0.35">
      <c r="T437" s="206"/>
    </row>
    <row r="438" spans="20:20" x14ac:dyDescent="0.35">
      <c r="T438" s="206"/>
    </row>
    <row r="439" spans="20:20" x14ac:dyDescent="0.35">
      <c r="T439" s="206"/>
    </row>
    <row r="440" spans="20:20" x14ac:dyDescent="0.35">
      <c r="T440" s="206"/>
    </row>
    <row r="441" spans="20:20" x14ac:dyDescent="0.35">
      <c r="T441" s="206"/>
    </row>
    <row r="442" spans="20:20" x14ac:dyDescent="0.35">
      <c r="T442" s="206"/>
    </row>
    <row r="443" spans="20:20" x14ac:dyDescent="0.35">
      <c r="T443" s="206"/>
    </row>
    <row r="444" spans="20:20" x14ac:dyDescent="0.35">
      <c r="T444" s="206"/>
    </row>
    <row r="445" spans="20:20" x14ac:dyDescent="0.35">
      <c r="T445" s="206"/>
    </row>
    <row r="446" spans="20:20" x14ac:dyDescent="0.35">
      <c r="T446" s="206"/>
    </row>
    <row r="447" spans="20:20" x14ac:dyDescent="0.35">
      <c r="T447" s="206"/>
    </row>
    <row r="448" spans="20:20" x14ac:dyDescent="0.35">
      <c r="T448" s="206"/>
    </row>
    <row r="449" spans="20:20" x14ac:dyDescent="0.35">
      <c r="T449" s="206"/>
    </row>
    <row r="450" spans="20:20" x14ac:dyDescent="0.35">
      <c r="T450" s="206"/>
    </row>
    <row r="451" spans="20:20" x14ac:dyDescent="0.35">
      <c r="T451" s="206"/>
    </row>
    <row r="452" spans="20:20" x14ac:dyDescent="0.35">
      <c r="T452" s="206"/>
    </row>
    <row r="453" spans="20:20" x14ac:dyDescent="0.35">
      <c r="T453" s="206"/>
    </row>
    <row r="454" spans="20:20" x14ac:dyDescent="0.35">
      <c r="T454" s="206"/>
    </row>
    <row r="455" spans="20:20" x14ac:dyDescent="0.35">
      <c r="T455" s="206"/>
    </row>
    <row r="456" spans="20:20" x14ac:dyDescent="0.35">
      <c r="T456" s="206"/>
    </row>
    <row r="457" spans="20:20" x14ac:dyDescent="0.35">
      <c r="T457" s="206"/>
    </row>
    <row r="458" spans="20:20" x14ac:dyDescent="0.35">
      <c r="T458" s="206"/>
    </row>
    <row r="459" spans="20:20" x14ac:dyDescent="0.35">
      <c r="T459" s="206"/>
    </row>
    <row r="460" spans="20:20" x14ac:dyDescent="0.35">
      <c r="T460" s="206"/>
    </row>
    <row r="461" spans="20:20" x14ac:dyDescent="0.35">
      <c r="T461" s="206"/>
    </row>
    <row r="462" spans="20:20" x14ac:dyDescent="0.35">
      <c r="T462" s="206"/>
    </row>
    <row r="463" spans="20:20" x14ac:dyDescent="0.35">
      <c r="T463" s="206"/>
    </row>
    <row r="464" spans="20:20" x14ac:dyDescent="0.35">
      <c r="T464" s="206"/>
    </row>
    <row r="465" spans="20:20" x14ac:dyDescent="0.35">
      <c r="T465" s="206"/>
    </row>
    <row r="466" spans="20:20" x14ac:dyDescent="0.35">
      <c r="T466" s="206"/>
    </row>
    <row r="467" spans="20:20" x14ac:dyDescent="0.35">
      <c r="T467" s="206"/>
    </row>
    <row r="468" spans="20:20" x14ac:dyDescent="0.35">
      <c r="T468" s="206"/>
    </row>
    <row r="469" spans="20:20" x14ac:dyDescent="0.35">
      <c r="T469" s="206"/>
    </row>
    <row r="470" spans="20:20" x14ac:dyDescent="0.35">
      <c r="T470" s="206"/>
    </row>
    <row r="471" spans="20:20" x14ac:dyDescent="0.35">
      <c r="T471" s="206"/>
    </row>
    <row r="472" spans="20:20" x14ac:dyDescent="0.35">
      <c r="T472" s="206"/>
    </row>
    <row r="473" spans="20:20" x14ac:dyDescent="0.35">
      <c r="T473" s="206"/>
    </row>
    <row r="474" spans="20:20" x14ac:dyDescent="0.35">
      <c r="T474" s="206"/>
    </row>
    <row r="475" spans="20:20" x14ac:dyDescent="0.35">
      <c r="T475" s="206"/>
    </row>
    <row r="476" spans="20:20" x14ac:dyDescent="0.35">
      <c r="T476" s="206"/>
    </row>
    <row r="477" spans="20:20" x14ac:dyDescent="0.35">
      <c r="T477" s="206"/>
    </row>
    <row r="478" spans="20:20" x14ac:dyDescent="0.35">
      <c r="T478" s="206"/>
    </row>
    <row r="479" spans="20:20" x14ac:dyDescent="0.35">
      <c r="T479" s="206"/>
    </row>
    <row r="480" spans="20:20" x14ac:dyDescent="0.35">
      <c r="T480" s="206"/>
    </row>
    <row r="481" spans="20:20" x14ac:dyDescent="0.35">
      <c r="T481" s="206"/>
    </row>
    <row r="482" spans="20:20" x14ac:dyDescent="0.35">
      <c r="T482" s="206"/>
    </row>
    <row r="483" spans="20:20" x14ac:dyDescent="0.35">
      <c r="T483" s="206"/>
    </row>
    <row r="484" spans="20:20" x14ac:dyDescent="0.35">
      <c r="T484" s="206"/>
    </row>
    <row r="485" spans="20:20" x14ac:dyDescent="0.35">
      <c r="T485" s="206"/>
    </row>
    <row r="486" spans="20:20" x14ac:dyDescent="0.35">
      <c r="T486" s="206"/>
    </row>
    <row r="487" spans="20:20" x14ac:dyDescent="0.35">
      <c r="T487" s="206"/>
    </row>
    <row r="488" spans="20:20" x14ac:dyDescent="0.35">
      <c r="T488" s="206"/>
    </row>
    <row r="489" spans="20:20" x14ac:dyDescent="0.35">
      <c r="T489" s="206"/>
    </row>
    <row r="490" spans="20:20" x14ac:dyDescent="0.35">
      <c r="T490" s="206"/>
    </row>
    <row r="491" spans="20:20" x14ac:dyDescent="0.35">
      <c r="T491" s="20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F68B-7FE5-4838-A948-81E7694FA555}">
  <dimension ref="A3:D5"/>
  <sheetViews>
    <sheetView workbookViewId="0">
      <selection activeCell="A11" sqref="A11"/>
    </sheetView>
  </sheetViews>
  <sheetFormatPr defaultRowHeight="14.5" x14ac:dyDescent="0.35"/>
  <cols>
    <col min="1" max="1" width="32.1796875" customWidth="1"/>
  </cols>
  <sheetData>
    <row r="3" spans="1:4" ht="20" x14ac:dyDescent="0.35">
      <c r="A3" s="268" t="s">
        <v>104</v>
      </c>
      <c r="B3" s="268"/>
      <c r="C3" s="268"/>
      <c r="D3" s="268"/>
    </row>
    <row r="4" spans="1:4" ht="20" x14ac:dyDescent="0.35">
      <c r="A4" s="268" t="s">
        <v>379</v>
      </c>
      <c r="B4" s="268"/>
      <c r="C4" s="268"/>
      <c r="D4" s="268"/>
    </row>
    <row r="5" spans="1:4" ht="20" x14ac:dyDescent="0.35">
      <c r="A5" s="268" t="s">
        <v>381</v>
      </c>
      <c r="B5" s="268"/>
      <c r="C5" s="268"/>
      <c r="D5" s="268"/>
    </row>
  </sheetData>
  <mergeCells count="3">
    <mergeCell ref="A3:D3"/>
    <mergeCell ref="A4:D4"/>
    <mergeCell ref="A5:D5"/>
  </mergeCells>
  <dataValidations count="1">
    <dataValidation type="list" allowBlank="1" showInputMessage="1" showErrorMessage="1" sqref="A3:D5" xr:uid="{A18564B6-DC05-4C5A-A93C-09C21E1B9BCA}">
      <formula1>"Crédito Com Garantia de Imóvel - CGI, Financiamento Imobiliário - Aquisição, Terreno Com Construção Concluída - TCC"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5103-0B11-4E3D-BE3A-2BCAA407BF3B}">
  <dimension ref="B2:AB62"/>
  <sheetViews>
    <sheetView showGridLines="0" showRowColHeaders="0" workbookViewId="0">
      <selection activeCell="P24" sqref="P24:AB39"/>
    </sheetView>
  </sheetViews>
  <sheetFormatPr defaultColWidth="9.1796875" defaultRowHeight="14.5" x14ac:dyDescent="0.35"/>
  <cols>
    <col min="1" max="16384" width="9.1796875" style="132"/>
  </cols>
  <sheetData>
    <row r="2" spans="5:25" hidden="1" x14ac:dyDescent="0.35"/>
    <row r="3" spans="5:25" hidden="1" x14ac:dyDescent="0.35"/>
    <row r="4" spans="5:25" hidden="1" x14ac:dyDescent="0.35"/>
    <row r="5" spans="5:25" hidden="1" x14ac:dyDescent="0.35"/>
    <row r="6" spans="5:25" hidden="1" x14ac:dyDescent="0.35"/>
    <row r="7" spans="5:25" hidden="1" x14ac:dyDescent="0.35"/>
    <row r="8" spans="5:25" hidden="1" x14ac:dyDescent="0.35"/>
    <row r="9" spans="5:25" hidden="1" x14ac:dyDescent="0.35"/>
    <row r="10" spans="5:25" hidden="1" x14ac:dyDescent="0.35"/>
    <row r="11" spans="5:25" hidden="1" x14ac:dyDescent="0.35"/>
    <row r="12" spans="5:25" hidden="1" x14ac:dyDescent="0.35"/>
    <row r="13" spans="5:25" hidden="1" x14ac:dyDescent="0.35"/>
    <row r="14" spans="5:25" hidden="1" x14ac:dyDescent="0.35"/>
    <row r="15" spans="5:25" x14ac:dyDescent="0.35">
      <c r="E15" s="280" t="s">
        <v>106</v>
      </c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</row>
    <row r="16" spans="5:25" x14ac:dyDescent="0.35"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</row>
    <row r="17" spans="2:28" x14ac:dyDescent="0.35"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</row>
    <row r="18" spans="2:28" x14ac:dyDescent="0.35"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</row>
    <row r="19" spans="2:28" x14ac:dyDescent="0.35"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</row>
    <row r="21" spans="2:28" hidden="1" x14ac:dyDescent="0.35"/>
    <row r="22" spans="2:28" hidden="1" x14ac:dyDescent="0.35"/>
    <row r="24" spans="2:28" ht="15" customHeight="1" x14ac:dyDescent="0.35">
      <c r="B24" s="281" t="s">
        <v>367</v>
      </c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P24" s="281" t="s">
        <v>366</v>
      </c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</row>
    <row r="25" spans="2:28" ht="15" customHeight="1" x14ac:dyDescent="0.35">
      <c r="B25" s="281"/>
      <c r="C25" s="281"/>
      <c r="D25" s="281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</row>
    <row r="26" spans="2:28" ht="15" customHeight="1" x14ac:dyDescent="0.35">
      <c r="B26" s="281"/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1"/>
    </row>
    <row r="27" spans="2:28" ht="15" customHeight="1" x14ac:dyDescent="0.35">
      <c r="B27" s="281"/>
      <c r="C27" s="281"/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</row>
    <row r="28" spans="2:28" ht="15" customHeight="1" x14ac:dyDescent="0.35">
      <c r="B28" s="281"/>
      <c r="C28" s="281"/>
      <c r="D28" s="281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</row>
    <row r="29" spans="2:28" ht="15" customHeight="1" x14ac:dyDescent="0.35">
      <c r="B29" s="281"/>
      <c r="C29" s="281"/>
      <c r="D29" s="281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</row>
    <row r="30" spans="2:28" ht="15" customHeight="1" x14ac:dyDescent="0.35"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</row>
    <row r="31" spans="2:28" ht="15" customHeight="1" x14ac:dyDescent="0.35"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</row>
    <row r="32" spans="2:28" ht="15" customHeight="1" x14ac:dyDescent="0.35"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</row>
    <row r="33" spans="2:28" ht="15" customHeight="1" x14ac:dyDescent="0.35">
      <c r="B33" s="281"/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</row>
    <row r="34" spans="2:28" ht="15" customHeight="1" x14ac:dyDescent="0.35">
      <c r="B34" s="281"/>
      <c r="C34" s="281"/>
      <c r="D34" s="281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</row>
    <row r="35" spans="2:28" ht="15" customHeight="1" x14ac:dyDescent="0.35">
      <c r="B35" s="281"/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</row>
    <row r="36" spans="2:28" ht="15" customHeight="1" x14ac:dyDescent="0.35"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  <c r="AA36" s="281"/>
      <c r="AB36" s="281"/>
    </row>
    <row r="37" spans="2:28" ht="15" customHeight="1" x14ac:dyDescent="0.35"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  <c r="AB37" s="281"/>
    </row>
    <row r="38" spans="2:28" ht="15" customHeight="1" x14ac:dyDescent="0.35">
      <c r="B38" s="281"/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81"/>
      <c r="AB38" s="281"/>
    </row>
    <row r="39" spans="2:28" ht="15" customHeight="1" x14ac:dyDescent="0.35">
      <c r="B39" s="281"/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/>
      <c r="AB39" s="281"/>
    </row>
    <row r="41" spans="2:28" ht="15" customHeight="1" x14ac:dyDescent="0.35">
      <c r="B41" s="281" t="s">
        <v>367</v>
      </c>
      <c r="C41" s="281"/>
      <c r="D41" s="281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P41" s="281" t="s">
        <v>366</v>
      </c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</row>
    <row r="42" spans="2:28" ht="15" customHeight="1" x14ac:dyDescent="0.35">
      <c r="B42" s="281"/>
      <c r="C42" s="281"/>
      <c r="D42" s="281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</row>
    <row r="43" spans="2:28" ht="15" customHeight="1" x14ac:dyDescent="0.35"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</row>
    <row r="44" spans="2:28" ht="15" customHeight="1" x14ac:dyDescent="0.35"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</row>
    <row r="45" spans="2:28" ht="15" customHeight="1" x14ac:dyDescent="0.35"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  <c r="AB45" s="281"/>
    </row>
    <row r="46" spans="2:28" ht="15" customHeight="1" x14ac:dyDescent="0.35"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</row>
    <row r="47" spans="2:28" ht="15" customHeight="1" x14ac:dyDescent="0.35"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</row>
    <row r="48" spans="2:28" ht="15" customHeight="1" x14ac:dyDescent="0.35"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</row>
    <row r="49" spans="2:28" ht="15" customHeight="1" x14ac:dyDescent="0.35"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</row>
    <row r="50" spans="2:28" ht="15" customHeight="1" x14ac:dyDescent="0.35"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</row>
    <row r="51" spans="2:28" ht="15" customHeight="1" x14ac:dyDescent="0.35"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81"/>
      <c r="AB51" s="281"/>
    </row>
    <row r="52" spans="2:28" ht="15" customHeight="1" x14ac:dyDescent="0.35"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</row>
    <row r="53" spans="2:28" ht="15" customHeight="1" x14ac:dyDescent="0.35"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</row>
    <row r="54" spans="2:28" ht="15" customHeight="1" x14ac:dyDescent="0.35"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  <c r="AB54" s="281"/>
    </row>
    <row r="55" spans="2:28" ht="15" customHeight="1" x14ac:dyDescent="0.35"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</row>
    <row r="56" spans="2:28" ht="15" customHeight="1" x14ac:dyDescent="0.35"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  <c r="AB56" s="281"/>
    </row>
    <row r="58" spans="2:28" x14ac:dyDescent="0.35">
      <c r="B58" s="140" t="s">
        <v>109</v>
      </c>
      <c r="P58" s="140" t="s">
        <v>110</v>
      </c>
    </row>
    <row r="59" spans="2:28" x14ac:dyDescent="0.35">
      <c r="B59" s="132" t="s">
        <v>361</v>
      </c>
      <c r="P59" s="132" t="s">
        <v>107</v>
      </c>
    </row>
    <row r="60" spans="2:28" x14ac:dyDescent="0.35">
      <c r="B60" s="132" t="s">
        <v>362</v>
      </c>
      <c r="P60" s="132" t="s">
        <v>365</v>
      </c>
    </row>
    <row r="61" spans="2:28" x14ac:dyDescent="0.35">
      <c r="B61" s="132" t="s">
        <v>364</v>
      </c>
      <c r="P61" s="132" t="s">
        <v>108</v>
      </c>
    </row>
    <row r="62" spans="2:28" x14ac:dyDescent="0.35">
      <c r="B62" s="132" t="s">
        <v>363</v>
      </c>
    </row>
  </sheetData>
  <sheetProtection selectLockedCells="1" selectUnlockedCells="1"/>
  <mergeCells count="5">
    <mergeCell ref="E15:Y19"/>
    <mergeCell ref="B24:N39"/>
    <mergeCell ref="P24:AB39"/>
    <mergeCell ref="B41:N56"/>
    <mergeCell ref="P41:AB56"/>
  </mergeCells>
  <hyperlinks>
    <hyperlink ref="P24:Z39" location="Cálculos_Aquisição_SAC_Fixa!A1" display="Cálculos_Aquisição_SAC_Fixa" xr:uid="{64DA32A5-953D-4775-94CE-A35603BD37C1}"/>
    <hyperlink ref="D24:N39" location="'Cálculos_CGI - FI - PRICE_Fixa'!A1" display="Cálculos_CGI - FI - PRICE_Fixa" xr:uid="{23671722-8161-4006-8BA3-B4FCB7882266}"/>
    <hyperlink ref="P41:Z56" location="Cálculos_Aquisição_SAC_Fixa!A1" display="Cálculos_Aquisição_SAC_Fixa" xr:uid="{5CA25FAB-68D6-4337-9C76-DA2BEADF7DF0}"/>
    <hyperlink ref="D41:N56" location="'Cálculos_CGI - FI - PRICE_Fixa'!A1" display="Cálculos_CGI - FI - PRICE_Fixa" xr:uid="{7357CAFF-28F2-44EE-B7A4-A4F77F68FB82}"/>
  </hyperlinks>
  <pageMargins left="0.511811024" right="0.511811024" top="0.78740157499999996" bottom="0.78740157499999996" header="0.31496062000000002" footer="0.31496062000000002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AB2B-B267-4C28-B382-4B09977EC0AF}">
  <sheetPr codeName="Planilha6"/>
  <dimension ref="A1:XFC580"/>
  <sheetViews>
    <sheetView topLeftCell="A27" zoomScale="85" zoomScaleNormal="85" workbookViewId="0">
      <selection activeCell="O42" sqref="O42"/>
    </sheetView>
  </sheetViews>
  <sheetFormatPr defaultColWidth="0" defaultRowHeight="15.75" customHeight="1" x14ac:dyDescent="0.35"/>
  <cols>
    <col min="1" max="1" width="5.7265625" style="10" bestFit="1" customWidth="1"/>
    <col min="2" max="2" width="12.54296875" style="128" bestFit="1" customWidth="1"/>
    <col min="3" max="3" width="40.81640625" style="129" bestFit="1" customWidth="1"/>
    <col min="4" max="5" width="11.81640625" style="10" bestFit="1" customWidth="1"/>
    <col min="6" max="6" width="26.81640625" style="10" bestFit="1" customWidth="1"/>
    <col min="7" max="7" width="11.81640625" style="10" bestFit="1" customWidth="1"/>
    <col min="8" max="8" width="12.54296875" style="10" bestFit="1" customWidth="1"/>
    <col min="9" max="9" width="16.54296875" style="10" bestFit="1" customWidth="1"/>
    <col min="10" max="10" width="22" style="10" bestFit="1" customWidth="1"/>
    <col min="11" max="11" width="15.54296875" style="10" bestFit="1" customWidth="1"/>
    <col min="12" max="13" width="4.453125" style="10" hidden="1"/>
    <col min="14" max="14" width="19.1796875" style="10" bestFit="1" customWidth="1"/>
    <col min="15" max="15" width="14.1796875" style="10" bestFit="1" customWidth="1"/>
    <col min="16" max="16" width="14" style="10" bestFit="1" customWidth="1"/>
    <col min="17" max="17" width="14.54296875" style="10" bestFit="1" customWidth="1"/>
    <col min="18" max="18" width="17.453125" style="10" hidden="1"/>
    <col min="19" max="19" width="38.7265625" style="10" bestFit="1" customWidth="1"/>
    <col min="20" max="20" width="11.54296875" style="10" bestFit="1" customWidth="1"/>
    <col min="21" max="21" width="10.54296875" style="10" bestFit="1" customWidth="1"/>
    <col min="22" max="22" width="9.7265625" style="10" bestFit="1" customWidth="1"/>
    <col min="23" max="23" width="11.7265625" style="10" bestFit="1" customWidth="1"/>
    <col min="24" max="24" width="18.54296875" style="10" bestFit="1" customWidth="1"/>
    <col min="25" max="25" width="5.453125" style="10" bestFit="1" customWidth="1"/>
    <col min="26" max="26" width="21.453125" style="10" bestFit="1" customWidth="1"/>
    <col min="27" max="27" width="12.453125" style="10" bestFit="1" customWidth="1"/>
    <col min="28" max="28" width="14.7265625" style="10" bestFit="1" customWidth="1"/>
    <col min="29" max="29" width="12.54296875" style="10" bestFit="1" customWidth="1"/>
    <col min="30" max="30" width="9.1796875" style="10" hidden="1"/>
    <col min="31" max="31" width="5.1796875" style="10" bestFit="1" customWidth="1"/>
    <col min="32" max="32" width="14.7265625" style="10" bestFit="1" customWidth="1"/>
    <col min="33" max="33" width="12.54296875" style="10" bestFit="1" customWidth="1"/>
    <col min="34" max="34" width="14.54296875" style="10" bestFit="1" customWidth="1"/>
    <col min="35" max="35" width="12.453125" style="10" bestFit="1" customWidth="1"/>
    <col min="36" max="36" width="13.26953125" style="10" bestFit="1" customWidth="1"/>
    <col min="37" max="37" width="11.26953125" style="10" bestFit="1" customWidth="1"/>
    <col min="38" max="39" width="9.1796875" style="10" hidden="1"/>
    <col min="40" max="40" width="18" style="10" hidden="1"/>
    <col min="41" max="41" width="25.453125" style="10" hidden="1"/>
    <col min="42" max="42" width="23.54296875" style="10" hidden="1"/>
    <col min="43" max="46" width="8.81640625" style="10" hidden="1"/>
    <col min="47" max="47" width="18" style="10" hidden="1"/>
    <col min="48" max="48" width="21.26953125" style="10" hidden="1"/>
    <col min="49" max="49" width="19.54296875" style="10" hidden="1"/>
    <col min="50" max="155" width="8.81640625" style="10" hidden="1"/>
    <col min="156" max="220" width="5" style="10" hidden="1"/>
    <col min="221" max="221" width="11.1796875" style="10" hidden="1"/>
    <col min="222" max="16383" width="9.1796875" style="10" hidden="1"/>
    <col min="16384" max="16384" width="0.1796875" style="10" customWidth="1"/>
  </cols>
  <sheetData>
    <row r="1" spans="1:14" ht="15.5" x14ac:dyDescent="0.35">
      <c r="A1" s="1"/>
      <c r="B1" s="2"/>
      <c r="C1" s="3"/>
      <c r="D1" s="4"/>
      <c r="E1" s="4"/>
      <c r="F1" s="5"/>
      <c r="G1" s="4"/>
      <c r="H1" s="6"/>
      <c r="I1" s="4"/>
      <c r="J1" s="7"/>
      <c r="K1" s="8"/>
      <c r="L1" s="9"/>
    </row>
    <row r="2" spans="1:14" ht="15.5" x14ac:dyDescent="0.35">
      <c r="A2" s="1"/>
      <c r="B2" s="2"/>
      <c r="C2" s="11" t="s">
        <v>0</v>
      </c>
      <c r="D2" s="11"/>
      <c r="E2" s="11"/>
      <c r="F2" s="5"/>
      <c r="G2" s="12"/>
      <c r="H2" s="253" t="s">
        <v>1</v>
      </c>
      <c r="I2" s="253"/>
      <c r="J2" s="253"/>
      <c r="K2" s="8"/>
      <c r="L2" s="9"/>
    </row>
    <row r="3" spans="1:14" ht="15.5" x14ac:dyDescent="0.35">
      <c r="A3" s="1"/>
      <c r="B3" s="2"/>
      <c r="C3" s="254" t="s">
        <v>103</v>
      </c>
      <c r="D3" s="254"/>
      <c r="E3" s="254"/>
      <c r="F3" s="254"/>
      <c r="G3" s="12"/>
      <c r="H3" s="255" t="s">
        <v>2</v>
      </c>
      <c r="I3" s="255"/>
      <c r="J3" s="255"/>
      <c r="K3" s="8"/>
      <c r="L3" s="9"/>
    </row>
    <row r="4" spans="1:14" ht="6" customHeight="1" x14ac:dyDescent="0.35">
      <c r="A4" s="1"/>
      <c r="B4" s="2"/>
      <c r="C4" s="3"/>
      <c r="D4" s="4"/>
      <c r="E4" s="4"/>
      <c r="F4" s="5"/>
      <c r="G4" s="4"/>
      <c r="H4" s="6"/>
      <c r="I4" s="4"/>
      <c r="J4" s="7"/>
      <c r="K4" s="8"/>
      <c r="L4" s="9"/>
    </row>
    <row r="5" spans="1:14" ht="15.5" x14ac:dyDescent="0.35">
      <c r="A5" s="1"/>
      <c r="B5" s="2"/>
      <c r="C5" s="14" t="s">
        <v>3</v>
      </c>
      <c r="D5" s="14"/>
      <c r="E5" s="15"/>
      <c r="F5" s="14" t="s">
        <v>4</v>
      </c>
      <c r="G5" s="15"/>
      <c r="H5" s="13" t="s">
        <v>5</v>
      </c>
      <c r="I5" s="14" t="s">
        <v>6</v>
      </c>
      <c r="J5" s="14" t="s">
        <v>7</v>
      </c>
      <c r="K5" s="8"/>
      <c r="L5" s="9"/>
    </row>
    <row r="6" spans="1:14" ht="15.5" x14ac:dyDescent="0.35">
      <c r="A6" s="1"/>
      <c r="B6" s="2"/>
      <c r="C6" s="256">
        <v>125000</v>
      </c>
      <c r="D6" s="256"/>
      <c r="E6" s="5"/>
      <c r="F6" s="256">
        <v>300000</v>
      </c>
      <c r="G6" s="256"/>
      <c r="H6" s="6">
        <f>IFERROR(C6/F6,"")</f>
        <v>0.41666666666666669</v>
      </c>
      <c r="I6" s="138">
        <v>180</v>
      </c>
      <c r="J6" s="16" t="s">
        <v>111</v>
      </c>
      <c r="K6" s="8"/>
      <c r="L6" s="9"/>
    </row>
    <row r="7" spans="1:14" ht="6" customHeight="1" x14ac:dyDescent="0.35">
      <c r="A7" s="1"/>
      <c r="B7" s="2"/>
      <c r="C7" s="3"/>
      <c r="D7" s="4"/>
      <c r="E7" s="4"/>
      <c r="F7" s="5"/>
      <c r="G7" s="4"/>
      <c r="H7" s="6"/>
      <c r="I7" s="4"/>
      <c r="J7" s="7"/>
      <c r="K7" s="8"/>
      <c r="L7" s="9"/>
    </row>
    <row r="8" spans="1:14" ht="15.5" x14ac:dyDescent="0.35">
      <c r="A8" s="1"/>
      <c r="B8" s="2"/>
      <c r="C8" s="11" t="s">
        <v>8</v>
      </c>
      <c r="D8" s="13"/>
      <c r="E8" s="13"/>
      <c r="F8" s="13"/>
      <c r="G8" s="13"/>
      <c r="H8" s="16" t="s">
        <v>9</v>
      </c>
      <c r="I8" s="8"/>
      <c r="J8" s="8" t="s">
        <v>10</v>
      </c>
      <c r="K8" s="8"/>
      <c r="L8" s="9"/>
    </row>
    <row r="9" spans="1:14" ht="15.5" x14ac:dyDescent="0.35">
      <c r="A9" s="1"/>
      <c r="B9" s="2"/>
      <c r="C9" s="252" t="s">
        <v>11</v>
      </c>
      <c r="D9" s="252"/>
      <c r="E9" s="252"/>
      <c r="F9" s="252"/>
      <c r="G9" s="13"/>
      <c r="H9" s="139">
        <f>T39</f>
        <v>29586</v>
      </c>
      <c r="I9" s="8"/>
      <c r="J9" s="17">
        <f ca="1">J38*3.333333333</f>
        <v>7825.6481473655831</v>
      </c>
      <c r="K9" s="8"/>
      <c r="L9" s="9"/>
      <c r="N9" s="18"/>
    </row>
    <row r="10" spans="1:14" ht="5.25" customHeight="1" x14ac:dyDescent="0.35">
      <c r="A10" s="1"/>
      <c r="B10" s="2"/>
      <c r="C10" s="15"/>
      <c r="D10" s="15"/>
      <c r="E10" s="15"/>
      <c r="F10" s="5"/>
      <c r="G10" s="12"/>
      <c r="H10" s="6"/>
      <c r="I10" s="4"/>
      <c r="J10" s="19"/>
      <c r="K10" s="8"/>
      <c r="L10" s="9"/>
    </row>
    <row r="11" spans="1:14" ht="15.5" x14ac:dyDescent="0.35">
      <c r="A11" s="1"/>
      <c r="B11" s="2"/>
      <c r="C11" s="15"/>
      <c r="D11" s="15"/>
      <c r="E11" s="15"/>
      <c r="F11" s="5"/>
      <c r="G11" s="12"/>
      <c r="H11" s="6"/>
      <c r="I11" s="4"/>
      <c r="J11" s="19"/>
      <c r="K11" s="8"/>
      <c r="L11" s="9"/>
    </row>
    <row r="12" spans="1:14" ht="15.5" x14ac:dyDescent="0.35">
      <c r="A12" s="1"/>
      <c r="B12" s="2"/>
      <c r="C12" s="14" t="s">
        <v>12</v>
      </c>
      <c r="D12" s="14"/>
      <c r="E12" s="15"/>
      <c r="F12" s="5"/>
      <c r="G12" s="12"/>
      <c r="H12" s="6"/>
      <c r="I12" s="4"/>
      <c r="J12" s="16" t="s">
        <v>13</v>
      </c>
      <c r="K12" s="8"/>
      <c r="L12" s="9"/>
    </row>
    <row r="13" spans="1:14" ht="15.5" x14ac:dyDescent="0.35">
      <c r="A13" s="1"/>
      <c r="B13" s="2"/>
      <c r="C13" s="20" t="s">
        <v>14</v>
      </c>
      <c r="D13" s="21"/>
      <c r="E13" s="21"/>
      <c r="F13" s="22"/>
      <c r="G13" s="23"/>
      <c r="H13" s="24"/>
      <c r="I13" s="25">
        <f>C6</f>
        <v>125000</v>
      </c>
      <c r="J13" s="26" t="s">
        <v>15</v>
      </c>
      <c r="K13" s="12"/>
      <c r="L13" s="9"/>
    </row>
    <row r="14" spans="1:14" ht="15.5" x14ac:dyDescent="0.35">
      <c r="A14" s="1"/>
      <c r="B14" s="2"/>
      <c r="C14" s="257" t="s">
        <v>16</v>
      </c>
      <c r="D14" s="258"/>
      <c r="E14" s="258"/>
      <c r="F14" s="258"/>
      <c r="G14" s="258"/>
      <c r="H14" s="258"/>
      <c r="I14" s="27">
        <f>F6</f>
        <v>300000</v>
      </c>
      <c r="J14" s="28"/>
      <c r="K14" s="12"/>
      <c r="L14" s="9"/>
    </row>
    <row r="15" spans="1:14" ht="15.5" x14ac:dyDescent="0.35">
      <c r="A15" s="1"/>
      <c r="B15" s="2"/>
      <c r="C15" s="257" t="s">
        <v>17</v>
      </c>
      <c r="D15" s="258"/>
      <c r="E15" s="258"/>
      <c r="F15" s="258"/>
      <c r="G15" s="258"/>
      <c r="H15" s="258"/>
      <c r="I15" s="27">
        <v>3000</v>
      </c>
      <c r="J15" s="29">
        <f>I15/I13</f>
        <v>2.4E-2</v>
      </c>
      <c r="K15" s="12"/>
      <c r="L15" s="9"/>
    </row>
    <row r="16" spans="1:14" ht="15.5" x14ac:dyDescent="0.35">
      <c r="A16" s="1"/>
      <c r="B16" s="2"/>
      <c r="C16" s="257" t="s">
        <v>18</v>
      </c>
      <c r="D16" s="258"/>
      <c r="E16" s="258"/>
      <c r="F16" s="258"/>
      <c r="G16" s="258"/>
      <c r="H16" s="258"/>
      <c r="I16" s="30">
        <v>0</v>
      </c>
      <c r="J16" s="29">
        <f>I16/I13</f>
        <v>0</v>
      </c>
      <c r="K16" s="31"/>
      <c r="L16" s="9"/>
    </row>
    <row r="17" spans="1:27" ht="15.5" x14ac:dyDescent="0.35">
      <c r="A17" s="1"/>
      <c r="B17" s="2"/>
      <c r="C17" s="257" t="s">
        <v>19</v>
      </c>
      <c r="D17" s="258"/>
      <c r="E17" s="258"/>
      <c r="F17" s="258"/>
      <c r="G17" s="258"/>
      <c r="H17" s="258"/>
      <c r="I17" s="27">
        <f>I13-I15-I16</f>
        <v>122000</v>
      </c>
      <c r="J17" s="29">
        <f>I17/I13</f>
        <v>0.97599999999999998</v>
      </c>
      <c r="K17" s="12"/>
      <c r="L17" s="9"/>
    </row>
    <row r="18" spans="1:27" ht="15.5" x14ac:dyDescent="0.35">
      <c r="A18" s="1"/>
      <c r="B18" s="2"/>
      <c r="C18" s="257" t="s">
        <v>20</v>
      </c>
      <c r="D18" s="258"/>
      <c r="E18" s="258"/>
      <c r="F18" s="258"/>
      <c r="G18" s="258"/>
      <c r="H18" s="258"/>
      <c r="I18" s="32">
        <f>I6</f>
        <v>180</v>
      </c>
      <c r="J18" s="33"/>
      <c r="K18" s="12"/>
      <c r="L18" s="9"/>
    </row>
    <row r="19" spans="1:27" ht="15.5" x14ac:dyDescent="0.35">
      <c r="A19" s="1"/>
      <c r="B19" s="2"/>
      <c r="C19" s="257" t="s">
        <v>21</v>
      </c>
      <c r="D19" s="258"/>
      <c r="E19" s="258"/>
      <c r="F19" s="258"/>
      <c r="G19" s="258"/>
      <c r="H19" s="258"/>
      <c r="I19" s="34">
        <f>EFFECT(I21,I18/12)</f>
        <v>0.16649868518880218</v>
      </c>
      <c r="J19" s="35"/>
      <c r="K19" s="12"/>
      <c r="L19" s="9"/>
    </row>
    <row r="20" spans="1:27" ht="15.5" x14ac:dyDescent="0.35">
      <c r="A20" s="1"/>
      <c r="B20" s="2"/>
      <c r="C20" s="257" t="s">
        <v>22</v>
      </c>
      <c r="D20" s="258"/>
      <c r="E20" s="258"/>
      <c r="F20" s="258"/>
      <c r="G20" s="258"/>
      <c r="H20" s="258"/>
      <c r="I20" s="36">
        <v>1.29E-2</v>
      </c>
      <c r="J20" s="37"/>
      <c r="K20" s="12"/>
      <c r="L20" s="9"/>
    </row>
    <row r="21" spans="1:27" ht="15.5" x14ac:dyDescent="0.35">
      <c r="A21" s="1"/>
      <c r="B21" s="2"/>
      <c r="C21" s="257" t="s">
        <v>23</v>
      </c>
      <c r="D21" s="258"/>
      <c r="E21" s="258"/>
      <c r="F21" s="258"/>
      <c r="G21" s="258"/>
      <c r="H21" s="258"/>
      <c r="I21" s="36">
        <f>I22*12</f>
        <v>0.15479999999999999</v>
      </c>
      <c r="J21" s="33"/>
      <c r="K21" s="12"/>
      <c r="L21" s="9"/>
    </row>
    <row r="22" spans="1:27" ht="15.5" x14ac:dyDescent="0.35">
      <c r="A22" s="1"/>
      <c r="B22" s="2"/>
      <c r="C22" s="257" t="s">
        <v>24</v>
      </c>
      <c r="D22" s="258"/>
      <c r="E22" s="258"/>
      <c r="F22" s="258"/>
      <c r="G22" s="258"/>
      <c r="H22" s="258"/>
      <c r="I22" s="34">
        <f>I20</f>
        <v>1.29E-2</v>
      </c>
      <c r="J22" s="38"/>
      <c r="K22" s="12"/>
      <c r="L22" s="9"/>
    </row>
    <row r="23" spans="1:27" ht="15.5" x14ac:dyDescent="0.35">
      <c r="A23" s="1"/>
      <c r="B23" s="2"/>
      <c r="C23" s="257" t="s">
        <v>25</v>
      </c>
      <c r="D23" s="258"/>
      <c r="E23" s="258"/>
      <c r="F23" s="258"/>
      <c r="G23" s="258"/>
      <c r="H23" s="258"/>
      <c r="I23" s="39" t="str">
        <f>J6</f>
        <v>SAC FIXA</v>
      </c>
      <c r="J23" s="33"/>
      <c r="K23" s="12"/>
      <c r="L23" s="9"/>
    </row>
    <row r="24" spans="1:27" ht="15.5" x14ac:dyDescent="0.35">
      <c r="A24" s="1"/>
      <c r="B24" s="2"/>
      <c r="C24" s="257" t="s">
        <v>26</v>
      </c>
      <c r="D24" s="258"/>
      <c r="E24" s="258"/>
      <c r="F24" s="258"/>
      <c r="G24" s="258"/>
      <c r="H24" s="258"/>
      <c r="I24" s="40">
        <f ca="1">TODAY()</f>
        <v>46058</v>
      </c>
      <c r="J24" s="33"/>
      <c r="K24" s="12"/>
      <c r="L24" s="9"/>
    </row>
    <row r="25" spans="1:27" ht="15.5" x14ac:dyDescent="0.35">
      <c r="A25" s="1"/>
      <c r="B25" s="2"/>
      <c r="C25" s="41" t="s">
        <v>27</v>
      </c>
      <c r="D25" s="42"/>
      <c r="E25" s="42"/>
      <c r="F25" s="43"/>
      <c r="G25" s="44"/>
      <c r="H25" s="45"/>
      <c r="I25" s="40">
        <f ca="1">VLOOKUP(I18,A36:B307,2,0)</f>
        <v>51537</v>
      </c>
      <c r="J25" s="33"/>
      <c r="K25" s="12"/>
      <c r="L25" s="9"/>
    </row>
    <row r="26" spans="1:27" ht="15.5" x14ac:dyDescent="0.35">
      <c r="A26" s="1"/>
      <c r="B26" s="2"/>
      <c r="C26" s="257" t="s">
        <v>28</v>
      </c>
      <c r="D26" s="258"/>
      <c r="E26" s="258"/>
      <c r="F26" s="258"/>
      <c r="G26" s="258"/>
      <c r="H26" s="258"/>
      <c r="I26" s="27">
        <f>$G$38</f>
        <v>2306.9444444444443</v>
      </c>
      <c r="J26" s="33"/>
      <c r="K26" s="12"/>
      <c r="L26" s="9"/>
      <c r="Z26" s="10" t="s">
        <v>29</v>
      </c>
    </row>
    <row r="27" spans="1:27" ht="15.5" x14ac:dyDescent="0.35">
      <c r="A27" s="1"/>
      <c r="B27" s="2"/>
      <c r="C27" s="257" t="s">
        <v>30</v>
      </c>
      <c r="D27" s="258"/>
      <c r="E27" s="258"/>
      <c r="F27" s="258"/>
      <c r="G27" s="258"/>
      <c r="H27" s="258"/>
      <c r="I27" s="27">
        <f ca="1">$H$38</f>
        <v>28.75</v>
      </c>
      <c r="J27" s="33"/>
      <c r="K27" s="12"/>
      <c r="L27" s="9"/>
      <c r="Z27" s="10" t="b">
        <v>1</v>
      </c>
    </row>
    <row r="28" spans="1:27" ht="15.5" x14ac:dyDescent="0.35">
      <c r="A28" s="1"/>
      <c r="B28" s="2"/>
      <c r="C28" s="257" t="s">
        <v>31</v>
      </c>
      <c r="D28" s="258"/>
      <c r="E28" s="258"/>
      <c r="F28" s="258"/>
      <c r="G28" s="258"/>
      <c r="H28" s="258"/>
      <c r="I28" s="27">
        <f>$I$38</f>
        <v>12.000000000000002</v>
      </c>
      <c r="J28" s="33"/>
      <c r="K28" s="12"/>
      <c r="L28" s="9"/>
      <c r="Z28" s="10" t="b">
        <v>1</v>
      </c>
    </row>
    <row r="29" spans="1:27" ht="15.5" x14ac:dyDescent="0.35">
      <c r="A29" s="1"/>
      <c r="B29" s="2"/>
      <c r="C29" s="259" t="s">
        <v>32</v>
      </c>
      <c r="D29" s="260"/>
      <c r="E29" s="260"/>
      <c r="F29" s="260"/>
      <c r="G29" s="260"/>
      <c r="H29" s="260"/>
      <c r="I29" s="46">
        <f ca="1">I26+I27+I28</f>
        <v>2347.6944444444443</v>
      </c>
      <c r="J29" s="47"/>
      <c r="K29" s="12"/>
      <c r="L29" s="9"/>
      <c r="Z29" s="10" t="b">
        <v>1</v>
      </c>
    </row>
    <row r="30" spans="1:27" ht="15.5" x14ac:dyDescent="0.35">
      <c r="A30" s="48"/>
      <c r="B30" s="49"/>
      <c r="C30" s="282" t="s">
        <v>33</v>
      </c>
      <c r="D30" s="283"/>
      <c r="E30" s="283"/>
      <c r="F30" s="283"/>
      <c r="G30" s="283"/>
      <c r="H30" s="283"/>
      <c r="I30" s="50">
        <f ca="1">ROUNDUP((IRR(J37:J278,0)+1)^12-1,9)</f>
        <v>0.21813239600000001</v>
      </c>
      <c r="J30" s="51"/>
      <c r="L30" s="9"/>
    </row>
    <row r="31" spans="1:27" ht="15.5" x14ac:dyDescent="0.35">
      <c r="A31" s="48"/>
      <c r="B31" s="49"/>
      <c r="C31" s="52"/>
      <c r="D31" s="52"/>
      <c r="E31" s="52"/>
      <c r="F31" s="53"/>
      <c r="H31" s="54"/>
      <c r="I31" s="55"/>
      <c r="J31" s="56"/>
      <c r="L31" s="9"/>
    </row>
    <row r="32" spans="1:27" ht="15.5" x14ac:dyDescent="0.35">
      <c r="A32" s="48"/>
      <c r="B32" s="49"/>
      <c r="C32" s="52"/>
      <c r="H32" s="54"/>
      <c r="I32" s="55"/>
      <c r="J32" s="56"/>
      <c r="L32" s="9"/>
      <c r="Z32" s="10">
        <v>3</v>
      </c>
      <c r="AA32" s="10" t="s">
        <v>34</v>
      </c>
    </row>
    <row r="33" spans="1:221" ht="15.5" x14ac:dyDescent="0.35">
      <c r="A33" s="48"/>
      <c r="B33" s="49"/>
      <c r="C33" s="52"/>
      <c r="H33" s="54"/>
      <c r="I33" s="57"/>
      <c r="J33" s="56"/>
      <c r="L33" s="9"/>
      <c r="Z33" s="10">
        <v>2</v>
      </c>
      <c r="AA33" s="10" t="s">
        <v>35</v>
      </c>
    </row>
    <row r="34" spans="1:221" ht="15.5" x14ac:dyDescent="0.35">
      <c r="A34" s="1"/>
      <c r="B34" s="2"/>
      <c r="C34" s="58"/>
      <c r="D34" s="12"/>
      <c r="E34" s="12"/>
      <c r="F34" s="12"/>
      <c r="G34" s="12"/>
      <c r="H34" s="6"/>
      <c r="I34" s="59"/>
      <c r="J34" s="60"/>
      <c r="K34" s="12"/>
      <c r="L34" s="9"/>
    </row>
    <row r="35" spans="1:221" ht="16" thickBot="1" x14ac:dyDescent="0.4">
      <c r="A35" s="48"/>
      <c r="B35" s="49"/>
      <c r="C35" s="52"/>
      <c r="H35" s="54"/>
      <c r="I35" s="57"/>
      <c r="J35" s="56"/>
      <c r="L35" s="9"/>
      <c r="Z35" s="10">
        <v>1</v>
      </c>
      <c r="AA35" s="10" t="s">
        <v>36</v>
      </c>
    </row>
    <row r="36" spans="1:221" s="66" customFormat="1" ht="47" thickBot="1" x14ac:dyDescent="0.4">
      <c r="A36" s="61" t="s">
        <v>37</v>
      </c>
      <c r="B36" s="62" t="s">
        <v>38</v>
      </c>
      <c r="C36" s="63" t="s">
        <v>39</v>
      </c>
      <c r="D36" s="64" t="s">
        <v>40</v>
      </c>
      <c r="E36" s="64" t="s">
        <v>41</v>
      </c>
      <c r="F36" s="64" t="s">
        <v>35</v>
      </c>
      <c r="G36" s="65" t="s">
        <v>42</v>
      </c>
      <c r="H36" s="64" t="s">
        <v>43</v>
      </c>
      <c r="I36" s="64" t="s">
        <v>44</v>
      </c>
      <c r="J36" s="64" t="s">
        <v>45</v>
      </c>
      <c r="K36" s="64" t="s">
        <v>46</v>
      </c>
      <c r="N36" s="261" t="s">
        <v>47</v>
      </c>
      <c r="O36" s="262"/>
      <c r="P36" s="262"/>
      <c r="Q36" s="263"/>
      <c r="T36" s="261" t="s">
        <v>48</v>
      </c>
      <c r="U36" s="262"/>
      <c r="V36" s="262"/>
      <c r="W36" s="263"/>
      <c r="AA36" s="10">
        <v>3</v>
      </c>
      <c r="AB36" s="66" t="str">
        <f>IF(AA36=1,"Evolução Saldo SAC x Price",IF(AA36=2,"Evolução Amortização SAC x Price","Evolução Parcelas SAC x Price"))</f>
        <v>Evolução Parcelas SAC x Price</v>
      </c>
      <c r="AC36" s="66" t="str">
        <f>VLOOKUP(AA36,Z32:AA35,2,0)</f>
        <v>Parcelas</v>
      </c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221" s="66" customFormat="1" ht="16" thickBot="1" x14ac:dyDescent="0.4">
      <c r="A37" s="67">
        <v>0</v>
      </c>
      <c r="B37" s="68">
        <f ca="1">I24</f>
        <v>46058</v>
      </c>
      <c r="C37" s="69">
        <f>I13</f>
        <v>125000</v>
      </c>
      <c r="D37" s="70"/>
      <c r="E37" s="70"/>
      <c r="F37" s="70"/>
      <c r="G37" s="71"/>
      <c r="H37" s="72"/>
      <c r="I37" s="72"/>
      <c r="J37" s="73">
        <f>I17*-1</f>
        <v>-122000</v>
      </c>
      <c r="K37" s="74">
        <f>C37</f>
        <v>125000</v>
      </c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221" ht="18.75" customHeight="1" thickBot="1" x14ac:dyDescent="0.4">
      <c r="A38" s="75">
        <f>IF(AND(A37=0,A37&lt;$I$18),A37+1,0)</f>
        <v>1</v>
      </c>
      <c r="B38" s="76">
        <f ca="1">IFERROR(IF(A38&lt;=$I$18,DATE(YEAR(B37),MONTH(B37)+1,DAY(B37)),"-"),"")</f>
        <v>46086</v>
      </c>
      <c r="C38" s="77">
        <f>IF(A38="","",K37)</f>
        <v>125000</v>
      </c>
      <c r="D38" s="77">
        <f>IFERROR(ROUNDUP(C38*$I$20,2),"")</f>
        <v>1612.5</v>
      </c>
      <c r="E38" s="77">
        <f>IFERROR(C38+D38,"")</f>
        <v>126612.5</v>
      </c>
      <c r="F38" s="77">
        <f t="shared" ref="F38:F101" si="0">IF(A38="","",$C$38/$I$18)</f>
        <v>694.44444444444446</v>
      </c>
      <c r="G38" s="77">
        <f>IF(A38="","",D38+F38)</f>
        <v>2306.9444444444443</v>
      </c>
      <c r="H38" s="77">
        <f t="shared" ref="H38:H101" ca="1" si="1">IFERROR($V$39*$C38,"")</f>
        <v>28.75</v>
      </c>
      <c r="I38" s="77">
        <f t="shared" ref="I38:I101" si="2">IF(A38="","",IF(K37="","",IF(K37=0,"",$W$39*$I$14)))</f>
        <v>12.000000000000002</v>
      </c>
      <c r="J38" s="77">
        <f t="shared" ref="J38:J101" ca="1" si="3">IFERROR(SUM(I38+H38+G38),"")</f>
        <v>2347.6944444444443</v>
      </c>
      <c r="K38" s="78">
        <f>IF(A38="","",C38-F38)</f>
        <v>124305.55555555556</v>
      </c>
      <c r="O38" s="79" t="s">
        <v>49</v>
      </c>
      <c r="P38" s="80"/>
      <c r="Q38" s="81"/>
      <c r="S38" s="82" t="s">
        <v>50</v>
      </c>
      <c r="T38" s="82" t="s">
        <v>51</v>
      </c>
      <c r="U38" s="82" t="s">
        <v>52</v>
      </c>
      <c r="V38" s="83" t="s">
        <v>53</v>
      </c>
      <c r="W38" s="82" t="s">
        <v>44</v>
      </c>
      <c r="X38" s="82" t="s">
        <v>54</v>
      </c>
      <c r="AA38" s="84" t="s">
        <v>37</v>
      </c>
      <c r="AB38" s="84" t="str">
        <f>IF($AA$36=1,VLOOKUP(AA38,$AE$38:$AK$218,6,0),IF($AA$36=2,VLOOKUP(AA38,$AE$38:$AK$218,4,0),VLOOKUP(AA38,$AE$38:$AK$218,2,0)))</f>
        <v>Parcela PRICE</v>
      </c>
      <c r="AC38" s="84" t="str">
        <f>IF($AA$36=1,VLOOKUP(AA38,$AE$38:$AK$218,7,0),IF($AA$36=2,VLOOKUP(AA38,$AE$38:$AK$218,5,0),VLOOKUP(AA38,$AE$38:$AK$218,3,0)))</f>
        <v>Parcela SAC</v>
      </c>
      <c r="AE38" s="84" t="s">
        <v>37</v>
      </c>
      <c r="AF38" s="84" t="s">
        <v>55</v>
      </c>
      <c r="AG38" s="84" t="s">
        <v>56</v>
      </c>
      <c r="AH38" s="84" t="s">
        <v>57</v>
      </c>
      <c r="AI38" s="84" t="s">
        <v>58</v>
      </c>
      <c r="AJ38" s="84" t="s">
        <v>59</v>
      </c>
      <c r="AK38" s="84" t="s">
        <v>60</v>
      </c>
      <c r="AW38" s="132"/>
      <c r="AX38" s="132"/>
      <c r="AY38" s="132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2"/>
      <c r="BZ38" s="132"/>
      <c r="CA38" s="132"/>
      <c r="CB38" s="132"/>
      <c r="CC38" s="132"/>
      <c r="CD38" s="132"/>
      <c r="CE38" s="132"/>
      <c r="CF38" s="132"/>
      <c r="CG38" s="132"/>
      <c r="CH38" s="132"/>
      <c r="CI38" s="132"/>
      <c r="CJ38" s="132"/>
      <c r="CK38" s="132"/>
      <c r="CL38" s="132"/>
      <c r="CM38" s="132"/>
      <c r="CN38" s="132"/>
      <c r="CO38" s="132"/>
      <c r="CP38" s="132"/>
      <c r="CQ38" s="132"/>
      <c r="CR38" s="132"/>
      <c r="CS38" s="132"/>
      <c r="CT38" s="132"/>
      <c r="CU38" s="132"/>
      <c r="CV38" s="132"/>
      <c r="CW38" s="132"/>
      <c r="CX38" s="132"/>
      <c r="CY38" s="132"/>
      <c r="CZ38" s="132"/>
      <c r="DA38" s="132"/>
      <c r="DB38" s="132"/>
      <c r="DC38" s="132"/>
      <c r="DD38" s="132"/>
      <c r="DE38" s="132"/>
      <c r="DF38" s="132"/>
      <c r="DG38" s="132"/>
      <c r="DH38" s="132"/>
      <c r="DI38" s="132"/>
      <c r="DJ38" s="132"/>
      <c r="DK38" s="132"/>
      <c r="DL38" s="132"/>
      <c r="DM38" s="132"/>
      <c r="DN38" s="132"/>
      <c r="DO38" s="132"/>
      <c r="DP38" s="132"/>
      <c r="DQ38" s="132"/>
      <c r="DR38" s="132"/>
      <c r="DS38" s="132"/>
      <c r="DT38" s="132"/>
      <c r="DU38" s="132"/>
      <c r="DV38" s="132"/>
      <c r="DW38" s="132"/>
      <c r="DX38" s="132"/>
      <c r="DY38" s="132"/>
      <c r="DZ38" s="132"/>
      <c r="EA38" s="132"/>
      <c r="EB38" s="132"/>
      <c r="EC38" s="132"/>
      <c r="ED38" s="132"/>
      <c r="EE38" s="132"/>
      <c r="EF38" s="132"/>
      <c r="EG38" s="132"/>
      <c r="EH38" s="132"/>
      <c r="EI38" s="132"/>
      <c r="EJ38" s="132"/>
      <c r="EK38" s="132"/>
      <c r="EL38" s="132"/>
      <c r="EM38" s="132"/>
      <c r="EN38" s="132"/>
      <c r="EO38" s="132"/>
      <c r="EP38" s="132"/>
      <c r="EQ38" s="132"/>
      <c r="ER38" s="132"/>
      <c r="ES38" s="132"/>
      <c r="ET38" s="132"/>
      <c r="EU38" s="132"/>
      <c r="EV38" s="132"/>
      <c r="EW38" s="132"/>
      <c r="EX38" s="132"/>
      <c r="EY38" s="132"/>
      <c r="EZ38" s="132"/>
      <c r="FA38" s="132"/>
      <c r="FB38" s="132"/>
      <c r="FC38" s="132"/>
      <c r="FD38" s="132"/>
      <c r="FE38" s="132"/>
      <c r="FF38" s="132"/>
      <c r="FG38" s="132"/>
      <c r="FH38" s="132"/>
      <c r="FI38" s="132"/>
      <c r="FJ38" s="132"/>
      <c r="FK38" s="132"/>
      <c r="FL38" s="132"/>
      <c r="FM38" s="132"/>
      <c r="FN38" s="132"/>
      <c r="FO38" s="132"/>
      <c r="FP38" s="132"/>
      <c r="FQ38" s="132"/>
      <c r="FR38" s="132"/>
      <c r="FS38" s="132"/>
      <c r="FT38" s="132"/>
      <c r="FU38" s="132"/>
      <c r="FV38" s="132"/>
      <c r="FW38" s="132"/>
      <c r="FX38" s="132"/>
      <c r="FY38" s="132"/>
      <c r="FZ38" s="132"/>
      <c r="GA38" s="132"/>
      <c r="GB38" s="132"/>
      <c r="GC38" s="132"/>
      <c r="GD38" s="132"/>
      <c r="GE38" s="132"/>
      <c r="GF38" s="132"/>
      <c r="GG38" s="132"/>
      <c r="GH38" s="132"/>
      <c r="GI38" s="132"/>
      <c r="GJ38" s="132"/>
      <c r="GK38" s="132"/>
      <c r="GL38" s="132"/>
      <c r="GM38" s="132"/>
      <c r="GN38" s="132"/>
      <c r="GO38" s="132"/>
      <c r="GP38" s="132"/>
      <c r="GQ38" s="132"/>
      <c r="GR38" s="132"/>
      <c r="GS38" s="132"/>
      <c r="GT38" s="132"/>
      <c r="GU38" s="132"/>
      <c r="GV38" s="132"/>
      <c r="GW38" s="132"/>
      <c r="GX38" s="132"/>
      <c r="GY38" s="132"/>
      <c r="GZ38" s="132"/>
      <c r="HA38" s="132"/>
      <c r="HB38" s="132"/>
      <c r="HC38" s="132"/>
      <c r="HD38" s="132"/>
      <c r="HE38" s="132"/>
      <c r="HF38" s="132"/>
      <c r="HG38" s="132"/>
      <c r="HH38" s="132"/>
      <c r="HI38" s="132"/>
      <c r="HJ38" s="132"/>
      <c r="HK38" s="132"/>
      <c r="HL38" s="132"/>
      <c r="HM38" s="132"/>
    </row>
    <row r="39" spans="1:221" ht="15.5" x14ac:dyDescent="0.35">
      <c r="A39" s="85">
        <f>IF(IF(AND(A38&gt;0,A38&lt;$I$18),A38+1,0)=0,"",IF(AND(A38&gt;0,A38&lt;$I$18),A38+1,0))</f>
        <v>2</v>
      </c>
      <c r="B39" s="68">
        <f t="shared" ref="B39:B102" ca="1" si="4">IFERROR(IF(A39&lt;=$I$18,DATE(YEAR($B$38),MONTH($B$38)+A38,DAY($B$38)),"-"),"")</f>
        <v>46117</v>
      </c>
      <c r="C39" s="86">
        <f t="shared" ref="C39:C102" si="5">IF(A39="","",K38)</f>
        <v>124305.55555555556</v>
      </c>
      <c r="D39" s="86">
        <f t="shared" ref="D39:D102" si="6">IFERROR(ROUNDUP(C39*$I$20,2),"")</f>
        <v>1603.55</v>
      </c>
      <c r="E39" s="86">
        <f t="shared" ref="E39:E102" si="7">IFERROR(C39+D39,"")</f>
        <v>125909.10555555556</v>
      </c>
      <c r="F39" s="86">
        <f t="shared" si="0"/>
        <v>694.44444444444446</v>
      </c>
      <c r="G39" s="86">
        <f t="shared" ref="G39:G102" si="8">IF(A39="","",D39+F39)</f>
        <v>2297.9944444444445</v>
      </c>
      <c r="H39" s="86">
        <f t="shared" ca="1" si="1"/>
        <v>28.590277777777779</v>
      </c>
      <c r="I39" s="86">
        <f t="shared" si="2"/>
        <v>12.000000000000002</v>
      </c>
      <c r="J39" s="86">
        <f t="shared" ca="1" si="3"/>
        <v>2338.5847222222224</v>
      </c>
      <c r="K39" s="87">
        <f t="shared" ref="K39:K102" si="9">IF(A39="","",C39-F39)</f>
        <v>123611.11111111112</v>
      </c>
      <c r="N39" s="88" t="s">
        <v>61</v>
      </c>
      <c r="O39" s="89">
        <v>0.03</v>
      </c>
      <c r="P39" s="90">
        <f>SUM(O55:O250)</f>
        <v>3500.0000000000077</v>
      </c>
      <c r="Q39" s="91">
        <f ca="1">SUM(P39:P41)</f>
        <v>4157.9700000000075</v>
      </c>
      <c r="S39" s="92" t="s">
        <v>62</v>
      </c>
      <c r="T39" s="93">
        <f>[1]Capa!P6</f>
        <v>29586</v>
      </c>
      <c r="U39" s="94">
        <f ca="1">IF($T$39="","",INT((TODAY())-$T$39)/365.25)</f>
        <v>45.097878165639976</v>
      </c>
      <c r="V39" s="92">
        <f ca="1">IF(AND(U39&gt;=S48,U39&lt;S49),U48,IF(AND(U39&gt;=S49,U39&lt;S50),U49,IF(AND(U39&gt;=S50,U39&lt;S51),U50,IF(AND(U39&gt;=S51,U39&lt;S52),U51,IF(AND(U39&gt;=S52,U39&lt;S53),U52,IF(AND(U39&gt;=S53,U39&lt;S54),U53,IF(AND(U39&gt;=S54,U39&lt;S55),U54,IF(AND(U39&gt;=S55,U39&lt;S56),U55,IF(AND(U39&gt;=S56,U39&lt;T56),U56,"")))))))))</f>
        <v>2.3000000000000001E-4</v>
      </c>
      <c r="W39" s="95">
        <v>4.0000000000000003E-5</v>
      </c>
      <c r="X39" s="95"/>
      <c r="AA39" s="96">
        <f>A38</f>
        <v>1</v>
      </c>
      <c r="AB39" s="97">
        <f t="shared" ref="AB39:AB102" si="10">IF($AA$36=1,VLOOKUP(AA39,$AE$38:$AK$218,6,0),IF($AA$36=2,VLOOKUP(AA39,$AE$38:$AK$218,4,0),VLOOKUP(AA39,$AE$38:$AK$218,2,0)))</f>
        <v>16352.110394128216</v>
      </c>
      <c r="AC39" s="97">
        <f ca="1">IF($AA$36=1,VLOOKUP(AA39,$AE$38:$AK$278,7,0),IF($AA$36=2,VLOOKUP(AA39,$AE$38:$AK$278,5,0),VLOOKUP(AA39,$AE$38:$AK$278,3,0)))</f>
        <v>2347.6944444444443</v>
      </c>
      <c r="AE39" s="96">
        <f>AA39</f>
        <v>1</v>
      </c>
      <c r="AF39" s="97">
        <f>IFERROR(VLOOKUP(AE39,[1]Cálculos_PRICE!$A$32:$K$212,10,0),"")</f>
        <v>16352.110394128216</v>
      </c>
      <c r="AG39" s="97">
        <f ca="1">IFERROR(VLOOKUP(AE39,Cálculos_Aquisição_SAC_Fixa!A37:K310,10,0),"")</f>
        <v>2347.6944444444443</v>
      </c>
      <c r="AH39" s="97">
        <f>IFERROR(VLOOKUP(AE39,[1]Cálculos_PRICE!$A$32:$K$212,6,0),"")</f>
        <v>1104.2103941282166</v>
      </c>
      <c r="AI39" s="97">
        <f>IFERROR(VLOOKUP(AE39,Cálculos_Aquisição_SAC_Fixa!A37:K310,6,0),"")</f>
        <v>694.44444444444446</v>
      </c>
      <c r="AJ39" s="97">
        <f>IFERROR(VLOOKUP(AE39,[1]Cálculos_PRICE!$A$32:$K$240,11,0),"")</f>
        <v>998895.78960587177</v>
      </c>
      <c r="AK39" s="97">
        <f>IFERROR(VLOOKUP(AE39,Cálculos_Aquisição_SAC_Fixa!A37:K310,11,0),"")</f>
        <v>124305.55555555556</v>
      </c>
      <c r="AW39" s="132"/>
      <c r="AX39" s="132"/>
      <c r="AY39" s="132"/>
      <c r="AZ39" s="132"/>
      <c r="BA39" s="132"/>
      <c r="BB39" s="132"/>
      <c r="BC39" s="132"/>
      <c r="BD39" s="132"/>
      <c r="BE39" s="132"/>
      <c r="BF39" s="132"/>
      <c r="BG39" s="132"/>
      <c r="BH39" s="132"/>
      <c r="BI39" s="132"/>
      <c r="BJ39" s="132"/>
      <c r="BK39" s="132"/>
      <c r="BL39" s="132"/>
      <c r="BM39" s="132"/>
      <c r="BN39" s="132"/>
      <c r="BO39" s="132"/>
      <c r="BP39" s="132"/>
      <c r="BQ39" s="132"/>
      <c r="BR39" s="132"/>
      <c r="BS39" s="132"/>
      <c r="BT39" s="132"/>
      <c r="BU39" s="132"/>
      <c r="BV39" s="132"/>
      <c r="BW39" s="132"/>
      <c r="BX39" s="132"/>
      <c r="BY39" s="132"/>
      <c r="BZ39" s="132"/>
      <c r="CA39" s="132"/>
      <c r="CB39" s="132"/>
      <c r="CC39" s="132"/>
      <c r="CD39" s="132"/>
      <c r="CE39" s="132"/>
      <c r="CF39" s="132"/>
      <c r="CG39" s="132"/>
      <c r="CH39" s="132"/>
      <c r="CI39" s="132"/>
      <c r="CJ39" s="132"/>
      <c r="CK39" s="132"/>
      <c r="CL39" s="132"/>
      <c r="CM39" s="132"/>
      <c r="CN39" s="132"/>
      <c r="CO39" s="132"/>
      <c r="CP39" s="132"/>
      <c r="CQ39" s="132"/>
      <c r="CR39" s="132"/>
      <c r="CS39" s="132"/>
      <c r="CT39" s="132"/>
      <c r="CU39" s="132"/>
      <c r="CV39" s="132"/>
      <c r="CW39" s="132"/>
      <c r="CX39" s="132"/>
      <c r="CY39" s="132"/>
      <c r="CZ39" s="132"/>
      <c r="DA39" s="132"/>
      <c r="DB39" s="132"/>
      <c r="DC39" s="132"/>
      <c r="DD39" s="132"/>
      <c r="DE39" s="132"/>
      <c r="DF39" s="132"/>
      <c r="DG39" s="132"/>
      <c r="DH39" s="132"/>
      <c r="DI39" s="132"/>
      <c r="DJ39" s="132"/>
      <c r="DK39" s="132"/>
      <c r="DL39" s="132"/>
      <c r="DM39" s="132"/>
      <c r="DN39" s="132"/>
      <c r="DO39" s="132"/>
      <c r="DP39" s="132"/>
      <c r="DQ39" s="132"/>
      <c r="DR39" s="132"/>
      <c r="DS39" s="132"/>
      <c r="DT39" s="132"/>
      <c r="DU39" s="132"/>
      <c r="DV39" s="132"/>
      <c r="DW39" s="132"/>
      <c r="DX39" s="132"/>
      <c r="DY39" s="132"/>
      <c r="DZ39" s="132"/>
      <c r="EA39" s="132"/>
      <c r="EB39" s="132"/>
      <c r="EC39" s="132"/>
      <c r="ED39" s="132"/>
      <c r="EE39" s="132"/>
      <c r="EF39" s="132"/>
      <c r="EG39" s="132"/>
      <c r="EH39" s="132"/>
      <c r="EI39" s="132"/>
      <c r="EJ39" s="132"/>
      <c r="EK39" s="132"/>
      <c r="EL39" s="132"/>
      <c r="EM39" s="132"/>
      <c r="EN39" s="132"/>
      <c r="EO39" s="132"/>
      <c r="EP39" s="132"/>
      <c r="EQ39" s="132"/>
      <c r="ER39" s="132"/>
      <c r="ES39" s="132"/>
      <c r="ET39" s="132"/>
      <c r="EU39" s="132"/>
      <c r="EV39" s="132"/>
      <c r="EW39" s="132"/>
      <c r="EX39" s="132"/>
      <c r="EY39" s="132"/>
      <c r="EZ39" s="132"/>
      <c r="FA39" s="132"/>
      <c r="FB39" s="132"/>
      <c r="FC39" s="132"/>
      <c r="FD39" s="132"/>
      <c r="FE39" s="132"/>
      <c r="FF39" s="132"/>
      <c r="FG39" s="132"/>
      <c r="FH39" s="132"/>
      <c r="FI39" s="132"/>
      <c r="FJ39" s="132"/>
      <c r="FK39" s="132"/>
      <c r="FL39" s="132"/>
      <c r="FM39" s="132"/>
      <c r="FN39" s="132"/>
      <c r="FO39" s="132"/>
      <c r="FP39" s="132"/>
      <c r="FQ39" s="132"/>
      <c r="FR39" s="132"/>
      <c r="FS39" s="132"/>
      <c r="FT39" s="132"/>
      <c r="FU39" s="132"/>
      <c r="FV39" s="132"/>
      <c r="FW39" s="132"/>
      <c r="FX39" s="132"/>
      <c r="FY39" s="132"/>
      <c r="FZ39" s="132"/>
      <c r="GA39" s="132"/>
      <c r="GB39" s="132"/>
      <c r="GC39" s="132"/>
      <c r="GD39" s="132"/>
      <c r="GE39" s="132"/>
      <c r="GF39" s="132"/>
      <c r="GG39" s="132"/>
      <c r="GH39" s="132"/>
      <c r="GI39" s="132"/>
      <c r="GJ39" s="132"/>
      <c r="GK39" s="132"/>
      <c r="GL39" s="132"/>
      <c r="GM39" s="132"/>
      <c r="GN39" s="132"/>
      <c r="GO39" s="132"/>
      <c r="GP39" s="132"/>
      <c r="GQ39" s="132"/>
      <c r="GR39" s="132"/>
      <c r="GS39" s="132"/>
      <c r="GT39" s="132"/>
      <c r="GU39" s="132"/>
      <c r="GV39" s="132"/>
      <c r="GW39" s="132"/>
      <c r="GX39" s="132"/>
      <c r="GY39" s="132"/>
      <c r="GZ39" s="132"/>
      <c r="HA39" s="132"/>
      <c r="HB39" s="132"/>
      <c r="HC39" s="132"/>
      <c r="HD39" s="132"/>
      <c r="HE39" s="132"/>
      <c r="HF39" s="132"/>
      <c r="HG39" s="132"/>
      <c r="HH39" s="132"/>
      <c r="HI39" s="132"/>
      <c r="HJ39" s="132"/>
      <c r="HK39" s="132"/>
      <c r="HL39" s="132"/>
      <c r="HM39" s="132"/>
    </row>
    <row r="40" spans="1:221" ht="15.5" x14ac:dyDescent="0.35">
      <c r="A40" s="98">
        <f t="shared" ref="A40:A103" si="11">IF(IF(AND(A39&gt;0,A39&lt;$I$18),A39+1,0)=0,"",IF(AND(A39&gt;0,A39&lt;$I$18),A39+1,0))</f>
        <v>3</v>
      </c>
      <c r="B40" s="99">
        <f t="shared" ca="1" si="4"/>
        <v>46147</v>
      </c>
      <c r="C40" s="100">
        <f t="shared" si="5"/>
        <v>123611.11111111112</v>
      </c>
      <c r="D40" s="100">
        <f t="shared" si="6"/>
        <v>1594.59</v>
      </c>
      <c r="E40" s="100">
        <f t="shared" si="7"/>
        <v>125205.70111111112</v>
      </c>
      <c r="F40" s="100">
        <f t="shared" si="0"/>
        <v>694.44444444444446</v>
      </c>
      <c r="G40" s="100">
        <f t="shared" si="8"/>
        <v>2289.0344444444445</v>
      </c>
      <c r="H40" s="100">
        <f t="shared" ca="1" si="1"/>
        <v>28.430555555555561</v>
      </c>
      <c r="I40" s="100">
        <f t="shared" si="2"/>
        <v>12.000000000000002</v>
      </c>
      <c r="J40" s="100">
        <f t="shared" ca="1" si="3"/>
        <v>2329.4650000000001</v>
      </c>
      <c r="K40" s="101">
        <f t="shared" si="9"/>
        <v>122916.66666666669</v>
      </c>
      <c r="N40" s="88" t="s">
        <v>63</v>
      </c>
      <c r="O40" s="102">
        <v>3.8E-3</v>
      </c>
      <c r="P40" s="103">
        <f>ROUNDUP(O40*$C$37,2)</f>
        <v>475</v>
      </c>
      <c r="Q40" s="104"/>
      <c r="S40" s="92" t="s">
        <v>64</v>
      </c>
      <c r="T40" s="93"/>
      <c r="U40" s="94"/>
      <c r="V40" s="92"/>
      <c r="W40" s="95"/>
      <c r="X40" s="95"/>
      <c r="AA40" s="96">
        <f t="shared" ref="AA40:AA103" si="12">A39</f>
        <v>2</v>
      </c>
      <c r="AB40" s="97">
        <f t="shared" si="10"/>
        <v>16351.864817736563</v>
      </c>
      <c r="AC40" s="97">
        <f t="shared" ref="AC40:AC103" ca="1" si="13">IF($AA$36=1,VLOOKUP(AA40,$AE$38:$AK$278,7,0),IF($AA$36=2,VLOOKUP(AA40,$AE$38:$AK$278,5,0),VLOOKUP(AA40,$AE$38:$AK$278,3,0)))</f>
        <v>2338.5847222222224</v>
      </c>
      <c r="AE40" s="96">
        <f t="shared" ref="AE40:AE103" si="14">AA40</f>
        <v>2</v>
      </c>
      <c r="AF40" s="97">
        <f>IFERROR(VLOOKUP(AE40,[1]Cálculos_PRICE!$A$32:$K$212,10,0),"")</f>
        <v>16351.864817736563</v>
      </c>
      <c r="AG40" s="97">
        <f ca="1">IFERROR(VLOOKUP(AE40,Cálculos_Aquisição_SAC_Fixa!A38:K311,10,0),"")</f>
        <v>2338.5847222222224</v>
      </c>
      <c r="AH40" s="97">
        <f>IFERROR(VLOOKUP(AE40,[1]Cálculos_PRICE!$A$32:$K$212,6,0),"")</f>
        <v>1120.7735500401413</v>
      </c>
      <c r="AI40" s="97">
        <f>IFERROR(VLOOKUP(AE40,Cálculos_Aquisição_SAC_Fixa!A38:K311,6,0),"")</f>
        <v>694.44444444444446</v>
      </c>
      <c r="AJ40" s="97">
        <f>IFERROR(VLOOKUP(AE40,[1]Cálculos_PRICE!$A$32:$K$240,11,0),"")</f>
        <v>997775.01605583169</v>
      </c>
      <c r="AK40" s="97">
        <f>IFERROR(VLOOKUP(AE40,Cálculos_Aquisição_SAC_Fixa!A38:K311,11,0),"")</f>
        <v>123611.11111111112</v>
      </c>
      <c r="AW40" s="132"/>
      <c r="AX40" s="132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2"/>
      <c r="BZ40" s="132"/>
      <c r="CA40" s="132"/>
      <c r="CB40" s="132"/>
      <c r="CC40" s="132"/>
      <c r="CD40" s="132"/>
      <c r="CE40" s="132"/>
      <c r="CF40" s="132"/>
      <c r="CG40" s="132"/>
      <c r="CH40" s="132"/>
      <c r="CI40" s="132"/>
      <c r="CJ40" s="132"/>
      <c r="CK40" s="132"/>
      <c r="CL40" s="132"/>
      <c r="CM40" s="132"/>
      <c r="CN40" s="132"/>
      <c r="CO40" s="132"/>
      <c r="CP40" s="132"/>
      <c r="CQ40" s="132"/>
      <c r="CR40" s="132"/>
      <c r="CS40" s="132"/>
      <c r="CT40" s="132"/>
      <c r="CU40" s="132"/>
      <c r="CV40" s="132"/>
      <c r="CW40" s="132"/>
      <c r="CX40" s="132"/>
      <c r="CY40" s="132"/>
      <c r="CZ40" s="132"/>
      <c r="DA40" s="132"/>
      <c r="DB40" s="132"/>
      <c r="DC40" s="132"/>
      <c r="DD40" s="132"/>
      <c r="DE40" s="132"/>
      <c r="DF40" s="132"/>
      <c r="DG40" s="132"/>
      <c r="DH40" s="132"/>
      <c r="DI40" s="132"/>
      <c r="DJ40" s="132"/>
      <c r="DK40" s="132"/>
      <c r="DL40" s="132"/>
      <c r="DM40" s="132"/>
      <c r="DN40" s="132"/>
      <c r="DO40" s="132"/>
      <c r="DP40" s="132"/>
      <c r="DQ40" s="132"/>
      <c r="DR40" s="132"/>
      <c r="DS40" s="132"/>
      <c r="DT40" s="132"/>
      <c r="DU40" s="132"/>
      <c r="DV40" s="132"/>
      <c r="DW40" s="132"/>
      <c r="DX40" s="132"/>
      <c r="DY40" s="132"/>
      <c r="DZ40" s="132"/>
      <c r="EA40" s="132"/>
      <c r="EB40" s="132"/>
      <c r="EC40" s="132"/>
      <c r="ED40" s="132"/>
      <c r="EE40" s="132"/>
      <c r="EF40" s="132"/>
      <c r="EG40" s="132"/>
      <c r="EH40" s="132"/>
      <c r="EI40" s="132"/>
      <c r="EJ40" s="132"/>
      <c r="EK40" s="132"/>
      <c r="EL40" s="132"/>
      <c r="EM40" s="132"/>
      <c r="EN40" s="132"/>
      <c r="EO40" s="132"/>
      <c r="EP40" s="132"/>
      <c r="EQ40" s="132"/>
      <c r="ER40" s="132"/>
      <c r="ES40" s="132"/>
      <c r="ET40" s="132"/>
      <c r="EU40" s="132"/>
      <c r="EV40" s="132"/>
      <c r="EW40" s="132"/>
      <c r="EX40" s="132"/>
      <c r="EY40" s="132"/>
      <c r="EZ40" s="132"/>
      <c r="FA40" s="132"/>
      <c r="FB40" s="132"/>
      <c r="FC40" s="132"/>
      <c r="FD40" s="132"/>
      <c r="FE40" s="132"/>
      <c r="FF40" s="132"/>
      <c r="FG40" s="132"/>
      <c r="FH40" s="132"/>
      <c r="FI40" s="132"/>
      <c r="FJ40" s="132"/>
      <c r="FK40" s="132"/>
      <c r="FL40" s="132"/>
      <c r="FM40" s="132"/>
      <c r="FN40" s="132"/>
      <c r="FO40" s="132"/>
      <c r="FP40" s="132"/>
      <c r="FQ40" s="132"/>
      <c r="FR40" s="132"/>
      <c r="FS40" s="132"/>
      <c r="FT40" s="132"/>
      <c r="FU40" s="132"/>
      <c r="FV40" s="132"/>
      <c r="FW40" s="132"/>
      <c r="FX40" s="132"/>
      <c r="FY40" s="132"/>
      <c r="FZ40" s="132"/>
      <c r="GA40" s="132"/>
      <c r="GB40" s="132"/>
      <c r="GC40" s="132"/>
      <c r="GD40" s="132"/>
      <c r="GE40" s="132"/>
      <c r="GF40" s="132"/>
      <c r="GG40" s="132"/>
      <c r="GH40" s="132"/>
      <c r="GI40" s="132"/>
      <c r="GJ40" s="132"/>
      <c r="GK40" s="132"/>
      <c r="GL40" s="132"/>
      <c r="GM40" s="132"/>
      <c r="GN40" s="132"/>
      <c r="GO40" s="132"/>
      <c r="GP40" s="132"/>
      <c r="GQ40" s="132"/>
      <c r="GR40" s="132"/>
      <c r="GS40" s="132"/>
      <c r="GT40" s="132"/>
      <c r="GU40" s="132"/>
      <c r="GV40" s="132"/>
      <c r="GW40" s="132"/>
      <c r="GX40" s="132"/>
      <c r="GY40" s="132"/>
      <c r="GZ40" s="132"/>
      <c r="HA40" s="132"/>
      <c r="HB40" s="132"/>
      <c r="HC40" s="132"/>
      <c r="HD40" s="132"/>
      <c r="HE40" s="132"/>
      <c r="HF40" s="132"/>
      <c r="HG40" s="132"/>
      <c r="HH40" s="132"/>
      <c r="HI40" s="132"/>
      <c r="HJ40" s="132"/>
      <c r="HK40" s="132"/>
      <c r="HL40" s="132"/>
      <c r="HM40" s="132"/>
    </row>
    <row r="41" spans="1:221" ht="16" thickBot="1" x14ac:dyDescent="0.4">
      <c r="A41" s="98">
        <f t="shared" si="11"/>
        <v>4</v>
      </c>
      <c r="B41" s="99">
        <f t="shared" ca="1" si="4"/>
        <v>46178</v>
      </c>
      <c r="C41" s="100">
        <f t="shared" si="5"/>
        <v>122916.66666666669</v>
      </c>
      <c r="D41" s="100">
        <f t="shared" si="6"/>
        <v>1585.6299999999999</v>
      </c>
      <c r="E41" s="100">
        <f t="shared" si="7"/>
        <v>124502.29666666669</v>
      </c>
      <c r="F41" s="100">
        <f t="shared" si="0"/>
        <v>694.44444444444446</v>
      </c>
      <c r="G41" s="100">
        <f t="shared" si="8"/>
        <v>2280.0744444444445</v>
      </c>
      <c r="H41" s="100">
        <f t="shared" ca="1" si="1"/>
        <v>28.270833333333339</v>
      </c>
      <c r="I41" s="100">
        <f t="shared" si="2"/>
        <v>12.000000000000002</v>
      </c>
      <c r="J41" s="100">
        <f t="shared" ca="1" si="3"/>
        <v>2320.3452777777779</v>
      </c>
      <c r="K41" s="101">
        <f t="shared" si="9"/>
        <v>122222.22222222225</v>
      </c>
      <c r="N41" s="88" t="s">
        <v>65</v>
      </c>
      <c r="O41" s="105">
        <v>1.1179999999999999E-4</v>
      </c>
      <c r="P41" s="106">
        <f ca="1">SUM(O43:O54)</f>
        <v>182.97</v>
      </c>
      <c r="Q41" s="107"/>
      <c r="S41" s="92" t="s">
        <v>66</v>
      </c>
      <c r="T41" s="93"/>
      <c r="U41" s="94"/>
      <c r="V41" s="92"/>
      <c r="W41" s="95"/>
      <c r="X41" s="95"/>
      <c r="AA41" s="96">
        <f t="shared" si="12"/>
        <v>3</v>
      </c>
      <c r="AB41" s="97">
        <f t="shared" si="10"/>
        <v>16351.615557699033</v>
      </c>
      <c r="AC41" s="97">
        <f t="shared" ca="1" si="13"/>
        <v>2329.4650000000001</v>
      </c>
      <c r="AE41" s="96">
        <f t="shared" si="14"/>
        <v>3</v>
      </c>
      <c r="AF41" s="97">
        <f>IFERROR(VLOOKUP(AE41,[1]Cálculos_PRICE!$A$32:$K$212,10,0),"")</f>
        <v>16351.615557699033</v>
      </c>
      <c r="AG41" s="97">
        <f ca="1">IFERROR(VLOOKUP(AE41,Cálculos_Aquisição_SAC_Fixa!A39:K312,10,0),"")</f>
        <v>2329.4650000000001</v>
      </c>
      <c r="AH41" s="97">
        <f>IFERROR(VLOOKUP(AE41,[1]Cálculos_PRICE!$A$32:$K$212,6,0),"")</f>
        <v>1137.5851532907418</v>
      </c>
      <c r="AI41" s="97">
        <f>IFERROR(VLOOKUP(AE41,Cálculos_Aquisição_SAC_Fixa!A39:K312,6,0),"")</f>
        <v>694.44444444444446</v>
      </c>
      <c r="AJ41" s="97">
        <f>IFERROR(VLOOKUP(AE41,[1]Cálculos_PRICE!$A$32:$K$240,11,0),"")</f>
        <v>996637.43090254092</v>
      </c>
      <c r="AK41" s="97">
        <f>IFERROR(VLOOKUP(AE41,Cálculos_Aquisição_SAC_Fixa!A39:K312,11,0),"")</f>
        <v>122916.66666666669</v>
      </c>
      <c r="AW41" s="132"/>
      <c r="AX41" s="132"/>
      <c r="AY41" s="132"/>
      <c r="AZ41" s="132"/>
      <c r="BA41" s="132"/>
      <c r="BB41" s="132"/>
      <c r="BC41" s="132"/>
      <c r="BD41" s="132"/>
      <c r="BE41" s="132"/>
      <c r="BF41" s="132"/>
      <c r="BG41" s="132"/>
      <c r="BH41" s="132"/>
      <c r="BI41" s="132"/>
      <c r="BJ41" s="132"/>
      <c r="BK41" s="132"/>
      <c r="BL41" s="132"/>
      <c r="BM41" s="132"/>
      <c r="BN41" s="132"/>
      <c r="BO41" s="132"/>
      <c r="BP41" s="132"/>
      <c r="BQ41" s="132"/>
      <c r="BR41" s="132"/>
      <c r="BS41" s="132"/>
      <c r="BT41" s="132"/>
      <c r="BU41" s="132"/>
      <c r="BV41" s="132"/>
      <c r="BW41" s="132"/>
      <c r="BX41" s="132"/>
      <c r="BY41" s="132"/>
      <c r="BZ41" s="132"/>
      <c r="CA41" s="132"/>
      <c r="CB41" s="132"/>
      <c r="CC41" s="132"/>
      <c r="CD41" s="132"/>
      <c r="CE41" s="132"/>
      <c r="CF41" s="132"/>
      <c r="CG41" s="132"/>
      <c r="CH41" s="132"/>
      <c r="CI41" s="132"/>
      <c r="CJ41" s="132"/>
      <c r="CK41" s="132"/>
      <c r="CL41" s="132"/>
      <c r="CM41" s="132"/>
      <c r="CN41" s="132"/>
      <c r="CO41" s="132"/>
      <c r="CP41" s="132"/>
      <c r="CQ41" s="132"/>
      <c r="CR41" s="132"/>
      <c r="CS41" s="132"/>
      <c r="CT41" s="132"/>
      <c r="CU41" s="132"/>
      <c r="CV41" s="132"/>
      <c r="CW41" s="132"/>
      <c r="CX41" s="132"/>
      <c r="CY41" s="132"/>
      <c r="CZ41" s="132"/>
      <c r="DA41" s="132"/>
      <c r="DB41" s="132"/>
      <c r="DC41" s="132"/>
      <c r="DD41" s="132"/>
      <c r="DE41" s="132"/>
      <c r="DF41" s="132"/>
      <c r="DG41" s="132"/>
      <c r="DH41" s="132"/>
      <c r="DI41" s="132"/>
      <c r="DJ41" s="132"/>
      <c r="DK41" s="132"/>
      <c r="DL41" s="132"/>
      <c r="DM41" s="132"/>
      <c r="DN41" s="132"/>
      <c r="DO41" s="132"/>
      <c r="DP41" s="132"/>
      <c r="DQ41" s="132"/>
      <c r="DR41" s="132"/>
      <c r="DS41" s="132"/>
      <c r="DT41" s="132"/>
      <c r="DU41" s="132"/>
      <c r="DV41" s="132"/>
      <c r="DW41" s="132"/>
      <c r="DX41" s="132"/>
      <c r="DY41" s="132"/>
      <c r="DZ41" s="132"/>
      <c r="EA41" s="132"/>
      <c r="EB41" s="132"/>
      <c r="EC41" s="132"/>
      <c r="ED41" s="132"/>
      <c r="EE41" s="132"/>
      <c r="EF41" s="132"/>
      <c r="EG41" s="132"/>
      <c r="EH41" s="132"/>
      <c r="EI41" s="132"/>
      <c r="EJ41" s="132"/>
      <c r="EK41" s="132"/>
      <c r="EL41" s="132"/>
      <c r="EM41" s="132"/>
      <c r="EN41" s="132"/>
      <c r="EO41" s="132"/>
      <c r="EP41" s="132"/>
      <c r="EQ41" s="132"/>
      <c r="ER41" s="132"/>
      <c r="ES41" s="132"/>
      <c r="ET41" s="132"/>
      <c r="EU41" s="132"/>
      <c r="EV41" s="132"/>
      <c r="EW41" s="132"/>
      <c r="EX41" s="132"/>
      <c r="EY41" s="132"/>
      <c r="EZ41" s="132"/>
      <c r="FA41" s="132"/>
      <c r="FB41" s="132"/>
      <c r="FC41" s="132"/>
      <c r="FD41" s="132"/>
      <c r="FE41" s="132"/>
      <c r="FF41" s="132"/>
      <c r="FG41" s="132"/>
      <c r="FH41" s="132"/>
      <c r="FI41" s="132"/>
      <c r="FJ41" s="132"/>
      <c r="FK41" s="132"/>
      <c r="FL41" s="132"/>
      <c r="FM41" s="132"/>
      <c r="FN41" s="132"/>
      <c r="FO41" s="132"/>
      <c r="FP41" s="132"/>
      <c r="FQ41" s="132"/>
      <c r="FR41" s="132"/>
      <c r="FS41" s="132"/>
      <c r="FT41" s="132"/>
      <c r="FU41" s="132"/>
      <c r="FV41" s="132"/>
      <c r="FW41" s="132"/>
      <c r="FX41" s="132"/>
      <c r="FY41" s="132"/>
      <c r="FZ41" s="132"/>
      <c r="GA41" s="132"/>
      <c r="GB41" s="132"/>
      <c r="GC41" s="132"/>
      <c r="GD41" s="132"/>
      <c r="GE41" s="132"/>
      <c r="GF41" s="132"/>
      <c r="GG41" s="132"/>
      <c r="GH41" s="132"/>
      <c r="GI41" s="132"/>
      <c r="GJ41" s="132"/>
      <c r="GK41" s="132"/>
      <c r="GL41" s="132"/>
      <c r="GM41" s="132"/>
      <c r="GN41" s="132"/>
      <c r="GO41" s="132"/>
      <c r="GP41" s="132"/>
      <c r="GQ41" s="132"/>
      <c r="GR41" s="132"/>
      <c r="GS41" s="132"/>
      <c r="GT41" s="132"/>
      <c r="GU41" s="132"/>
      <c r="GV41" s="132"/>
      <c r="GW41" s="132"/>
      <c r="GX41" s="132"/>
      <c r="GY41" s="132"/>
      <c r="GZ41" s="132"/>
      <c r="HA41" s="132"/>
      <c r="HB41" s="132"/>
      <c r="HC41" s="132"/>
      <c r="HD41" s="132"/>
      <c r="HE41" s="132"/>
      <c r="HF41" s="132"/>
      <c r="HG41" s="132"/>
      <c r="HH41" s="132"/>
      <c r="HI41" s="132"/>
      <c r="HJ41" s="132"/>
      <c r="HK41" s="132"/>
      <c r="HL41" s="132"/>
      <c r="HM41" s="132"/>
    </row>
    <row r="42" spans="1:221" ht="16" thickBot="1" x14ac:dyDescent="0.4">
      <c r="A42" s="98">
        <f t="shared" si="11"/>
        <v>5</v>
      </c>
      <c r="B42" s="99">
        <f t="shared" ca="1" si="4"/>
        <v>46208</v>
      </c>
      <c r="C42" s="100">
        <f t="shared" si="5"/>
        <v>122222.22222222225</v>
      </c>
      <c r="D42" s="100">
        <f t="shared" si="6"/>
        <v>1576.67</v>
      </c>
      <c r="E42" s="100">
        <f t="shared" si="7"/>
        <v>123798.89222222225</v>
      </c>
      <c r="F42" s="100">
        <f t="shared" si="0"/>
        <v>694.44444444444446</v>
      </c>
      <c r="G42" s="100">
        <f t="shared" si="8"/>
        <v>2271.1144444444444</v>
      </c>
      <c r="H42" s="100">
        <f t="shared" ca="1" si="1"/>
        <v>28.111111111111118</v>
      </c>
      <c r="I42" s="100">
        <f t="shared" si="2"/>
        <v>12.000000000000002</v>
      </c>
      <c r="J42" s="100">
        <f t="shared" ca="1" si="3"/>
        <v>2311.2255555555557</v>
      </c>
      <c r="K42" s="101">
        <f t="shared" si="9"/>
        <v>121527.77777777781</v>
      </c>
      <c r="N42" s="66"/>
      <c r="O42" s="108" t="s">
        <v>67</v>
      </c>
      <c r="P42" s="109" t="s">
        <v>68</v>
      </c>
      <c r="Q42" s="110" t="s">
        <v>69</v>
      </c>
      <c r="R42" s="66"/>
      <c r="S42" s="92" t="s">
        <v>70</v>
      </c>
      <c r="T42" s="93"/>
      <c r="U42" s="94"/>
      <c r="V42" s="92"/>
      <c r="W42" s="95"/>
      <c r="X42" s="95"/>
      <c r="AA42" s="96">
        <f t="shared" si="12"/>
        <v>4</v>
      </c>
      <c r="AB42" s="97">
        <f t="shared" si="10"/>
        <v>16351.362558760942</v>
      </c>
      <c r="AC42" s="97">
        <f t="shared" ca="1" si="13"/>
        <v>2320.3452777777779</v>
      </c>
      <c r="AE42" s="96">
        <f t="shared" si="14"/>
        <v>4</v>
      </c>
      <c r="AF42" s="97">
        <f>IFERROR(VLOOKUP(AE42,[1]Cálculos_PRICE!$A$32:$K$212,10,0),"")</f>
        <v>16351.362558760942</v>
      </c>
      <c r="AG42" s="97">
        <f ca="1">IFERROR(VLOOKUP(AE42,Cálculos_Aquisição_SAC_Fixa!A40:K313,10,0),"")</f>
        <v>2320.3452777777779</v>
      </c>
      <c r="AH42" s="97">
        <f>IFERROR(VLOOKUP(AE42,[1]Cálculos_PRICE!$A$32:$K$212,6,0),"")</f>
        <v>1154.6489305901032</v>
      </c>
      <c r="AI42" s="97">
        <f>IFERROR(VLOOKUP(AE42,Cálculos_Aquisição_SAC_Fixa!A40:K313,6,0),"")</f>
        <v>694.44444444444446</v>
      </c>
      <c r="AJ42" s="97">
        <f>IFERROR(VLOOKUP(AE42,[1]Cálculos_PRICE!$A$32:$K$240,11,0),"")</f>
        <v>995482.78197195078</v>
      </c>
      <c r="AK42" s="97">
        <f>IFERROR(VLOOKUP(AE42,Cálculos_Aquisição_SAC_Fixa!A40:K313,11,0),"")</f>
        <v>122222.22222222225</v>
      </c>
      <c r="AW42" s="132"/>
    </row>
    <row r="43" spans="1:221" ht="15.5" x14ac:dyDescent="0.35">
      <c r="A43" s="98">
        <f t="shared" si="11"/>
        <v>6</v>
      </c>
      <c r="B43" s="99">
        <f t="shared" ca="1" si="4"/>
        <v>46239</v>
      </c>
      <c r="C43" s="100">
        <f t="shared" si="5"/>
        <v>121527.77777777781</v>
      </c>
      <c r="D43" s="100">
        <f t="shared" si="6"/>
        <v>1567.71</v>
      </c>
      <c r="E43" s="100">
        <f t="shared" si="7"/>
        <v>123095.48777777782</v>
      </c>
      <c r="F43" s="100">
        <f t="shared" si="0"/>
        <v>694.44444444444446</v>
      </c>
      <c r="G43" s="100">
        <f t="shared" si="8"/>
        <v>2262.1544444444444</v>
      </c>
      <c r="H43" s="100">
        <f t="shared" ca="1" si="1"/>
        <v>27.951388888888896</v>
      </c>
      <c r="I43" s="100">
        <f t="shared" si="2"/>
        <v>12.000000000000002</v>
      </c>
      <c r="J43" s="100">
        <f t="shared" ca="1" si="3"/>
        <v>2302.1058333333331</v>
      </c>
      <c r="K43" s="101">
        <f t="shared" si="9"/>
        <v>120833.33333333337</v>
      </c>
      <c r="O43" s="111">
        <f t="shared" ref="O43:O54" ca="1" si="15">ROUNDUP(F38*$O$41*Q43,2)</f>
        <v>2.1799999999999997</v>
      </c>
      <c r="P43" s="112">
        <f t="shared" ref="P43:P106" ca="1" si="16">IF($A38&lt;=$I$18,B38-B37,)</f>
        <v>28</v>
      </c>
      <c r="Q43" s="113">
        <f t="shared" ref="Q43:Q54" ca="1" si="17">IF($A38&lt;=$I$18,$B38-$B$37,)</f>
        <v>28</v>
      </c>
      <c r="S43" s="92" t="s">
        <v>71</v>
      </c>
      <c r="T43" s="93"/>
      <c r="U43" s="94"/>
      <c r="V43" s="92"/>
      <c r="W43" s="95"/>
      <c r="X43" s="95"/>
      <c r="AA43" s="96">
        <f t="shared" si="12"/>
        <v>5</v>
      </c>
      <c r="AB43" s="97">
        <f t="shared" si="10"/>
        <v>16351.105764838778</v>
      </c>
      <c r="AC43" s="97">
        <f t="shared" ca="1" si="13"/>
        <v>2311.2255555555557</v>
      </c>
      <c r="AE43" s="96">
        <f t="shared" si="14"/>
        <v>5</v>
      </c>
      <c r="AF43" s="97">
        <f>IFERROR(VLOOKUP(AE43,[1]Cálculos_PRICE!$A$32:$K$212,10,0),"")</f>
        <v>16351.105764838778</v>
      </c>
      <c r="AG43" s="97">
        <f ca="1">IFERROR(VLOOKUP(AE43,Cálculos_Aquisição_SAC_Fixa!A41:K314,10,0),"")</f>
        <v>2311.2255555555557</v>
      </c>
      <c r="AH43" s="97">
        <f>IFERROR(VLOOKUP(AE43,[1]Cálculos_PRICE!$A$32:$K$212,6,0),"")</f>
        <v>1171.9686645489546</v>
      </c>
      <c r="AI43" s="97">
        <f>IFERROR(VLOOKUP(AE43,Cálculos_Aquisição_SAC_Fixa!A41:K314,6,0),"")</f>
        <v>694.44444444444446</v>
      </c>
      <c r="AJ43" s="97">
        <f>IFERROR(VLOOKUP(AE43,[1]Cálculos_PRICE!$A$32:$K$240,11,0),"")</f>
        <v>994310.81330740184</v>
      </c>
      <c r="AK43" s="97">
        <f>IFERROR(VLOOKUP(AE43,Cálculos_Aquisição_SAC_Fixa!A41:K314,11,0),"")</f>
        <v>121527.77777777781</v>
      </c>
      <c r="AW43" s="132"/>
    </row>
    <row r="44" spans="1:221" ht="15.5" x14ac:dyDescent="0.35">
      <c r="A44" s="98">
        <f t="shared" si="11"/>
        <v>7</v>
      </c>
      <c r="B44" s="99">
        <f t="shared" ca="1" si="4"/>
        <v>46270</v>
      </c>
      <c r="C44" s="100">
        <f t="shared" si="5"/>
        <v>120833.33333333337</v>
      </c>
      <c r="D44" s="100">
        <f t="shared" si="6"/>
        <v>1558.75</v>
      </c>
      <c r="E44" s="100">
        <f t="shared" si="7"/>
        <v>122392.08333333337</v>
      </c>
      <c r="F44" s="100">
        <f t="shared" si="0"/>
        <v>694.44444444444446</v>
      </c>
      <c r="G44" s="100">
        <f t="shared" si="8"/>
        <v>2253.1944444444443</v>
      </c>
      <c r="H44" s="100">
        <f t="shared" ca="1" si="1"/>
        <v>27.791666666666675</v>
      </c>
      <c r="I44" s="100">
        <f t="shared" si="2"/>
        <v>12.000000000000002</v>
      </c>
      <c r="J44" s="100">
        <f t="shared" ca="1" si="3"/>
        <v>2292.9861111111109</v>
      </c>
      <c r="K44" s="101">
        <f t="shared" si="9"/>
        <v>120138.88888888893</v>
      </c>
      <c r="O44" s="111">
        <f t="shared" ca="1" si="15"/>
        <v>4.59</v>
      </c>
      <c r="P44" s="112">
        <f t="shared" ca="1" si="16"/>
        <v>31</v>
      </c>
      <c r="Q44" s="113">
        <f t="shared" ca="1" si="17"/>
        <v>59</v>
      </c>
      <c r="S44" s="92" t="s">
        <v>72</v>
      </c>
      <c r="T44" s="93"/>
      <c r="U44" s="94"/>
      <c r="V44" s="92"/>
      <c r="W44" s="95"/>
      <c r="X44" s="114"/>
      <c r="AA44" s="96">
        <f t="shared" si="12"/>
        <v>6</v>
      </c>
      <c r="AB44" s="97">
        <f t="shared" si="10"/>
        <v>16350.845119007783</v>
      </c>
      <c r="AC44" s="97">
        <f t="shared" ca="1" si="13"/>
        <v>2302.1058333333331</v>
      </c>
      <c r="AE44" s="96">
        <f t="shared" si="14"/>
        <v>6</v>
      </c>
      <c r="AF44" s="97">
        <f>IFERROR(VLOOKUP(AE44,[1]Cálculos_PRICE!$A$32:$K$212,10,0),"")</f>
        <v>16350.845119007783</v>
      </c>
      <c r="AG44" s="97">
        <f ca="1">IFERROR(VLOOKUP(AE44,Cálculos_Aquisição_SAC_Fixa!A42:K315,10,0),"")</f>
        <v>2302.1058333333331</v>
      </c>
      <c r="AH44" s="97">
        <f>IFERROR(VLOOKUP(AE44,[1]Cálculos_PRICE!$A$32:$K$212,6,0),"")</f>
        <v>1189.5481945171905</v>
      </c>
      <c r="AI44" s="97">
        <f>IFERROR(VLOOKUP(AE44,Cálculos_Aquisição_SAC_Fixa!A42:K315,6,0),"")</f>
        <v>694.44444444444446</v>
      </c>
      <c r="AJ44" s="97">
        <f>IFERROR(VLOOKUP(AE44,[1]Cálculos_PRICE!$A$32:$K$240,11,0),"")</f>
        <v>993121.26511288469</v>
      </c>
      <c r="AK44" s="97">
        <f>IFERROR(VLOOKUP(AE44,Cálculos_Aquisição_SAC_Fixa!A42:K315,11,0),"")</f>
        <v>120833.33333333337</v>
      </c>
      <c r="AW44" s="132"/>
    </row>
    <row r="45" spans="1:221" ht="15.5" x14ac:dyDescent="0.35">
      <c r="A45" s="98">
        <f t="shared" si="11"/>
        <v>8</v>
      </c>
      <c r="B45" s="99">
        <f t="shared" ca="1" si="4"/>
        <v>46300</v>
      </c>
      <c r="C45" s="100">
        <f t="shared" si="5"/>
        <v>120138.88888888893</v>
      </c>
      <c r="D45" s="100">
        <f t="shared" si="6"/>
        <v>1549.8</v>
      </c>
      <c r="E45" s="100">
        <f t="shared" si="7"/>
        <v>121688.68888888894</v>
      </c>
      <c r="F45" s="100">
        <f t="shared" si="0"/>
        <v>694.44444444444446</v>
      </c>
      <c r="G45" s="100">
        <f t="shared" si="8"/>
        <v>2244.2444444444445</v>
      </c>
      <c r="H45" s="100">
        <f t="shared" ca="1" si="1"/>
        <v>27.631944444444457</v>
      </c>
      <c r="I45" s="100">
        <f t="shared" si="2"/>
        <v>12.000000000000002</v>
      </c>
      <c r="J45" s="100">
        <f t="shared" ca="1" si="3"/>
        <v>2283.8763888888889</v>
      </c>
      <c r="K45" s="101">
        <f t="shared" si="9"/>
        <v>119444.4444444445</v>
      </c>
      <c r="O45" s="111">
        <f t="shared" ca="1" si="15"/>
        <v>6.91</v>
      </c>
      <c r="P45" s="112">
        <f t="shared" ca="1" si="16"/>
        <v>30</v>
      </c>
      <c r="Q45" s="113">
        <f t="shared" ca="1" si="17"/>
        <v>89</v>
      </c>
      <c r="S45" s="92" t="s">
        <v>73</v>
      </c>
      <c r="T45" s="93"/>
      <c r="U45" s="94"/>
      <c r="V45" s="92"/>
      <c r="W45" s="95"/>
      <c r="X45" s="114"/>
      <c r="AA45" s="96">
        <f t="shared" si="12"/>
        <v>7</v>
      </c>
      <c r="AB45" s="97">
        <f t="shared" si="10"/>
        <v>16350.580563489322</v>
      </c>
      <c r="AC45" s="97">
        <f t="shared" ca="1" si="13"/>
        <v>2292.9861111111109</v>
      </c>
      <c r="AE45" s="96">
        <f t="shared" si="14"/>
        <v>7</v>
      </c>
      <c r="AF45" s="97">
        <f>IFERROR(VLOOKUP(AE45,[1]Cálculos_PRICE!$A$32:$K$212,10,0),"")</f>
        <v>16350.580563489322</v>
      </c>
      <c r="AG45" s="97">
        <f ca="1">IFERROR(VLOOKUP(AE45,Cálculos_Aquisição_SAC_Fixa!A43:K316,10,0),"")</f>
        <v>2292.9861111111109</v>
      </c>
      <c r="AH45" s="97">
        <f>IFERROR(VLOOKUP(AE45,[1]Cálculos_PRICE!$A$32:$K$212,6,0),"")</f>
        <v>1207.3914174349466</v>
      </c>
      <c r="AI45" s="97">
        <f>IFERROR(VLOOKUP(AE45,Cálculos_Aquisição_SAC_Fixa!A43:K316,6,0),"")</f>
        <v>694.44444444444446</v>
      </c>
      <c r="AJ45" s="97">
        <f>IFERROR(VLOOKUP(AE45,[1]Cálculos_PRICE!$A$32:$K$240,11,0),"")</f>
        <v>991913.87369544979</v>
      </c>
      <c r="AK45" s="97">
        <f>IFERROR(VLOOKUP(AE45,Cálculos_Aquisição_SAC_Fixa!A43:K316,11,0),"")</f>
        <v>120138.88888888893</v>
      </c>
      <c r="AW45" s="132"/>
    </row>
    <row r="46" spans="1:221" ht="15.5" x14ac:dyDescent="0.35">
      <c r="A46" s="98">
        <f t="shared" si="11"/>
        <v>9</v>
      </c>
      <c r="B46" s="99">
        <f t="shared" ca="1" si="4"/>
        <v>46331</v>
      </c>
      <c r="C46" s="100">
        <f t="shared" si="5"/>
        <v>119444.4444444445</v>
      </c>
      <c r="D46" s="100">
        <f t="shared" si="6"/>
        <v>1540.84</v>
      </c>
      <c r="E46" s="100">
        <f t="shared" si="7"/>
        <v>120985.28444444449</v>
      </c>
      <c r="F46" s="100">
        <f t="shared" si="0"/>
        <v>694.44444444444446</v>
      </c>
      <c r="G46" s="100">
        <f t="shared" si="8"/>
        <v>2235.2844444444445</v>
      </c>
      <c r="H46" s="100">
        <f t="shared" ca="1" si="1"/>
        <v>27.472222222222236</v>
      </c>
      <c r="I46" s="100">
        <f t="shared" si="2"/>
        <v>12.000000000000002</v>
      </c>
      <c r="J46" s="100">
        <f t="shared" ca="1" si="3"/>
        <v>2274.7566666666667</v>
      </c>
      <c r="K46" s="101">
        <f t="shared" si="9"/>
        <v>118750.00000000006</v>
      </c>
      <c r="O46" s="111">
        <f t="shared" ca="1" si="15"/>
        <v>9.32</v>
      </c>
      <c r="P46" s="112">
        <f t="shared" ca="1" si="16"/>
        <v>31</v>
      </c>
      <c r="Q46" s="113">
        <f t="shared" ca="1" si="17"/>
        <v>120</v>
      </c>
      <c r="S46" s="92" t="s">
        <v>74</v>
      </c>
      <c r="T46" s="93"/>
      <c r="U46" s="94"/>
      <c r="V46" s="92"/>
      <c r="W46" s="95"/>
      <c r="X46" s="114"/>
      <c r="AA46" s="96">
        <f t="shared" si="12"/>
        <v>8</v>
      </c>
      <c r="AB46" s="97">
        <f t="shared" si="10"/>
        <v>16350.312039638085</v>
      </c>
      <c r="AC46" s="97">
        <f t="shared" ca="1" si="13"/>
        <v>2283.8763888888889</v>
      </c>
      <c r="AE46" s="96">
        <f t="shared" si="14"/>
        <v>8</v>
      </c>
      <c r="AF46" s="97">
        <f>IFERROR(VLOOKUP(AE46,[1]Cálculos_PRICE!$A$32:$K$212,10,0),"")</f>
        <v>16350.312039638085</v>
      </c>
      <c r="AG46" s="97">
        <f ca="1">IFERROR(VLOOKUP(AE46,Cálculos_Aquisição_SAC_Fixa!A44:K317,10,0),"")</f>
        <v>2283.8763888888889</v>
      </c>
      <c r="AH46" s="97">
        <f>IFERROR(VLOOKUP(AE46,[1]Cálculos_PRICE!$A$32:$K$212,6,0),"")</f>
        <v>1225.5022886964707</v>
      </c>
      <c r="AI46" s="97">
        <f>IFERROR(VLOOKUP(AE46,Cálculos_Aquisição_SAC_Fixa!A44:K317,6,0),"")</f>
        <v>694.44444444444446</v>
      </c>
      <c r="AJ46" s="97">
        <f>IFERROR(VLOOKUP(AE46,[1]Cálculos_PRICE!$A$32:$K$240,11,0),"")</f>
        <v>990688.37140675331</v>
      </c>
      <c r="AK46" s="97">
        <f>IFERROR(VLOOKUP(AE46,Cálculos_Aquisição_SAC_Fixa!A44:K317,11,0),"")</f>
        <v>119444.4444444445</v>
      </c>
      <c r="AW46" s="132"/>
    </row>
    <row r="47" spans="1:221" ht="15.5" x14ac:dyDescent="0.35">
      <c r="A47" s="98">
        <f t="shared" si="11"/>
        <v>10</v>
      </c>
      <c r="B47" s="99">
        <f t="shared" ca="1" si="4"/>
        <v>46361</v>
      </c>
      <c r="C47" s="100">
        <f t="shared" si="5"/>
        <v>118750.00000000006</v>
      </c>
      <c r="D47" s="100">
        <f t="shared" si="6"/>
        <v>1531.8799999999999</v>
      </c>
      <c r="E47" s="100">
        <f t="shared" si="7"/>
        <v>120281.88000000006</v>
      </c>
      <c r="F47" s="100">
        <f t="shared" si="0"/>
        <v>694.44444444444446</v>
      </c>
      <c r="G47" s="100">
        <f t="shared" si="8"/>
        <v>2226.3244444444445</v>
      </c>
      <c r="H47" s="100">
        <f t="shared" ca="1" si="1"/>
        <v>27.312500000000014</v>
      </c>
      <c r="I47" s="100">
        <f t="shared" si="2"/>
        <v>12.000000000000002</v>
      </c>
      <c r="J47" s="100">
        <f t="shared" ca="1" si="3"/>
        <v>2265.6369444444445</v>
      </c>
      <c r="K47" s="101">
        <f t="shared" si="9"/>
        <v>118055.55555555562</v>
      </c>
      <c r="O47" s="111">
        <f t="shared" ca="1" si="15"/>
        <v>11.65</v>
      </c>
      <c r="P47" s="112">
        <f t="shared" ca="1" si="16"/>
        <v>30</v>
      </c>
      <c r="Q47" s="113">
        <f t="shared" ca="1" si="17"/>
        <v>150</v>
      </c>
      <c r="S47" s="115" t="s">
        <v>51</v>
      </c>
      <c r="T47" s="116"/>
      <c r="U47" s="83" t="s">
        <v>53</v>
      </c>
      <c r="V47" s="82" t="s">
        <v>44</v>
      </c>
      <c r="AA47" s="96">
        <f t="shared" si="12"/>
        <v>9</v>
      </c>
      <c r="AB47" s="97">
        <f t="shared" si="10"/>
        <v>16350.039487929078</v>
      </c>
      <c r="AC47" s="97">
        <f t="shared" ca="1" si="13"/>
        <v>2274.7566666666667</v>
      </c>
      <c r="AE47" s="96">
        <f t="shared" si="14"/>
        <v>9</v>
      </c>
      <c r="AF47" s="97">
        <f>IFERROR(VLOOKUP(AE47,[1]Cálculos_PRICE!$A$32:$K$212,10,0),"")</f>
        <v>16350.039487929078</v>
      </c>
      <c r="AG47" s="97">
        <f ca="1">IFERROR(VLOOKUP(AE47,Cálculos_Aquisição_SAC_Fixa!A45:K318,10,0),"")</f>
        <v>2274.7566666666667</v>
      </c>
      <c r="AH47" s="97">
        <f>IFERROR(VLOOKUP(AE47,[1]Cálculos_PRICE!$A$32:$K$212,6,0),"")</f>
        <v>1243.8848230269177</v>
      </c>
      <c r="AI47" s="97">
        <f>IFERROR(VLOOKUP(AE47,Cálculos_Aquisição_SAC_Fixa!A45:K318,6,0),"")</f>
        <v>694.44444444444446</v>
      </c>
      <c r="AJ47" s="97">
        <f>IFERROR(VLOOKUP(AE47,[1]Cálculos_PRICE!$A$32:$K$240,11,0),"")</f>
        <v>989444.48658372636</v>
      </c>
      <c r="AK47" s="97">
        <f>IFERROR(VLOOKUP(AE47,Cálculos_Aquisição_SAC_Fixa!A45:K318,11,0),"")</f>
        <v>118750.00000000006</v>
      </c>
      <c r="AW47" s="132"/>
    </row>
    <row r="48" spans="1:221" ht="15.5" x14ac:dyDescent="0.35">
      <c r="A48" s="98">
        <f t="shared" si="11"/>
        <v>11</v>
      </c>
      <c r="B48" s="99">
        <f t="shared" ca="1" si="4"/>
        <v>46392</v>
      </c>
      <c r="C48" s="100">
        <f t="shared" si="5"/>
        <v>118055.55555555562</v>
      </c>
      <c r="D48" s="100">
        <f t="shared" si="6"/>
        <v>1522.92</v>
      </c>
      <c r="E48" s="100">
        <f t="shared" si="7"/>
        <v>119578.47555555562</v>
      </c>
      <c r="F48" s="100">
        <f t="shared" si="0"/>
        <v>694.44444444444446</v>
      </c>
      <c r="G48" s="100">
        <f t="shared" si="8"/>
        <v>2217.3644444444444</v>
      </c>
      <c r="H48" s="100">
        <f t="shared" ca="1" si="1"/>
        <v>27.152777777777793</v>
      </c>
      <c r="I48" s="100">
        <f t="shared" si="2"/>
        <v>12.000000000000002</v>
      </c>
      <c r="J48" s="100">
        <f t="shared" ca="1" si="3"/>
        <v>2256.5172222222222</v>
      </c>
      <c r="K48" s="101">
        <f t="shared" si="9"/>
        <v>117361.11111111118</v>
      </c>
      <c r="O48" s="111">
        <f t="shared" ca="1" si="15"/>
        <v>14.06</v>
      </c>
      <c r="P48" s="112">
        <f t="shared" ca="1" si="16"/>
        <v>31</v>
      </c>
      <c r="Q48" s="113">
        <f t="shared" ca="1" si="17"/>
        <v>181</v>
      </c>
      <c r="S48" s="114">
        <v>18</v>
      </c>
      <c r="T48" s="114">
        <v>25</v>
      </c>
      <c r="U48" s="117">
        <v>2.3000000000000001E-4</v>
      </c>
      <c r="V48" s="114" t="s">
        <v>75</v>
      </c>
      <c r="AA48" s="96">
        <f t="shared" si="12"/>
        <v>10</v>
      </c>
      <c r="AB48" s="97">
        <f t="shared" si="10"/>
        <v>16349.762847944437</v>
      </c>
      <c r="AC48" s="97">
        <f t="shared" ca="1" si="13"/>
        <v>2265.6369444444445</v>
      </c>
      <c r="AE48" s="96">
        <f t="shared" si="14"/>
        <v>10</v>
      </c>
      <c r="AF48" s="97">
        <f>IFERROR(VLOOKUP(AE48,[1]Cálculos_PRICE!$A$32:$K$212,10,0),"")</f>
        <v>16349.762847944437</v>
      </c>
      <c r="AG48" s="97">
        <f ca="1">IFERROR(VLOOKUP(AE48,Cálculos_Aquisição_SAC_Fixa!A46:K319,10,0),"")</f>
        <v>2265.6369444444445</v>
      </c>
      <c r="AH48" s="97">
        <f>IFERROR(VLOOKUP(AE48,[1]Cálculos_PRICE!$A$32:$K$212,6,0),"")</f>
        <v>1262.5430953723226</v>
      </c>
      <c r="AI48" s="97">
        <f>IFERROR(VLOOKUP(AE48,Cálculos_Aquisição_SAC_Fixa!A46:K319,6,0),"")</f>
        <v>694.44444444444446</v>
      </c>
      <c r="AJ48" s="97">
        <f>IFERROR(VLOOKUP(AE48,[1]Cálculos_PRICE!$A$32:$K$240,11,0),"")</f>
        <v>988181.9434883541</v>
      </c>
      <c r="AK48" s="97">
        <f>IFERROR(VLOOKUP(AE48,Cálculos_Aquisição_SAC_Fixa!A46:K319,11,0),"")</f>
        <v>118055.55555555562</v>
      </c>
      <c r="AW48" s="132"/>
    </row>
    <row r="49" spans="1:49" ht="15.5" x14ac:dyDescent="0.35">
      <c r="A49" s="98">
        <f t="shared" si="11"/>
        <v>12</v>
      </c>
      <c r="B49" s="99">
        <f t="shared" ca="1" si="4"/>
        <v>46423</v>
      </c>
      <c r="C49" s="100">
        <f t="shared" si="5"/>
        <v>117361.11111111118</v>
      </c>
      <c r="D49" s="100">
        <f t="shared" si="6"/>
        <v>1513.96</v>
      </c>
      <c r="E49" s="100">
        <f t="shared" si="7"/>
        <v>118875.07111111119</v>
      </c>
      <c r="F49" s="100">
        <f t="shared" si="0"/>
        <v>694.44444444444446</v>
      </c>
      <c r="G49" s="100">
        <f t="shared" si="8"/>
        <v>2208.4044444444444</v>
      </c>
      <c r="H49" s="100">
        <f t="shared" ca="1" si="1"/>
        <v>26.993055555555571</v>
      </c>
      <c r="I49" s="100">
        <f t="shared" si="2"/>
        <v>12.000000000000002</v>
      </c>
      <c r="J49" s="100">
        <f t="shared" ca="1" si="3"/>
        <v>2247.3975</v>
      </c>
      <c r="K49" s="101">
        <f t="shared" si="9"/>
        <v>116666.66666666674</v>
      </c>
      <c r="O49" s="111">
        <f t="shared" ca="1" si="15"/>
        <v>16.46</v>
      </c>
      <c r="P49" s="112">
        <f t="shared" ca="1" si="16"/>
        <v>31</v>
      </c>
      <c r="Q49" s="113">
        <f t="shared" ca="1" si="17"/>
        <v>212</v>
      </c>
      <c r="S49" s="114">
        <v>26</v>
      </c>
      <c r="T49" s="114">
        <v>30</v>
      </c>
      <c r="U49" s="117">
        <v>2.3000000000000001E-4</v>
      </c>
      <c r="V49" s="114" t="s">
        <v>76</v>
      </c>
      <c r="AA49" s="96">
        <f t="shared" si="12"/>
        <v>11</v>
      </c>
      <c r="AB49" s="97">
        <f t="shared" si="10"/>
        <v>16349.482058360027</v>
      </c>
      <c r="AC49" s="97">
        <f t="shared" ca="1" si="13"/>
        <v>2256.5172222222222</v>
      </c>
      <c r="AE49" s="96">
        <f t="shared" si="14"/>
        <v>11</v>
      </c>
      <c r="AF49" s="97">
        <f>IFERROR(VLOOKUP(AE49,[1]Cálculos_PRICE!$A$32:$K$212,10,0),"")</f>
        <v>16349.482058360027</v>
      </c>
      <c r="AG49" s="97">
        <f ca="1">IFERROR(VLOOKUP(AE49,Cálculos_Aquisição_SAC_Fixa!A47:K320,10,0),"")</f>
        <v>2256.5172222222222</v>
      </c>
      <c r="AH49" s="97">
        <f>IFERROR(VLOOKUP(AE49,[1]Cálculos_PRICE!$A$32:$K$212,6,0),"")</f>
        <v>1281.4812418029051</v>
      </c>
      <c r="AI49" s="97">
        <f>IFERROR(VLOOKUP(AE49,Cálculos_Aquisição_SAC_Fixa!A47:K320,6,0),"")</f>
        <v>694.44444444444446</v>
      </c>
      <c r="AJ49" s="97">
        <f>IFERROR(VLOOKUP(AE49,[1]Cálculos_PRICE!$A$32:$K$240,11,0),"")</f>
        <v>986900.46224655118</v>
      </c>
      <c r="AK49" s="97">
        <f>IFERROR(VLOOKUP(AE49,Cálculos_Aquisição_SAC_Fixa!A47:K320,11,0),"")</f>
        <v>117361.11111111118</v>
      </c>
      <c r="AW49" s="132"/>
    </row>
    <row r="50" spans="1:49" ht="15.5" x14ac:dyDescent="0.35">
      <c r="A50" s="98">
        <f t="shared" si="11"/>
        <v>13</v>
      </c>
      <c r="B50" s="99">
        <f t="shared" ca="1" si="4"/>
        <v>46451</v>
      </c>
      <c r="C50" s="100">
        <f t="shared" si="5"/>
        <v>116666.66666666674</v>
      </c>
      <c r="D50" s="100">
        <f t="shared" si="6"/>
        <v>1505</v>
      </c>
      <c r="E50" s="100">
        <f t="shared" si="7"/>
        <v>118171.66666666674</v>
      </c>
      <c r="F50" s="100">
        <f t="shared" si="0"/>
        <v>694.44444444444446</v>
      </c>
      <c r="G50" s="100">
        <f t="shared" si="8"/>
        <v>2199.4444444444443</v>
      </c>
      <c r="H50" s="100">
        <f t="shared" ca="1" si="1"/>
        <v>26.833333333333353</v>
      </c>
      <c r="I50" s="100">
        <f t="shared" si="2"/>
        <v>12.000000000000002</v>
      </c>
      <c r="J50" s="100">
        <f t="shared" ca="1" si="3"/>
        <v>2238.2777777777778</v>
      </c>
      <c r="K50" s="101">
        <f t="shared" si="9"/>
        <v>115972.22222222231</v>
      </c>
      <c r="O50" s="111">
        <f t="shared" ca="1" si="15"/>
        <v>18.790000000000003</v>
      </c>
      <c r="P50" s="112">
        <f t="shared" ca="1" si="16"/>
        <v>30</v>
      </c>
      <c r="Q50" s="113">
        <f t="shared" ca="1" si="17"/>
        <v>242</v>
      </c>
      <c r="S50" s="114">
        <v>31</v>
      </c>
      <c r="T50" s="114">
        <v>35</v>
      </c>
      <c r="U50" s="117">
        <v>2.3000000000000001E-4</v>
      </c>
      <c r="V50" s="114" t="s">
        <v>77</v>
      </c>
      <c r="AA50" s="96">
        <f t="shared" si="12"/>
        <v>12</v>
      </c>
      <c r="AB50" s="97">
        <f t="shared" si="10"/>
        <v>16349.197056931849</v>
      </c>
      <c r="AC50" s="97">
        <f t="shared" ca="1" si="13"/>
        <v>2247.3975</v>
      </c>
      <c r="AE50" s="96">
        <f t="shared" si="14"/>
        <v>12</v>
      </c>
      <c r="AF50" s="97">
        <f>IFERROR(VLOOKUP(AE50,[1]Cálculos_PRICE!$A$32:$K$212,10,0),"")</f>
        <v>16349.197056931849</v>
      </c>
      <c r="AG50" s="97">
        <f ca="1">IFERROR(VLOOKUP(AE50,Cálculos_Aquisição_SAC_Fixa!A48:K321,10,0),"")</f>
        <v>2247.3975</v>
      </c>
      <c r="AH50" s="97">
        <f>IFERROR(VLOOKUP(AE50,[1]Cálculos_PRICE!$A$32:$K$212,6,0),"")</f>
        <v>1300.7034604299497</v>
      </c>
      <c r="AI50" s="97">
        <f>IFERROR(VLOOKUP(AE50,Cálculos_Aquisição_SAC_Fixa!A48:K321,6,0),"")</f>
        <v>694.44444444444446</v>
      </c>
      <c r="AJ50" s="97">
        <f>IFERROR(VLOOKUP(AE50,[1]Cálculos_PRICE!$A$32:$K$240,11,0),"")</f>
        <v>985599.75878612127</v>
      </c>
      <c r="AK50" s="97">
        <f>IFERROR(VLOOKUP(AE50,Cálculos_Aquisição_SAC_Fixa!A48:K321,11,0),"")</f>
        <v>116666.66666666674</v>
      </c>
      <c r="AW50" s="132"/>
    </row>
    <row r="51" spans="1:49" ht="15.5" x14ac:dyDescent="0.35">
      <c r="A51" s="98">
        <f t="shared" si="11"/>
        <v>14</v>
      </c>
      <c r="B51" s="99">
        <f t="shared" ca="1" si="4"/>
        <v>46482</v>
      </c>
      <c r="C51" s="100">
        <f t="shared" si="5"/>
        <v>115972.22222222231</v>
      </c>
      <c r="D51" s="100">
        <f t="shared" si="6"/>
        <v>1496.05</v>
      </c>
      <c r="E51" s="100">
        <f t="shared" si="7"/>
        <v>117468.27222222231</v>
      </c>
      <c r="F51" s="100">
        <f t="shared" si="0"/>
        <v>694.44444444444446</v>
      </c>
      <c r="G51" s="100">
        <f t="shared" si="8"/>
        <v>2190.4944444444445</v>
      </c>
      <c r="H51" s="100">
        <f t="shared" ca="1" si="1"/>
        <v>26.673611111111132</v>
      </c>
      <c r="I51" s="100">
        <f t="shared" si="2"/>
        <v>12.000000000000002</v>
      </c>
      <c r="J51" s="100">
        <f t="shared" ca="1" si="3"/>
        <v>2229.1680555555558</v>
      </c>
      <c r="K51" s="101">
        <f t="shared" si="9"/>
        <v>115277.77777777787</v>
      </c>
      <c r="O51" s="111">
        <f t="shared" ca="1" si="15"/>
        <v>21.200000000000003</v>
      </c>
      <c r="P51" s="112">
        <f t="shared" ca="1" si="16"/>
        <v>31</v>
      </c>
      <c r="Q51" s="113">
        <f t="shared" ca="1" si="17"/>
        <v>273</v>
      </c>
      <c r="S51" s="114">
        <v>36</v>
      </c>
      <c r="T51" s="114">
        <v>40</v>
      </c>
      <c r="U51" s="117">
        <v>2.3000000000000001E-4</v>
      </c>
      <c r="V51" s="114" t="s">
        <v>78</v>
      </c>
      <c r="AA51" s="96">
        <f t="shared" si="12"/>
        <v>13</v>
      </c>
      <c r="AB51" s="97">
        <f t="shared" si="10"/>
        <v>16348.90778048225</v>
      </c>
      <c r="AC51" s="97">
        <f t="shared" ca="1" si="13"/>
        <v>2238.2777777777778</v>
      </c>
      <c r="AE51" s="96">
        <f t="shared" si="14"/>
        <v>13</v>
      </c>
      <c r="AF51" s="97">
        <f>IFERROR(VLOOKUP(AE51,[1]Cálculos_PRICE!$A$32:$K$212,10,0),"")</f>
        <v>16348.90778048225</v>
      </c>
      <c r="AG51" s="97">
        <f ca="1">IFERROR(VLOOKUP(AE51,Cálculos_Aquisição_SAC_Fixa!A49:K322,10,0),"")</f>
        <v>2238.2777777777778</v>
      </c>
      <c r="AH51" s="97">
        <f>IFERROR(VLOOKUP(AE51,[1]Cálculos_PRICE!$A$32:$K$212,6,0),"")</f>
        <v>1320.2140123363988</v>
      </c>
      <c r="AI51" s="97">
        <f>IFERROR(VLOOKUP(AE51,Cálculos_Aquisição_SAC_Fixa!A49:K322,6,0),"")</f>
        <v>694.44444444444446</v>
      </c>
      <c r="AJ51" s="97">
        <f>IFERROR(VLOOKUP(AE51,[1]Cálculos_PRICE!$A$32:$K$240,11,0),"")</f>
        <v>984279.54477378482</v>
      </c>
      <c r="AK51" s="97">
        <f>IFERROR(VLOOKUP(AE51,Cálculos_Aquisição_SAC_Fixa!A49:K322,11,0),"")</f>
        <v>115972.22222222231</v>
      </c>
      <c r="AW51" s="132"/>
    </row>
    <row r="52" spans="1:49" ht="15.5" x14ac:dyDescent="0.35">
      <c r="A52" s="98">
        <f t="shared" si="11"/>
        <v>15</v>
      </c>
      <c r="B52" s="99">
        <f t="shared" ca="1" si="4"/>
        <v>46512</v>
      </c>
      <c r="C52" s="100">
        <f t="shared" si="5"/>
        <v>115277.77777777787</v>
      </c>
      <c r="D52" s="100">
        <f t="shared" si="6"/>
        <v>1487.09</v>
      </c>
      <c r="E52" s="100">
        <f t="shared" si="7"/>
        <v>116764.86777777786</v>
      </c>
      <c r="F52" s="100">
        <f t="shared" si="0"/>
        <v>694.44444444444446</v>
      </c>
      <c r="G52" s="100">
        <f t="shared" si="8"/>
        <v>2181.5344444444445</v>
      </c>
      <c r="H52" s="100">
        <f t="shared" ca="1" si="1"/>
        <v>26.513888888888911</v>
      </c>
      <c r="I52" s="100">
        <f t="shared" si="2"/>
        <v>12.000000000000002</v>
      </c>
      <c r="J52" s="100">
        <f t="shared" ca="1" si="3"/>
        <v>2220.0483333333332</v>
      </c>
      <c r="K52" s="101">
        <f t="shared" si="9"/>
        <v>114583.33333333343</v>
      </c>
      <c r="O52" s="111">
        <f t="shared" ca="1" si="15"/>
        <v>23.53</v>
      </c>
      <c r="P52" s="112">
        <f t="shared" ca="1" si="16"/>
        <v>30</v>
      </c>
      <c r="Q52" s="113">
        <f t="shared" ca="1" si="17"/>
        <v>303</v>
      </c>
      <c r="S52" s="114">
        <v>41</v>
      </c>
      <c r="T52" s="114">
        <v>50</v>
      </c>
      <c r="U52" s="117">
        <v>2.3000000000000001E-4</v>
      </c>
      <c r="V52" s="114" t="s">
        <v>79</v>
      </c>
      <c r="AA52" s="96">
        <f t="shared" si="12"/>
        <v>14</v>
      </c>
      <c r="AB52" s="97">
        <f t="shared" si="10"/>
        <v>16348.614164885907</v>
      </c>
      <c r="AC52" s="97">
        <f t="shared" ca="1" si="13"/>
        <v>2229.1680555555558</v>
      </c>
      <c r="AE52" s="96">
        <f t="shared" si="14"/>
        <v>14</v>
      </c>
      <c r="AF52" s="97">
        <f>IFERROR(VLOOKUP(AE52,[1]Cálculos_PRICE!$A$32:$K$212,10,0),"")</f>
        <v>16348.614164885907</v>
      </c>
      <c r="AG52" s="97">
        <f ca="1">IFERROR(VLOOKUP(AE52,Cálculos_Aquisição_SAC_Fixa!A50:K323,10,0),"")</f>
        <v>2229.1680555555558</v>
      </c>
      <c r="AH52" s="97">
        <f>IFERROR(VLOOKUP(AE52,[1]Cálculos_PRICE!$A$32:$K$212,6,0),"")</f>
        <v>1340.0172225214446</v>
      </c>
      <c r="AI52" s="97">
        <f>IFERROR(VLOOKUP(AE52,Cálculos_Aquisição_SAC_Fixa!A50:K323,6,0),"")</f>
        <v>694.44444444444446</v>
      </c>
      <c r="AJ52" s="97">
        <f>IFERROR(VLOOKUP(AE52,[1]Cálculos_PRICE!$A$32:$K$240,11,0),"")</f>
        <v>982939.52755126334</v>
      </c>
      <c r="AK52" s="97">
        <f>IFERROR(VLOOKUP(AE52,Cálculos_Aquisição_SAC_Fixa!A50:K323,11,0),"")</f>
        <v>115277.77777777787</v>
      </c>
      <c r="AW52" s="132"/>
    </row>
    <row r="53" spans="1:49" ht="15.5" x14ac:dyDescent="0.35">
      <c r="A53" s="98">
        <f t="shared" si="11"/>
        <v>16</v>
      </c>
      <c r="B53" s="99">
        <f t="shared" ca="1" si="4"/>
        <v>46543</v>
      </c>
      <c r="C53" s="100">
        <f t="shared" si="5"/>
        <v>114583.33333333343</v>
      </c>
      <c r="D53" s="100">
        <f t="shared" si="6"/>
        <v>1478.1299999999999</v>
      </c>
      <c r="E53" s="100">
        <f t="shared" si="7"/>
        <v>116061.46333333344</v>
      </c>
      <c r="F53" s="100">
        <f t="shared" si="0"/>
        <v>694.44444444444446</v>
      </c>
      <c r="G53" s="100">
        <f t="shared" si="8"/>
        <v>2172.5744444444445</v>
      </c>
      <c r="H53" s="100">
        <f t="shared" ca="1" si="1"/>
        <v>26.354166666666689</v>
      </c>
      <c r="I53" s="100">
        <f t="shared" si="2"/>
        <v>12.000000000000002</v>
      </c>
      <c r="J53" s="100">
        <f t="shared" ca="1" si="3"/>
        <v>2210.928611111111</v>
      </c>
      <c r="K53" s="101">
        <f t="shared" si="9"/>
        <v>113888.88888888899</v>
      </c>
      <c r="O53" s="111">
        <f t="shared" ca="1" si="15"/>
        <v>25.94</v>
      </c>
      <c r="P53" s="112">
        <f t="shared" ca="1" si="16"/>
        <v>31</v>
      </c>
      <c r="Q53" s="113">
        <f t="shared" ca="1" si="17"/>
        <v>334</v>
      </c>
      <c r="S53" s="114">
        <v>51</v>
      </c>
      <c r="T53" s="114">
        <v>60</v>
      </c>
      <c r="U53" s="117">
        <v>2.3000000000000001E-4</v>
      </c>
      <c r="V53" s="114" t="s">
        <v>80</v>
      </c>
      <c r="AA53" s="96">
        <f t="shared" si="12"/>
        <v>15</v>
      </c>
      <c r="AB53" s="97">
        <f t="shared" si="10"/>
        <v>16348.316145055618</v>
      </c>
      <c r="AC53" s="97">
        <f t="shared" ca="1" si="13"/>
        <v>2220.0483333333332</v>
      </c>
      <c r="AE53" s="96">
        <f t="shared" si="14"/>
        <v>15</v>
      </c>
      <c r="AF53" s="97">
        <f>IFERROR(VLOOKUP(AE53,[1]Cálculos_PRICE!$A$32:$K$212,10,0),"")</f>
        <v>16348.316145055618</v>
      </c>
      <c r="AG53" s="97">
        <f ca="1">IFERROR(VLOOKUP(AE53,Cálculos_Aquisição_SAC_Fixa!A51:K324,10,0),"")</f>
        <v>2220.0483333333332</v>
      </c>
      <c r="AH53" s="97">
        <f>IFERROR(VLOOKUP(AE53,[1]Cálculos_PRICE!$A$32:$K$212,6,0),"")</f>
        <v>1360.1174808592677</v>
      </c>
      <c r="AI53" s="97">
        <f>IFERROR(VLOOKUP(AE53,Cálculos_Aquisição_SAC_Fixa!A51:K324,6,0),"")</f>
        <v>694.44444444444446</v>
      </c>
      <c r="AJ53" s="97">
        <f>IFERROR(VLOOKUP(AE53,[1]Cálculos_PRICE!$A$32:$K$240,11,0),"")</f>
        <v>981579.41007040406</v>
      </c>
      <c r="AK53" s="97">
        <f>IFERROR(VLOOKUP(AE53,Cálculos_Aquisição_SAC_Fixa!A51:K324,11,0),"")</f>
        <v>114583.33333333343</v>
      </c>
      <c r="AW53" s="132"/>
    </row>
    <row r="54" spans="1:49" ht="15.5" x14ac:dyDescent="0.35">
      <c r="A54" s="98">
        <f t="shared" si="11"/>
        <v>17</v>
      </c>
      <c r="B54" s="99">
        <f t="shared" ca="1" si="4"/>
        <v>46573</v>
      </c>
      <c r="C54" s="100">
        <f t="shared" si="5"/>
        <v>113888.88888888899</v>
      </c>
      <c r="D54" s="100">
        <f t="shared" si="6"/>
        <v>1469.17</v>
      </c>
      <c r="E54" s="100">
        <f t="shared" si="7"/>
        <v>115358.05888888899</v>
      </c>
      <c r="F54" s="100">
        <f t="shared" si="0"/>
        <v>694.44444444444446</v>
      </c>
      <c r="G54" s="100">
        <f t="shared" si="8"/>
        <v>2163.6144444444444</v>
      </c>
      <c r="H54" s="100">
        <f t="shared" ca="1" si="1"/>
        <v>26.194444444444468</v>
      </c>
      <c r="I54" s="100">
        <f t="shared" si="2"/>
        <v>12.000000000000002</v>
      </c>
      <c r="J54" s="100">
        <f t="shared" ca="1" si="3"/>
        <v>2201.8088888888888</v>
      </c>
      <c r="K54" s="101">
        <f t="shared" si="9"/>
        <v>113194.44444444455</v>
      </c>
      <c r="O54" s="111">
        <f t="shared" ca="1" si="15"/>
        <v>28.34</v>
      </c>
      <c r="P54" s="112">
        <f t="shared" ca="1" si="16"/>
        <v>31</v>
      </c>
      <c r="Q54" s="113">
        <f t="shared" ca="1" si="17"/>
        <v>365</v>
      </c>
      <c r="S54" s="114">
        <v>61</v>
      </c>
      <c r="T54" s="114">
        <v>70</v>
      </c>
      <c r="U54" s="117">
        <v>2.3000000000000001E-4</v>
      </c>
      <c r="V54" s="114" t="s">
        <v>81</v>
      </c>
      <c r="AA54" s="96">
        <f t="shared" si="12"/>
        <v>16</v>
      </c>
      <c r="AB54" s="97">
        <f t="shared" si="10"/>
        <v>16348.013654927874</v>
      </c>
      <c r="AC54" s="97">
        <f t="shared" ca="1" si="13"/>
        <v>2210.928611111111</v>
      </c>
      <c r="AE54" s="96">
        <f t="shared" si="14"/>
        <v>16</v>
      </c>
      <c r="AF54" s="97">
        <f>IFERROR(VLOOKUP(AE54,[1]Cálculos_PRICE!$A$32:$K$212,10,0),"")</f>
        <v>16348.013654927874</v>
      </c>
      <c r="AG54" s="97">
        <f ca="1">IFERROR(VLOOKUP(AE54,Cálculos_Aquisição_SAC_Fixa!A52:K325,10,0),"")</f>
        <v>2210.928611111111</v>
      </c>
      <c r="AH54" s="97">
        <f>IFERROR(VLOOKUP(AE54,[1]Cálculos_PRICE!$A$32:$K$212,6,0),"")</f>
        <v>1380.5192430721563</v>
      </c>
      <c r="AI54" s="97">
        <f>IFERROR(VLOOKUP(AE54,Cálculos_Aquisição_SAC_Fixa!A52:K325,6,0),"")</f>
        <v>694.44444444444446</v>
      </c>
      <c r="AJ54" s="97">
        <f>IFERROR(VLOOKUP(AE54,[1]Cálculos_PRICE!$A$32:$K$240,11,0),"")</f>
        <v>980198.89082733192</v>
      </c>
      <c r="AK54" s="97">
        <f>IFERROR(VLOOKUP(AE54,Cálculos_Aquisição_SAC_Fixa!A52:K325,11,0),"")</f>
        <v>113888.88888888899</v>
      </c>
      <c r="AW54" s="132"/>
    </row>
    <row r="55" spans="1:49" ht="15.5" x14ac:dyDescent="0.35">
      <c r="A55" s="98">
        <f t="shared" si="11"/>
        <v>18</v>
      </c>
      <c r="B55" s="99">
        <f t="shared" ca="1" si="4"/>
        <v>46604</v>
      </c>
      <c r="C55" s="100">
        <f t="shared" si="5"/>
        <v>113194.44444444455</v>
      </c>
      <c r="D55" s="100">
        <f t="shared" si="6"/>
        <v>1460.21</v>
      </c>
      <c r="E55" s="100">
        <f t="shared" si="7"/>
        <v>114654.65444444456</v>
      </c>
      <c r="F55" s="100">
        <f t="shared" si="0"/>
        <v>694.44444444444446</v>
      </c>
      <c r="G55" s="100">
        <f t="shared" si="8"/>
        <v>2154.6544444444444</v>
      </c>
      <c r="H55" s="100">
        <f t="shared" ca="1" si="1"/>
        <v>26.03472222222225</v>
      </c>
      <c r="I55" s="100">
        <f t="shared" si="2"/>
        <v>12.000000000000002</v>
      </c>
      <c r="J55" s="100">
        <f t="shared" ca="1" si="3"/>
        <v>2192.6891666666666</v>
      </c>
      <c r="K55" s="101">
        <f t="shared" si="9"/>
        <v>112500.00000000012</v>
      </c>
      <c r="O55" s="118">
        <f t="shared" ref="O55:O118" si="18">IFERROR(F50*$O$39,0)</f>
        <v>20.833333333333332</v>
      </c>
      <c r="P55" s="119">
        <f t="shared" ca="1" si="16"/>
        <v>28</v>
      </c>
      <c r="Q55" s="120">
        <v>365</v>
      </c>
      <c r="S55" s="114">
        <v>71</v>
      </c>
      <c r="T55" s="114">
        <v>75</v>
      </c>
      <c r="U55" s="117">
        <v>2.3000000000000001E-4</v>
      </c>
      <c r="V55" s="114" t="s">
        <v>82</v>
      </c>
      <c r="AA55" s="96">
        <f t="shared" si="12"/>
        <v>17</v>
      </c>
      <c r="AB55" s="97">
        <f t="shared" si="10"/>
        <v>16347.706627448215</v>
      </c>
      <c r="AC55" s="97">
        <f t="shared" ca="1" si="13"/>
        <v>2201.8088888888888</v>
      </c>
      <c r="AE55" s="96">
        <f t="shared" si="14"/>
        <v>17</v>
      </c>
      <c r="AF55" s="97">
        <f>IFERROR(VLOOKUP(AE55,[1]Cálculos_PRICE!$A$32:$K$212,10,0),"")</f>
        <v>16347.706627448215</v>
      </c>
      <c r="AG55" s="97">
        <f ca="1">IFERROR(VLOOKUP(AE55,Cálculos_Aquisição_SAC_Fixa!A53:K326,10,0),"")</f>
        <v>2201.8088888888888</v>
      </c>
      <c r="AH55" s="97">
        <f>IFERROR(VLOOKUP(AE55,[1]Cálculos_PRICE!$A$32:$K$212,6,0),"")</f>
        <v>1401.2270317182374</v>
      </c>
      <c r="AI55" s="97">
        <f>IFERROR(VLOOKUP(AE55,Cálculos_Aquisição_SAC_Fixa!A53:K326,6,0),"")</f>
        <v>694.44444444444446</v>
      </c>
      <c r="AJ55" s="97">
        <f>IFERROR(VLOOKUP(AE55,[1]Cálculos_PRICE!$A$32:$K$240,11,0),"")</f>
        <v>978797.66379561368</v>
      </c>
      <c r="AK55" s="97">
        <f>IFERROR(VLOOKUP(AE55,Cálculos_Aquisição_SAC_Fixa!A53:K326,11,0),"")</f>
        <v>113194.44444444455</v>
      </c>
      <c r="AW55" s="132"/>
    </row>
    <row r="56" spans="1:49" ht="15.5" x14ac:dyDescent="0.35">
      <c r="A56" s="98">
        <f t="shared" si="11"/>
        <v>19</v>
      </c>
      <c r="B56" s="99">
        <f t="shared" ca="1" si="4"/>
        <v>46635</v>
      </c>
      <c r="C56" s="100">
        <f t="shared" si="5"/>
        <v>112500.00000000012</v>
      </c>
      <c r="D56" s="100">
        <f t="shared" si="6"/>
        <v>1451.25</v>
      </c>
      <c r="E56" s="100">
        <f t="shared" si="7"/>
        <v>113951.25000000012</v>
      </c>
      <c r="F56" s="100">
        <f t="shared" si="0"/>
        <v>694.44444444444446</v>
      </c>
      <c r="G56" s="100">
        <f t="shared" si="8"/>
        <v>2145.6944444444443</v>
      </c>
      <c r="H56" s="100">
        <f t="shared" ca="1" si="1"/>
        <v>25.875000000000028</v>
      </c>
      <c r="I56" s="100">
        <f t="shared" si="2"/>
        <v>12.000000000000002</v>
      </c>
      <c r="J56" s="100">
        <f t="shared" ca="1" si="3"/>
        <v>2183.5694444444443</v>
      </c>
      <c r="K56" s="101">
        <f t="shared" si="9"/>
        <v>111805.55555555568</v>
      </c>
      <c r="O56" s="118">
        <f t="shared" si="18"/>
        <v>20.833333333333332</v>
      </c>
      <c r="P56" s="119">
        <f t="shared" ca="1" si="16"/>
        <v>31</v>
      </c>
      <c r="Q56" s="120">
        <v>365</v>
      </c>
      <c r="S56" s="114">
        <v>76</v>
      </c>
      <c r="T56" s="114">
        <v>80.400000000000006</v>
      </c>
      <c r="U56" s="117">
        <v>2.3000000000000001E-4</v>
      </c>
      <c r="V56" s="114" t="s">
        <v>83</v>
      </c>
      <c r="AA56" s="96">
        <f t="shared" si="12"/>
        <v>18</v>
      </c>
      <c r="AB56" s="97">
        <f t="shared" si="10"/>
        <v>16347.394994556362</v>
      </c>
      <c r="AC56" s="97">
        <f t="shared" ca="1" si="13"/>
        <v>2192.6891666666666</v>
      </c>
      <c r="AE56" s="96">
        <f t="shared" si="14"/>
        <v>18</v>
      </c>
      <c r="AF56" s="97">
        <f>IFERROR(VLOOKUP(AE56,[1]Cálculos_PRICE!$A$32:$K$212,10,0),"")</f>
        <v>16347.394994556362</v>
      </c>
      <c r="AG56" s="97">
        <f ca="1">IFERROR(VLOOKUP(AE56,Cálculos_Aquisição_SAC_Fixa!A54:K327,10,0),"")</f>
        <v>2192.6891666666666</v>
      </c>
      <c r="AH56" s="97">
        <f>IFERROR(VLOOKUP(AE56,[1]Cálculos_PRICE!$A$32:$K$212,6,0),"")</f>
        <v>1422.2454371940112</v>
      </c>
      <c r="AI56" s="97">
        <f>IFERROR(VLOOKUP(AE56,Cálculos_Aquisição_SAC_Fixa!A54:K327,6,0),"")</f>
        <v>694.44444444444446</v>
      </c>
      <c r="AJ56" s="97">
        <f>IFERROR(VLOOKUP(AE56,[1]Cálculos_PRICE!$A$32:$K$240,11,0),"")</f>
        <v>977375.41835841967</v>
      </c>
      <c r="AK56" s="97">
        <f>IFERROR(VLOOKUP(AE56,Cálculos_Aquisição_SAC_Fixa!A54:K327,11,0),"")</f>
        <v>112500.00000000012</v>
      </c>
      <c r="AW56" s="132"/>
    </row>
    <row r="57" spans="1:49" ht="15.5" x14ac:dyDescent="0.35">
      <c r="A57" s="98">
        <f t="shared" si="11"/>
        <v>20</v>
      </c>
      <c r="B57" s="99">
        <f t="shared" ca="1" si="4"/>
        <v>46665</v>
      </c>
      <c r="C57" s="100">
        <f t="shared" si="5"/>
        <v>111805.55555555568</v>
      </c>
      <c r="D57" s="100">
        <f t="shared" si="6"/>
        <v>1442.3</v>
      </c>
      <c r="E57" s="100">
        <f t="shared" si="7"/>
        <v>113247.85555555568</v>
      </c>
      <c r="F57" s="100">
        <f t="shared" si="0"/>
        <v>694.44444444444446</v>
      </c>
      <c r="G57" s="100">
        <f t="shared" si="8"/>
        <v>2136.7444444444445</v>
      </c>
      <c r="H57" s="100">
        <f t="shared" ca="1" si="1"/>
        <v>25.715277777777807</v>
      </c>
      <c r="I57" s="100">
        <f t="shared" si="2"/>
        <v>12.000000000000002</v>
      </c>
      <c r="J57" s="100">
        <f t="shared" ca="1" si="3"/>
        <v>2174.4597222222224</v>
      </c>
      <c r="K57" s="101">
        <f t="shared" si="9"/>
        <v>111111.11111111124</v>
      </c>
      <c r="O57" s="118">
        <f t="shared" si="18"/>
        <v>20.833333333333332</v>
      </c>
      <c r="P57" s="119">
        <f t="shared" ca="1" si="16"/>
        <v>30</v>
      </c>
      <c r="Q57" s="120">
        <v>365</v>
      </c>
      <c r="AA57" s="96">
        <f t="shared" si="12"/>
        <v>19</v>
      </c>
      <c r="AB57" s="97">
        <f t="shared" si="10"/>
        <v>16347.07868717113</v>
      </c>
      <c r="AC57" s="97">
        <f t="shared" ca="1" si="13"/>
        <v>2183.5694444444443</v>
      </c>
      <c r="AE57" s="96">
        <f t="shared" si="14"/>
        <v>19</v>
      </c>
      <c r="AF57" s="97">
        <f>IFERROR(VLOOKUP(AE57,[1]Cálculos_PRICE!$A$32:$K$212,10,0),"")</f>
        <v>16347.07868717113</v>
      </c>
      <c r="AG57" s="97">
        <f ca="1">IFERROR(VLOOKUP(AE57,Cálculos_Aquisição_SAC_Fixa!A55:K328,10,0),"")</f>
        <v>2183.5694444444443</v>
      </c>
      <c r="AH57" s="97">
        <f>IFERROR(VLOOKUP(AE57,[1]Cálculos_PRICE!$A$32:$K$212,6,0),"")</f>
        <v>1443.5791187519226</v>
      </c>
      <c r="AI57" s="97">
        <f>IFERROR(VLOOKUP(AE57,Cálculos_Aquisição_SAC_Fixa!A55:K328,6,0),"")</f>
        <v>694.44444444444446</v>
      </c>
      <c r="AJ57" s="97">
        <f>IFERROR(VLOOKUP(AE57,[1]Cálculos_PRICE!$A$32:$K$240,11,0),"")</f>
        <v>975931.83923966775</v>
      </c>
      <c r="AK57" s="97">
        <f>IFERROR(VLOOKUP(AE57,Cálculos_Aquisição_SAC_Fixa!A55:K328,11,0),"")</f>
        <v>111805.55555555568</v>
      </c>
      <c r="AW57" s="132"/>
    </row>
    <row r="58" spans="1:49" ht="15.5" x14ac:dyDescent="0.35">
      <c r="A58" s="98">
        <f t="shared" si="11"/>
        <v>21</v>
      </c>
      <c r="B58" s="99">
        <f t="shared" ca="1" si="4"/>
        <v>46696</v>
      </c>
      <c r="C58" s="100">
        <f t="shared" si="5"/>
        <v>111111.11111111124</v>
      </c>
      <c r="D58" s="100">
        <f t="shared" si="6"/>
        <v>1433.34</v>
      </c>
      <c r="E58" s="100">
        <f t="shared" si="7"/>
        <v>112544.45111111124</v>
      </c>
      <c r="F58" s="100">
        <f t="shared" si="0"/>
        <v>694.44444444444446</v>
      </c>
      <c r="G58" s="100">
        <f t="shared" si="8"/>
        <v>2127.7844444444445</v>
      </c>
      <c r="H58" s="100">
        <f t="shared" ca="1" si="1"/>
        <v>25.555555555555586</v>
      </c>
      <c r="I58" s="100">
        <f t="shared" si="2"/>
        <v>12.000000000000002</v>
      </c>
      <c r="J58" s="100">
        <f t="shared" ca="1" si="3"/>
        <v>2165.34</v>
      </c>
      <c r="K58" s="101">
        <f t="shared" si="9"/>
        <v>110416.6666666668</v>
      </c>
      <c r="O58" s="118">
        <f t="shared" si="18"/>
        <v>20.833333333333332</v>
      </c>
      <c r="P58" s="119">
        <f t="shared" ca="1" si="16"/>
        <v>31</v>
      </c>
      <c r="Q58" s="120">
        <v>365</v>
      </c>
      <c r="S58" s="121" t="s">
        <v>84</v>
      </c>
      <c r="T58" s="121"/>
      <c r="U58" s="121"/>
      <c r="V58" s="121"/>
      <c r="W58" s="121"/>
      <c r="AA58" s="96">
        <f t="shared" si="12"/>
        <v>20</v>
      </c>
      <c r="AB58" s="97">
        <f t="shared" si="10"/>
        <v>16346.75763517512</v>
      </c>
      <c r="AC58" s="97">
        <f t="shared" ca="1" si="13"/>
        <v>2174.4597222222224</v>
      </c>
      <c r="AE58" s="96">
        <f t="shared" si="14"/>
        <v>20</v>
      </c>
      <c r="AF58" s="97">
        <f>IFERROR(VLOOKUP(AE58,[1]Cálculos_PRICE!$A$32:$K$212,10,0),"")</f>
        <v>16346.75763517512</v>
      </c>
      <c r="AG58" s="97">
        <f ca="1">IFERROR(VLOOKUP(AE58,Cálculos_Aquisição_SAC_Fixa!A56:K329,10,0),"")</f>
        <v>2174.4597222222224</v>
      </c>
      <c r="AH58" s="97">
        <f>IFERROR(VLOOKUP(AE58,[1]Cálculos_PRICE!$A$32:$K$212,6,0),"")</f>
        <v>1465.2328055332</v>
      </c>
      <c r="AI58" s="97">
        <f>IFERROR(VLOOKUP(AE58,Cálculos_Aquisição_SAC_Fixa!A56:K329,6,0),"")</f>
        <v>694.44444444444446</v>
      </c>
      <c r="AJ58" s="97">
        <f>IFERROR(VLOOKUP(AE58,[1]Cálculos_PRICE!$A$32:$K$240,11,0),"")</f>
        <v>974466.60643413453</v>
      </c>
      <c r="AK58" s="97">
        <f>IFERROR(VLOOKUP(AE58,Cálculos_Aquisição_SAC_Fixa!A56:K329,11,0),"")</f>
        <v>111111.11111111124</v>
      </c>
      <c r="AW58" s="132"/>
    </row>
    <row r="59" spans="1:49" ht="15.5" x14ac:dyDescent="0.35">
      <c r="A59" s="98">
        <f t="shared" si="11"/>
        <v>22</v>
      </c>
      <c r="B59" s="99">
        <f t="shared" ca="1" si="4"/>
        <v>46726</v>
      </c>
      <c r="C59" s="100">
        <f t="shared" si="5"/>
        <v>110416.6666666668</v>
      </c>
      <c r="D59" s="100">
        <f t="shared" si="6"/>
        <v>1424.3799999999999</v>
      </c>
      <c r="E59" s="100">
        <f t="shared" si="7"/>
        <v>111841.04666666681</v>
      </c>
      <c r="F59" s="100">
        <f t="shared" si="0"/>
        <v>694.44444444444446</v>
      </c>
      <c r="G59" s="100">
        <f t="shared" si="8"/>
        <v>2118.8244444444445</v>
      </c>
      <c r="H59" s="100">
        <f t="shared" ca="1" si="1"/>
        <v>25.395833333333364</v>
      </c>
      <c r="I59" s="100">
        <f t="shared" si="2"/>
        <v>12.000000000000002</v>
      </c>
      <c r="J59" s="100">
        <f t="shared" ca="1" si="3"/>
        <v>2156.2202777777779</v>
      </c>
      <c r="K59" s="101">
        <f t="shared" si="9"/>
        <v>109722.22222222236</v>
      </c>
      <c r="O59" s="118">
        <f t="shared" si="18"/>
        <v>20.833333333333332</v>
      </c>
      <c r="P59" s="119">
        <f t="shared" ca="1" si="16"/>
        <v>30</v>
      </c>
      <c r="Q59" s="120">
        <v>365</v>
      </c>
      <c r="S59" s="122" t="s">
        <v>85</v>
      </c>
      <c r="T59" s="122"/>
      <c r="U59" s="122"/>
      <c r="V59" s="122"/>
      <c r="W59" s="122"/>
      <c r="X59" s="121" t="s">
        <v>86</v>
      </c>
      <c r="Y59" s="121" t="s">
        <v>5</v>
      </c>
      <c r="AA59" s="96">
        <f t="shared" si="12"/>
        <v>21</v>
      </c>
      <c r="AB59" s="97">
        <f t="shared" si="10"/>
        <v>16346.431767399168</v>
      </c>
      <c r="AC59" s="97">
        <f t="shared" ca="1" si="13"/>
        <v>2165.34</v>
      </c>
      <c r="AE59" s="96">
        <f t="shared" si="14"/>
        <v>21</v>
      </c>
      <c r="AF59" s="97">
        <f>IFERROR(VLOOKUP(AE59,[1]Cálculos_PRICE!$A$32:$K$212,10,0),"")</f>
        <v>16346.431767399168</v>
      </c>
      <c r="AG59" s="97">
        <f ca="1">IFERROR(VLOOKUP(AE59,Cálculos_Aquisição_SAC_Fixa!A57:K330,10,0),"")</f>
        <v>2165.34</v>
      </c>
      <c r="AH59" s="97">
        <f>IFERROR(VLOOKUP(AE59,[1]Cálculos_PRICE!$A$32:$K$212,6,0),"")</f>
        <v>1487.2112976161989</v>
      </c>
      <c r="AI59" s="97">
        <f>IFERROR(VLOOKUP(AE59,Cálculos_Aquisição_SAC_Fixa!A57:K330,6,0),"")</f>
        <v>694.44444444444446</v>
      </c>
      <c r="AJ59" s="97">
        <f>IFERROR(VLOOKUP(AE59,[1]Cálculos_PRICE!$A$32:$K$240,11,0),"")</f>
        <v>972979.39513651829</v>
      </c>
      <c r="AK59" s="97">
        <f>IFERROR(VLOOKUP(AE59,Cálculos_Aquisição_SAC_Fixa!A57:K330,11,0),"")</f>
        <v>110416.6666666668</v>
      </c>
      <c r="AW59" s="132"/>
    </row>
    <row r="60" spans="1:49" ht="15.5" x14ac:dyDescent="0.35">
      <c r="A60" s="98">
        <f t="shared" si="11"/>
        <v>23</v>
      </c>
      <c r="B60" s="99">
        <f t="shared" ca="1" si="4"/>
        <v>46757</v>
      </c>
      <c r="C60" s="100">
        <f t="shared" si="5"/>
        <v>109722.22222222236</v>
      </c>
      <c r="D60" s="100">
        <f t="shared" si="6"/>
        <v>1415.42</v>
      </c>
      <c r="E60" s="100">
        <f t="shared" si="7"/>
        <v>111137.64222222236</v>
      </c>
      <c r="F60" s="100">
        <f t="shared" si="0"/>
        <v>694.44444444444446</v>
      </c>
      <c r="G60" s="100">
        <f t="shared" si="8"/>
        <v>2109.8644444444444</v>
      </c>
      <c r="H60" s="100">
        <f t="shared" ca="1" si="1"/>
        <v>25.236111111111146</v>
      </c>
      <c r="I60" s="100">
        <f t="shared" si="2"/>
        <v>12.000000000000002</v>
      </c>
      <c r="J60" s="100">
        <f t="shared" ca="1" si="3"/>
        <v>2147.1005555555557</v>
      </c>
      <c r="K60" s="101">
        <f t="shared" si="9"/>
        <v>109027.77777777793</v>
      </c>
      <c r="O60" s="118">
        <f t="shared" si="18"/>
        <v>20.833333333333332</v>
      </c>
      <c r="P60" s="119">
        <f t="shared" ca="1" si="16"/>
        <v>31</v>
      </c>
      <c r="Q60" s="120">
        <v>365</v>
      </c>
      <c r="S60" s="133" t="s">
        <v>87</v>
      </c>
      <c r="T60" s="133"/>
      <c r="U60" s="133"/>
      <c r="V60" s="133"/>
      <c r="W60" s="133"/>
      <c r="X60" s="10" t="s">
        <v>88</v>
      </c>
      <c r="Y60" s="10">
        <v>70</v>
      </c>
      <c r="AA60" s="96">
        <f t="shared" si="12"/>
        <v>22</v>
      </c>
      <c r="AB60" s="97">
        <f t="shared" si="10"/>
        <v>16346.101011606579</v>
      </c>
      <c r="AC60" s="97">
        <f t="shared" ca="1" si="13"/>
        <v>2156.2202777777779</v>
      </c>
      <c r="AE60" s="96">
        <f t="shared" si="14"/>
        <v>22</v>
      </c>
      <c r="AF60" s="97">
        <f>IFERROR(VLOOKUP(AE60,[1]Cálculos_PRICE!$A$32:$K$212,10,0),"")</f>
        <v>16346.101011606579</v>
      </c>
      <c r="AG60" s="97">
        <f ca="1">IFERROR(VLOOKUP(AE60,Cálculos_Aquisição_SAC_Fixa!A58:K331,10,0),"")</f>
        <v>2156.2202777777779</v>
      </c>
      <c r="AH60" s="97">
        <f>IFERROR(VLOOKUP(AE60,[1]Cálculos_PRICE!$A$32:$K$212,6,0),"")</f>
        <v>1509.5194670804431</v>
      </c>
      <c r="AI60" s="97">
        <f>IFERROR(VLOOKUP(AE60,Cálculos_Aquisição_SAC_Fixa!A58:K331,6,0),"")</f>
        <v>694.44444444444446</v>
      </c>
      <c r="AJ60" s="97">
        <f>IFERROR(VLOOKUP(AE60,[1]Cálculos_PRICE!$A$32:$K$240,11,0),"")</f>
        <v>971469.87566943781</v>
      </c>
      <c r="AK60" s="97">
        <f>IFERROR(VLOOKUP(AE60,Cálculos_Aquisição_SAC_Fixa!A58:K331,11,0),"")</f>
        <v>109722.22222222236</v>
      </c>
      <c r="AW60" s="132"/>
    </row>
    <row r="61" spans="1:49" ht="15.5" x14ac:dyDescent="0.35">
      <c r="A61" s="98">
        <f t="shared" si="11"/>
        <v>24</v>
      </c>
      <c r="B61" s="99">
        <f t="shared" ca="1" si="4"/>
        <v>46788</v>
      </c>
      <c r="C61" s="100">
        <f t="shared" si="5"/>
        <v>109027.77777777793</v>
      </c>
      <c r="D61" s="100">
        <f t="shared" si="6"/>
        <v>1406.46</v>
      </c>
      <c r="E61" s="100">
        <f t="shared" si="7"/>
        <v>110434.23777777793</v>
      </c>
      <c r="F61" s="100">
        <f t="shared" si="0"/>
        <v>694.44444444444446</v>
      </c>
      <c r="G61" s="100">
        <f t="shared" si="8"/>
        <v>2100.9044444444444</v>
      </c>
      <c r="H61" s="100">
        <f t="shared" ca="1" si="1"/>
        <v>25.076388888888925</v>
      </c>
      <c r="I61" s="100">
        <f t="shared" si="2"/>
        <v>12.000000000000002</v>
      </c>
      <c r="J61" s="100">
        <f t="shared" ca="1" si="3"/>
        <v>2137.9808333333335</v>
      </c>
      <c r="K61" s="101">
        <f t="shared" si="9"/>
        <v>108333.33333333349</v>
      </c>
      <c r="O61" s="118">
        <f t="shared" si="18"/>
        <v>20.833333333333332</v>
      </c>
      <c r="P61" s="119">
        <f t="shared" ca="1" si="16"/>
        <v>31</v>
      </c>
      <c r="Q61" s="120">
        <v>365</v>
      </c>
      <c r="S61" s="133" t="s">
        <v>89</v>
      </c>
      <c r="T61" s="133"/>
      <c r="U61" s="133"/>
      <c r="V61" s="133"/>
      <c r="W61" s="133"/>
      <c r="X61" s="10" t="s">
        <v>88</v>
      </c>
      <c r="Y61" s="134">
        <v>70</v>
      </c>
      <c r="AA61" s="96">
        <f t="shared" si="12"/>
        <v>23</v>
      </c>
      <c r="AB61" s="97">
        <f t="shared" si="10"/>
        <v>16345.7652944771</v>
      </c>
      <c r="AC61" s="97">
        <f t="shared" ca="1" si="13"/>
        <v>2147.1005555555557</v>
      </c>
      <c r="AE61" s="96">
        <f t="shared" si="14"/>
        <v>23</v>
      </c>
      <c r="AF61" s="97">
        <f>IFERROR(VLOOKUP(AE61,[1]Cálculos_PRICE!$A$32:$K$212,10,0),"")</f>
        <v>16345.7652944771</v>
      </c>
      <c r="AG61" s="97">
        <f ca="1">IFERROR(VLOOKUP(AE61,Cálculos_Aquisição_SAC_Fixa!A59:K332,10,0),"")</f>
        <v>2147.1005555555557</v>
      </c>
      <c r="AH61" s="97">
        <f>IFERROR(VLOOKUP(AE61,[1]Cálculos_PRICE!$A$32:$K$212,6,0),"")</f>
        <v>1532.16225908665</v>
      </c>
      <c r="AI61" s="97">
        <f>IFERROR(VLOOKUP(AE61,Cálculos_Aquisição_SAC_Fixa!A59:K332,6,0),"")</f>
        <v>694.44444444444446</v>
      </c>
      <c r="AJ61" s="97">
        <f>IFERROR(VLOOKUP(AE61,[1]Cálculos_PRICE!$A$32:$K$240,11,0),"")</f>
        <v>969937.71341035119</v>
      </c>
      <c r="AK61" s="97">
        <f>IFERROR(VLOOKUP(AE61,Cálculos_Aquisição_SAC_Fixa!A59:K332,11,0),"")</f>
        <v>109027.77777777793</v>
      </c>
      <c r="AW61" s="132"/>
    </row>
    <row r="62" spans="1:49" ht="15.5" x14ac:dyDescent="0.35">
      <c r="A62" s="98">
        <f t="shared" si="11"/>
        <v>25</v>
      </c>
      <c r="B62" s="99">
        <f t="shared" ca="1" si="4"/>
        <v>46817</v>
      </c>
      <c r="C62" s="100">
        <f t="shared" si="5"/>
        <v>108333.33333333349</v>
      </c>
      <c r="D62" s="100">
        <f t="shared" si="6"/>
        <v>1397.5</v>
      </c>
      <c r="E62" s="100">
        <f t="shared" si="7"/>
        <v>109730.83333333349</v>
      </c>
      <c r="F62" s="100">
        <f t="shared" si="0"/>
        <v>694.44444444444446</v>
      </c>
      <c r="G62" s="100">
        <f t="shared" si="8"/>
        <v>2091.9444444444443</v>
      </c>
      <c r="H62" s="100">
        <f t="shared" ca="1" si="1"/>
        <v>24.916666666666703</v>
      </c>
      <c r="I62" s="100">
        <f t="shared" si="2"/>
        <v>12.000000000000002</v>
      </c>
      <c r="J62" s="100">
        <f t="shared" ca="1" si="3"/>
        <v>2128.8611111111109</v>
      </c>
      <c r="K62" s="101">
        <f t="shared" si="9"/>
        <v>107638.88888888905</v>
      </c>
      <c r="O62" s="118">
        <f t="shared" si="18"/>
        <v>20.833333333333332</v>
      </c>
      <c r="P62" s="119">
        <f t="shared" ca="1" si="16"/>
        <v>30</v>
      </c>
      <c r="Q62" s="120">
        <v>365</v>
      </c>
      <c r="S62" s="133" t="s">
        <v>90</v>
      </c>
      <c r="T62" s="133"/>
      <c r="U62" s="133"/>
      <c r="V62" s="133"/>
      <c r="W62" s="133"/>
      <c r="X62" s="135" t="s">
        <v>91</v>
      </c>
      <c r="Y62" s="134">
        <v>50</v>
      </c>
      <c r="AA62" s="96">
        <f t="shared" si="12"/>
        <v>24</v>
      </c>
      <c r="AB62" s="97">
        <f t="shared" si="10"/>
        <v>16345.424541590679</v>
      </c>
      <c r="AC62" s="97">
        <f t="shared" ca="1" si="13"/>
        <v>2137.9808333333335</v>
      </c>
      <c r="AE62" s="96">
        <f t="shared" si="14"/>
        <v>24</v>
      </c>
      <c r="AF62" s="97">
        <f>IFERROR(VLOOKUP(AE62,[1]Cálculos_PRICE!$A$32:$K$212,10,0),"")</f>
        <v>16345.424541590679</v>
      </c>
      <c r="AG62" s="97">
        <f ca="1">IFERROR(VLOOKUP(AE62,Cálculos_Aquisição_SAC_Fixa!A60:K333,10,0),"")</f>
        <v>2137.9808333333335</v>
      </c>
      <c r="AH62" s="97">
        <f>IFERROR(VLOOKUP(AE62,[1]Cálculos_PRICE!$A$32:$K$212,6,0),"")</f>
        <v>1555.14469297295</v>
      </c>
      <c r="AI62" s="97">
        <f>IFERROR(VLOOKUP(AE62,Cálculos_Aquisição_SAC_Fixa!A60:K333,6,0),"")</f>
        <v>694.44444444444446</v>
      </c>
      <c r="AJ62" s="97">
        <f>IFERROR(VLOOKUP(AE62,[1]Cálculos_PRICE!$A$32:$K$240,11,0),"")</f>
        <v>968382.56871737819</v>
      </c>
      <c r="AK62" s="97">
        <f>IFERROR(VLOOKUP(AE62,Cálculos_Aquisição_SAC_Fixa!A60:K333,11,0),"")</f>
        <v>108333.33333333349</v>
      </c>
      <c r="AW62" s="132"/>
    </row>
    <row r="63" spans="1:49" ht="15.5" x14ac:dyDescent="0.35">
      <c r="A63" s="98">
        <f t="shared" si="11"/>
        <v>26</v>
      </c>
      <c r="B63" s="99">
        <f t="shared" ca="1" si="4"/>
        <v>46848</v>
      </c>
      <c r="C63" s="100">
        <f t="shared" si="5"/>
        <v>107638.88888888905</v>
      </c>
      <c r="D63" s="100">
        <f t="shared" si="6"/>
        <v>1388.55</v>
      </c>
      <c r="E63" s="100">
        <f t="shared" si="7"/>
        <v>109027.43888888905</v>
      </c>
      <c r="F63" s="100">
        <f t="shared" si="0"/>
        <v>694.44444444444446</v>
      </c>
      <c r="G63" s="100">
        <f t="shared" si="8"/>
        <v>2082.9944444444445</v>
      </c>
      <c r="H63" s="100">
        <f t="shared" ca="1" si="1"/>
        <v>24.756944444444482</v>
      </c>
      <c r="I63" s="100">
        <f t="shared" si="2"/>
        <v>12.000000000000002</v>
      </c>
      <c r="J63" s="100">
        <f t="shared" ca="1" si="3"/>
        <v>2119.7513888888889</v>
      </c>
      <c r="K63" s="101">
        <f t="shared" si="9"/>
        <v>106944.44444444461</v>
      </c>
      <c r="O63" s="118">
        <f t="shared" si="18"/>
        <v>20.833333333333332</v>
      </c>
      <c r="P63" s="119">
        <f t="shared" ca="1" si="16"/>
        <v>31</v>
      </c>
      <c r="Q63" s="120">
        <v>365</v>
      </c>
      <c r="S63" s="133" t="s">
        <v>92</v>
      </c>
      <c r="T63" s="133"/>
      <c r="U63" s="133"/>
      <c r="V63" s="133"/>
      <c r="W63" s="133"/>
      <c r="X63" s="135" t="s">
        <v>91</v>
      </c>
      <c r="Y63" s="134">
        <v>50</v>
      </c>
      <c r="AA63" s="96">
        <f t="shared" si="12"/>
        <v>25</v>
      </c>
      <c r="AB63" s="97">
        <f t="shared" si="10"/>
        <v>16345.078677410962</v>
      </c>
      <c r="AC63" s="97">
        <f t="shared" ca="1" si="13"/>
        <v>2128.8611111111109</v>
      </c>
      <c r="AE63" s="96">
        <f t="shared" si="14"/>
        <v>25</v>
      </c>
      <c r="AF63" s="97">
        <f>IFERROR(VLOOKUP(AE63,[1]Cálculos_PRICE!$A$32:$K$212,10,0),"")</f>
        <v>16345.078677410962</v>
      </c>
      <c r="AG63" s="97">
        <f ca="1">IFERROR(VLOOKUP(AE63,Cálculos_Aquisição_SAC_Fixa!A61:K334,10,0),"")</f>
        <v>2128.8611111111109</v>
      </c>
      <c r="AH63" s="97">
        <f>IFERROR(VLOOKUP(AE63,[1]Cálculos_PRICE!$A$32:$K$212,6,0),"")</f>
        <v>1578.4718633675438</v>
      </c>
      <c r="AI63" s="97">
        <f>IFERROR(VLOOKUP(AE63,Cálculos_Aquisição_SAC_Fixa!A61:K334,6,0),"")</f>
        <v>694.44444444444446</v>
      </c>
      <c r="AJ63" s="97">
        <f>IFERROR(VLOOKUP(AE63,[1]Cálculos_PRICE!$A$32:$K$240,11,0),"")</f>
        <v>966804.0968540106</v>
      </c>
      <c r="AK63" s="97">
        <f>IFERROR(VLOOKUP(AE63,Cálculos_Aquisição_SAC_Fixa!A61:K334,11,0),"")</f>
        <v>107638.88888888905</v>
      </c>
      <c r="AW63" s="132"/>
    </row>
    <row r="64" spans="1:49" ht="15.5" x14ac:dyDescent="0.35">
      <c r="A64" s="98">
        <f t="shared" si="11"/>
        <v>27</v>
      </c>
      <c r="B64" s="99">
        <f t="shared" ca="1" si="4"/>
        <v>46878</v>
      </c>
      <c r="C64" s="100">
        <f t="shared" si="5"/>
        <v>106944.44444444461</v>
      </c>
      <c r="D64" s="100">
        <f t="shared" si="6"/>
        <v>1379.59</v>
      </c>
      <c r="E64" s="100">
        <f t="shared" si="7"/>
        <v>108324.03444444461</v>
      </c>
      <c r="F64" s="100">
        <f t="shared" si="0"/>
        <v>694.44444444444446</v>
      </c>
      <c r="G64" s="100">
        <f t="shared" si="8"/>
        <v>2074.0344444444445</v>
      </c>
      <c r="H64" s="100">
        <f t="shared" ca="1" si="1"/>
        <v>24.597222222222261</v>
      </c>
      <c r="I64" s="100">
        <f t="shared" si="2"/>
        <v>12.000000000000002</v>
      </c>
      <c r="J64" s="100">
        <f t="shared" ca="1" si="3"/>
        <v>2110.6316666666667</v>
      </c>
      <c r="K64" s="101">
        <f t="shared" si="9"/>
        <v>106250.00000000017</v>
      </c>
      <c r="O64" s="118">
        <f t="shared" si="18"/>
        <v>20.833333333333332</v>
      </c>
      <c r="P64" s="119">
        <f t="shared" ca="1" si="16"/>
        <v>30</v>
      </c>
      <c r="Q64" s="120">
        <v>365</v>
      </c>
      <c r="S64" s="133" t="s">
        <v>93</v>
      </c>
      <c r="T64" s="133"/>
      <c r="U64" s="133"/>
      <c r="V64" s="133"/>
      <c r="W64" s="133"/>
      <c r="X64" s="135" t="s">
        <v>91</v>
      </c>
      <c r="Y64" s="134">
        <v>70</v>
      </c>
      <c r="AA64" s="96">
        <f t="shared" si="12"/>
        <v>26</v>
      </c>
      <c r="AB64" s="97">
        <f t="shared" si="10"/>
        <v>16344.727625268548</v>
      </c>
      <c r="AC64" s="97">
        <f t="shared" ca="1" si="13"/>
        <v>2119.7513888888889</v>
      </c>
      <c r="AE64" s="96">
        <f t="shared" si="14"/>
        <v>26</v>
      </c>
      <c r="AF64" s="97">
        <f>IFERROR(VLOOKUP(AE64,[1]Cálculos_PRICE!$A$32:$K$212,10,0),"")</f>
        <v>16344.727625268548</v>
      </c>
      <c r="AG64" s="97">
        <f ca="1">IFERROR(VLOOKUP(AE64,Cálculos_Aquisição_SAC_Fixa!A62:K335,10,0),"")</f>
        <v>2119.7513888888889</v>
      </c>
      <c r="AH64" s="97">
        <f>IFERROR(VLOOKUP(AE64,[1]Cálculos_PRICE!$A$32:$K$212,6,0),"")</f>
        <v>1602.1489413180589</v>
      </c>
      <c r="AI64" s="97">
        <f>IFERROR(VLOOKUP(AE64,Cálculos_Aquisição_SAC_Fixa!A62:K335,6,0),"")</f>
        <v>694.44444444444446</v>
      </c>
      <c r="AJ64" s="97">
        <f>IFERROR(VLOOKUP(AE64,[1]Cálculos_PRICE!$A$32:$K$240,11,0),"")</f>
        <v>965201.94791269256</v>
      </c>
      <c r="AK64" s="97">
        <f>IFERROR(VLOOKUP(AE64,Cálculos_Aquisição_SAC_Fixa!A62:K335,11,0),"")</f>
        <v>106944.44444444461</v>
      </c>
      <c r="AW64" s="132"/>
    </row>
    <row r="65" spans="1:49" ht="15.5" x14ac:dyDescent="0.35">
      <c r="A65" s="98">
        <f t="shared" si="11"/>
        <v>28</v>
      </c>
      <c r="B65" s="99">
        <f t="shared" ca="1" si="4"/>
        <v>46909</v>
      </c>
      <c r="C65" s="100">
        <f t="shared" si="5"/>
        <v>106250.00000000017</v>
      </c>
      <c r="D65" s="100">
        <f t="shared" si="6"/>
        <v>1370.6299999999999</v>
      </c>
      <c r="E65" s="100">
        <f t="shared" si="7"/>
        <v>107620.63000000018</v>
      </c>
      <c r="F65" s="100">
        <f t="shared" si="0"/>
        <v>694.44444444444446</v>
      </c>
      <c r="G65" s="100">
        <f t="shared" si="8"/>
        <v>2065.0744444444445</v>
      </c>
      <c r="H65" s="100">
        <f t="shared" ca="1" si="1"/>
        <v>24.437500000000043</v>
      </c>
      <c r="I65" s="100">
        <f t="shared" si="2"/>
        <v>12.000000000000002</v>
      </c>
      <c r="J65" s="100">
        <f t="shared" ca="1" si="3"/>
        <v>2101.5119444444445</v>
      </c>
      <c r="K65" s="101">
        <f t="shared" si="9"/>
        <v>105555.55555555574</v>
      </c>
      <c r="O65" s="118">
        <f t="shared" si="18"/>
        <v>20.833333333333332</v>
      </c>
      <c r="P65" s="119">
        <f t="shared" ca="1" si="16"/>
        <v>31</v>
      </c>
      <c r="Q65" s="120">
        <v>365</v>
      </c>
      <c r="S65" s="133" t="s">
        <v>94</v>
      </c>
      <c r="T65" s="133"/>
      <c r="U65" s="133"/>
      <c r="V65" s="133"/>
      <c r="W65" s="133"/>
      <c r="X65" s="10" t="s">
        <v>88</v>
      </c>
      <c r="Y65" s="10">
        <v>70</v>
      </c>
      <c r="Z65" s="136"/>
      <c r="AA65" s="96">
        <f t="shared" si="12"/>
        <v>27</v>
      </c>
      <c r="AB65" s="97">
        <f t="shared" si="10"/>
        <v>16344.371307343999</v>
      </c>
      <c r="AC65" s="97">
        <f t="shared" ca="1" si="13"/>
        <v>2110.6316666666667</v>
      </c>
      <c r="AE65" s="96">
        <f t="shared" si="14"/>
        <v>27</v>
      </c>
      <c r="AF65" s="97">
        <f>IFERROR(VLOOKUP(AE65,[1]Cálculos_PRICE!$A$32:$K$212,10,0),"")</f>
        <v>16344.371307343999</v>
      </c>
      <c r="AG65" s="97">
        <f ca="1">IFERROR(VLOOKUP(AE65,Cálculos_Aquisição_SAC_Fixa!A63:K336,10,0),"")</f>
        <v>2110.6316666666667</v>
      </c>
      <c r="AH65" s="97">
        <f>IFERROR(VLOOKUP(AE65,[1]Cálculos_PRICE!$A$32:$K$212,6,0),"")</f>
        <v>1626.1811754378286</v>
      </c>
      <c r="AI65" s="97">
        <f>IFERROR(VLOOKUP(AE65,Cálculos_Aquisição_SAC_Fixa!A63:K336,6,0),"")</f>
        <v>694.44444444444446</v>
      </c>
      <c r="AJ65" s="97">
        <f>IFERROR(VLOOKUP(AE65,[1]Cálculos_PRICE!$A$32:$K$240,11,0),"")</f>
        <v>963575.76673725469</v>
      </c>
      <c r="AK65" s="97">
        <f>IFERROR(VLOOKUP(AE65,Cálculos_Aquisição_SAC_Fixa!A63:K336,11,0),"")</f>
        <v>106250.00000000017</v>
      </c>
      <c r="AW65" s="132"/>
    </row>
    <row r="66" spans="1:49" ht="15.5" x14ac:dyDescent="0.35">
      <c r="A66" s="98">
        <f t="shared" si="11"/>
        <v>29</v>
      </c>
      <c r="B66" s="99">
        <f t="shared" ca="1" si="4"/>
        <v>46939</v>
      </c>
      <c r="C66" s="100">
        <f t="shared" si="5"/>
        <v>105555.55555555574</v>
      </c>
      <c r="D66" s="100">
        <f t="shared" si="6"/>
        <v>1361.67</v>
      </c>
      <c r="E66" s="100">
        <f t="shared" si="7"/>
        <v>106917.22555555573</v>
      </c>
      <c r="F66" s="100">
        <f t="shared" si="0"/>
        <v>694.44444444444446</v>
      </c>
      <c r="G66" s="100">
        <f t="shared" si="8"/>
        <v>2056.1144444444444</v>
      </c>
      <c r="H66" s="100">
        <f t="shared" ca="1" si="1"/>
        <v>24.277777777777821</v>
      </c>
      <c r="I66" s="100">
        <f t="shared" si="2"/>
        <v>12.000000000000002</v>
      </c>
      <c r="J66" s="100">
        <f t="shared" ca="1" si="3"/>
        <v>2092.3922222222222</v>
      </c>
      <c r="K66" s="101">
        <f t="shared" si="9"/>
        <v>104861.1111111113</v>
      </c>
      <c r="O66" s="118">
        <f t="shared" si="18"/>
        <v>20.833333333333332</v>
      </c>
      <c r="P66" s="119">
        <f t="shared" ca="1" si="16"/>
        <v>31</v>
      </c>
      <c r="Q66" s="120">
        <v>365</v>
      </c>
      <c r="S66" s="133" t="s">
        <v>95</v>
      </c>
      <c r="T66" s="133"/>
      <c r="U66" s="133"/>
      <c r="V66" s="133"/>
      <c r="W66" s="133"/>
      <c r="X66" s="10" t="s">
        <v>91</v>
      </c>
      <c r="Y66" s="10">
        <v>50</v>
      </c>
      <c r="Z66" s="136"/>
      <c r="AA66" s="96">
        <f t="shared" si="12"/>
        <v>28</v>
      </c>
      <c r="AB66" s="97">
        <f t="shared" si="10"/>
        <v>16344.009644650581</v>
      </c>
      <c r="AC66" s="97">
        <f t="shared" ca="1" si="13"/>
        <v>2101.5119444444445</v>
      </c>
      <c r="AE66" s="96">
        <f t="shared" si="14"/>
        <v>28</v>
      </c>
      <c r="AF66" s="97">
        <f>IFERROR(VLOOKUP(AE66,[1]Cálculos_PRICE!$A$32:$K$212,10,0),"")</f>
        <v>16344.009644650581</v>
      </c>
      <c r="AG66" s="97">
        <f ca="1">IFERROR(VLOOKUP(AE66,Cálculos_Aquisição_SAC_Fixa!A64:K337,10,0),"")</f>
        <v>2101.5119444444445</v>
      </c>
      <c r="AH66" s="97">
        <f>IFERROR(VLOOKUP(AE66,[1]Cálculos_PRICE!$A$32:$K$212,6,0),"")</f>
        <v>1650.5738930693969</v>
      </c>
      <c r="AI66" s="97">
        <f>IFERROR(VLOOKUP(AE66,Cálculos_Aquisição_SAC_Fixa!A64:K337,6,0),"")</f>
        <v>694.44444444444446</v>
      </c>
      <c r="AJ66" s="97">
        <f>IFERROR(VLOOKUP(AE66,[1]Cálculos_PRICE!$A$32:$K$240,11,0),"")</f>
        <v>961925.19284418528</v>
      </c>
      <c r="AK66" s="97">
        <f>IFERROR(VLOOKUP(AE66,Cálculos_Aquisição_SAC_Fixa!A64:K337,11,0),"")</f>
        <v>105555.55555555574</v>
      </c>
      <c r="AW66" s="132"/>
    </row>
    <row r="67" spans="1:49" ht="15.5" x14ac:dyDescent="0.35">
      <c r="A67" s="98">
        <f t="shared" si="11"/>
        <v>30</v>
      </c>
      <c r="B67" s="99">
        <f t="shared" ca="1" si="4"/>
        <v>46970</v>
      </c>
      <c r="C67" s="100">
        <f t="shared" si="5"/>
        <v>104861.1111111113</v>
      </c>
      <c r="D67" s="100">
        <f t="shared" si="6"/>
        <v>1352.71</v>
      </c>
      <c r="E67" s="100">
        <f t="shared" si="7"/>
        <v>106213.82111111131</v>
      </c>
      <c r="F67" s="100">
        <f t="shared" si="0"/>
        <v>694.44444444444446</v>
      </c>
      <c r="G67" s="100">
        <f t="shared" si="8"/>
        <v>2047.1544444444444</v>
      </c>
      <c r="H67" s="100">
        <f t="shared" ca="1" si="1"/>
        <v>24.1180555555556</v>
      </c>
      <c r="I67" s="100">
        <f t="shared" si="2"/>
        <v>12.000000000000002</v>
      </c>
      <c r="J67" s="100">
        <f t="shared" ca="1" si="3"/>
        <v>2083.2725</v>
      </c>
      <c r="K67" s="101">
        <f t="shared" si="9"/>
        <v>104166.66666666686</v>
      </c>
      <c r="O67" s="118">
        <f t="shared" si="18"/>
        <v>20.833333333333332</v>
      </c>
      <c r="P67" s="119">
        <f t="shared" ca="1" si="16"/>
        <v>29</v>
      </c>
      <c r="Q67" s="120">
        <v>365</v>
      </c>
      <c r="S67" s="121" t="s">
        <v>84</v>
      </c>
      <c r="T67" s="121"/>
      <c r="U67" s="121"/>
      <c r="V67" s="121"/>
      <c r="W67" s="121"/>
      <c r="Z67" s="136"/>
      <c r="AA67" s="96">
        <f t="shared" si="12"/>
        <v>29</v>
      </c>
      <c r="AB67" s="97">
        <f t="shared" si="10"/>
        <v>16343.642557016763</v>
      </c>
      <c r="AC67" s="97">
        <f t="shared" ca="1" si="13"/>
        <v>2092.3922222222222</v>
      </c>
      <c r="AE67" s="96">
        <f t="shared" si="14"/>
        <v>29</v>
      </c>
      <c r="AF67" s="97">
        <f>IFERROR(VLOOKUP(AE67,[1]Cálculos_PRICE!$A$32:$K$212,10,0),"")</f>
        <v>16343.642557016763</v>
      </c>
      <c r="AG67" s="97">
        <f ca="1">IFERROR(VLOOKUP(AE67,Cálculos_Aquisição_SAC_Fixa!A65:K338,10,0),"")</f>
        <v>2092.3922222222222</v>
      </c>
      <c r="AH67" s="97">
        <f>IFERROR(VLOOKUP(AE67,[1]Cálculos_PRICE!$A$32:$K$212,6,0),"")</f>
        <v>1675.3325014654383</v>
      </c>
      <c r="AI67" s="97">
        <f>IFERROR(VLOOKUP(AE67,Cálculos_Aquisição_SAC_Fixa!A65:K338,6,0),"")</f>
        <v>694.44444444444446</v>
      </c>
      <c r="AJ67" s="97">
        <f>IFERROR(VLOOKUP(AE67,[1]Cálculos_PRICE!$A$32:$K$240,11,0),"")</f>
        <v>960249.86034271982</v>
      </c>
      <c r="AK67" s="97">
        <f>IFERROR(VLOOKUP(AE67,Cálculos_Aquisição_SAC_Fixa!A65:K338,11,0),"")</f>
        <v>104861.1111111113</v>
      </c>
      <c r="AW67" s="132"/>
    </row>
    <row r="68" spans="1:49" ht="15.5" x14ac:dyDescent="0.35">
      <c r="A68" s="98">
        <f t="shared" si="11"/>
        <v>31</v>
      </c>
      <c r="B68" s="99">
        <f t="shared" ca="1" si="4"/>
        <v>47001</v>
      </c>
      <c r="C68" s="100">
        <f t="shared" si="5"/>
        <v>104166.66666666686</v>
      </c>
      <c r="D68" s="100">
        <f t="shared" si="6"/>
        <v>1343.75</v>
      </c>
      <c r="E68" s="100">
        <f t="shared" si="7"/>
        <v>105510.41666666686</v>
      </c>
      <c r="F68" s="100">
        <f t="shared" si="0"/>
        <v>694.44444444444446</v>
      </c>
      <c r="G68" s="100">
        <f t="shared" si="8"/>
        <v>2038.1944444444443</v>
      </c>
      <c r="H68" s="100">
        <f t="shared" ca="1" si="1"/>
        <v>23.958333333333378</v>
      </c>
      <c r="I68" s="100">
        <f t="shared" si="2"/>
        <v>12.000000000000002</v>
      </c>
      <c r="J68" s="100">
        <f t="shared" ca="1" si="3"/>
        <v>2074.1527777777778</v>
      </c>
      <c r="K68" s="101">
        <f t="shared" si="9"/>
        <v>103472.22222222242</v>
      </c>
      <c r="O68" s="118">
        <f t="shared" si="18"/>
        <v>20.833333333333332</v>
      </c>
      <c r="P68" s="119">
        <f t="shared" ca="1" si="16"/>
        <v>31</v>
      </c>
      <c r="Q68" s="120">
        <v>365</v>
      </c>
      <c r="S68" s="122" t="s">
        <v>96</v>
      </c>
      <c r="T68" s="122"/>
      <c r="U68" s="122"/>
      <c r="V68" s="122"/>
      <c r="W68" s="122"/>
      <c r="X68" s="121" t="s">
        <v>86</v>
      </c>
      <c r="Y68" s="121" t="s">
        <v>5</v>
      </c>
      <c r="Z68" s="136"/>
      <c r="AA68" s="96">
        <f t="shared" si="12"/>
        <v>30</v>
      </c>
      <c r="AB68" s="97">
        <f t="shared" si="10"/>
        <v>16343.269963068438</v>
      </c>
      <c r="AC68" s="97">
        <f t="shared" ca="1" si="13"/>
        <v>2083.2725</v>
      </c>
      <c r="AE68" s="96">
        <f t="shared" si="14"/>
        <v>30</v>
      </c>
      <c r="AF68" s="97">
        <f>IFERROR(VLOOKUP(AE68,[1]Cálculos_PRICE!$A$32:$K$212,10,0),"")</f>
        <v>16343.269963068438</v>
      </c>
      <c r="AG68" s="97">
        <f ca="1">IFERROR(VLOOKUP(AE68,Cálculos_Aquisição_SAC_Fixa!A66:K339,10,0),"")</f>
        <v>2083.2725</v>
      </c>
      <c r="AH68" s="97">
        <f>IFERROR(VLOOKUP(AE68,[1]Cálculos_PRICE!$A$32:$K$212,6,0),"")</f>
        <v>1700.4624889874194</v>
      </c>
      <c r="AI68" s="97">
        <f>IFERROR(VLOOKUP(AE68,Cálculos_Aquisição_SAC_Fixa!A66:K339,6,0),"")</f>
        <v>694.44444444444446</v>
      </c>
      <c r="AJ68" s="97">
        <f>IFERROR(VLOOKUP(AE68,[1]Cálculos_PRICE!$A$32:$K$240,11,0),"")</f>
        <v>958549.39785373246</v>
      </c>
      <c r="AK68" s="97">
        <f>IFERROR(VLOOKUP(AE68,Cálculos_Aquisição_SAC_Fixa!A66:K339,11,0),"")</f>
        <v>104166.66666666686</v>
      </c>
      <c r="AW68" s="132"/>
    </row>
    <row r="69" spans="1:49" ht="15.5" x14ac:dyDescent="0.35">
      <c r="A69" s="98">
        <f t="shared" si="11"/>
        <v>32</v>
      </c>
      <c r="B69" s="99">
        <f t="shared" ca="1" si="4"/>
        <v>47031</v>
      </c>
      <c r="C69" s="100">
        <f t="shared" si="5"/>
        <v>103472.22222222242</v>
      </c>
      <c r="D69" s="100">
        <f t="shared" si="6"/>
        <v>1334.8</v>
      </c>
      <c r="E69" s="100">
        <f t="shared" si="7"/>
        <v>104807.02222222243</v>
      </c>
      <c r="F69" s="100">
        <f t="shared" si="0"/>
        <v>694.44444444444446</v>
      </c>
      <c r="G69" s="100">
        <f t="shared" si="8"/>
        <v>2029.2444444444445</v>
      </c>
      <c r="H69" s="100">
        <f t="shared" ca="1" si="1"/>
        <v>23.798611111111157</v>
      </c>
      <c r="I69" s="100">
        <f t="shared" si="2"/>
        <v>12.000000000000002</v>
      </c>
      <c r="J69" s="100">
        <f t="shared" ca="1" si="3"/>
        <v>2065.0430555555558</v>
      </c>
      <c r="K69" s="101">
        <f t="shared" si="9"/>
        <v>102777.77777777798</v>
      </c>
      <c r="O69" s="118">
        <f t="shared" si="18"/>
        <v>20.833333333333332</v>
      </c>
      <c r="P69" s="119">
        <f t="shared" ca="1" si="16"/>
        <v>30</v>
      </c>
      <c r="Q69" s="120">
        <v>365</v>
      </c>
      <c r="S69" s="133" t="s">
        <v>87</v>
      </c>
      <c r="T69" s="133"/>
      <c r="U69" s="133"/>
      <c r="V69" s="133"/>
      <c r="W69" s="133"/>
      <c r="X69" s="10" t="s">
        <v>91</v>
      </c>
      <c r="Y69" s="10">
        <v>60</v>
      </c>
      <c r="AA69" s="96">
        <f t="shared" si="12"/>
        <v>31</v>
      </c>
      <c r="AB69" s="97">
        <f t="shared" si="10"/>
        <v>16342.891780210886</v>
      </c>
      <c r="AC69" s="97">
        <f t="shared" ca="1" si="13"/>
        <v>2074.1527777777778</v>
      </c>
      <c r="AE69" s="96">
        <f t="shared" si="14"/>
        <v>31</v>
      </c>
      <c r="AF69" s="97">
        <f>IFERROR(VLOOKUP(AE69,[1]Cálculos_PRICE!$A$32:$K$212,10,0),"")</f>
        <v>16342.891780210886</v>
      </c>
      <c r="AG69" s="97">
        <f ca="1">IFERROR(VLOOKUP(AE69,Cálculos_Aquisição_SAC_Fixa!A67:K340,10,0),"")</f>
        <v>2074.1527777777778</v>
      </c>
      <c r="AH69" s="97">
        <f>IFERROR(VLOOKUP(AE69,[1]Cálculos_PRICE!$A$32:$K$212,6,0),"")</f>
        <v>1725.96942632223</v>
      </c>
      <c r="AI69" s="97">
        <f>IFERROR(VLOOKUP(AE69,Cálculos_Aquisição_SAC_Fixa!A67:K340,6,0),"")</f>
        <v>694.44444444444446</v>
      </c>
      <c r="AJ69" s="97">
        <f>IFERROR(VLOOKUP(AE69,[1]Cálculos_PRICE!$A$32:$K$240,11,0),"")</f>
        <v>956823.4284274102</v>
      </c>
      <c r="AK69" s="97">
        <f>IFERROR(VLOOKUP(AE69,Cálculos_Aquisição_SAC_Fixa!A67:K340,11,0),"")</f>
        <v>103472.22222222242</v>
      </c>
      <c r="AW69" s="132"/>
    </row>
    <row r="70" spans="1:49" ht="15.5" x14ac:dyDescent="0.35">
      <c r="A70" s="98">
        <f t="shared" si="11"/>
        <v>33</v>
      </c>
      <c r="B70" s="99">
        <f t="shared" ca="1" si="4"/>
        <v>47062</v>
      </c>
      <c r="C70" s="100">
        <f t="shared" si="5"/>
        <v>102777.77777777798</v>
      </c>
      <c r="D70" s="100">
        <f t="shared" si="6"/>
        <v>1325.84</v>
      </c>
      <c r="E70" s="100">
        <f t="shared" si="7"/>
        <v>104103.61777777798</v>
      </c>
      <c r="F70" s="100">
        <f t="shared" si="0"/>
        <v>694.44444444444446</v>
      </c>
      <c r="G70" s="100">
        <f t="shared" si="8"/>
        <v>2020.2844444444445</v>
      </c>
      <c r="H70" s="100">
        <f t="shared" ca="1" si="1"/>
        <v>23.638888888888935</v>
      </c>
      <c r="I70" s="100">
        <f t="shared" si="2"/>
        <v>12.000000000000002</v>
      </c>
      <c r="J70" s="100">
        <f t="shared" ca="1" si="3"/>
        <v>2055.9233333333336</v>
      </c>
      <c r="K70" s="101">
        <f t="shared" si="9"/>
        <v>102083.33333333355</v>
      </c>
      <c r="O70" s="118">
        <f t="shared" si="18"/>
        <v>20.833333333333332</v>
      </c>
      <c r="P70" s="119">
        <f t="shared" ca="1" si="16"/>
        <v>31</v>
      </c>
      <c r="Q70" s="120">
        <v>365</v>
      </c>
      <c r="S70" s="133" t="s">
        <v>89</v>
      </c>
      <c r="T70" s="133"/>
      <c r="U70" s="133"/>
      <c r="V70" s="133"/>
      <c r="W70" s="133"/>
      <c r="X70" s="10" t="s">
        <v>91</v>
      </c>
      <c r="Y70" s="134">
        <v>60</v>
      </c>
      <c r="AA70" s="96">
        <f t="shared" si="12"/>
        <v>32</v>
      </c>
      <c r="AB70" s="97">
        <f t="shared" si="10"/>
        <v>16342.507924610472</v>
      </c>
      <c r="AC70" s="97">
        <f t="shared" ca="1" si="13"/>
        <v>2065.0430555555558</v>
      </c>
      <c r="AE70" s="96">
        <f t="shared" si="14"/>
        <v>32</v>
      </c>
      <c r="AF70" s="97">
        <f>IFERROR(VLOOKUP(AE70,[1]Cálculos_PRICE!$A$32:$K$212,10,0),"")</f>
        <v>16342.507924610472</v>
      </c>
      <c r="AG70" s="97">
        <f ca="1">IFERROR(VLOOKUP(AE70,Cálculos_Aquisição_SAC_Fixa!A68:K341,10,0),"")</f>
        <v>2065.0430555555558</v>
      </c>
      <c r="AH70" s="97">
        <f>IFERROR(VLOOKUP(AE70,[1]Cálculos_PRICE!$A$32:$K$212,6,0),"")</f>
        <v>1751.8589677170639</v>
      </c>
      <c r="AI70" s="97">
        <f>IFERROR(VLOOKUP(AE70,Cálculos_Aquisição_SAC_Fixa!A68:K341,6,0),"")</f>
        <v>694.44444444444446</v>
      </c>
      <c r="AJ70" s="97">
        <f>IFERROR(VLOOKUP(AE70,[1]Cálculos_PRICE!$A$32:$K$240,11,0),"")</f>
        <v>955071.56945969316</v>
      </c>
      <c r="AK70" s="97">
        <f>IFERROR(VLOOKUP(AE70,Cálculos_Aquisição_SAC_Fixa!A68:K341,11,0),"")</f>
        <v>102777.77777777798</v>
      </c>
      <c r="AW70" s="132"/>
    </row>
    <row r="71" spans="1:49" ht="15.5" x14ac:dyDescent="0.35">
      <c r="A71" s="98">
        <f t="shared" si="11"/>
        <v>34</v>
      </c>
      <c r="B71" s="99">
        <f t="shared" ca="1" si="4"/>
        <v>47092</v>
      </c>
      <c r="C71" s="100">
        <f t="shared" si="5"/>
        <v>102083.33333333355</v>
      </c>
      <c r="D71" s="100">
        <f t="shared" si="6"/>
        <v>1316.8799999999999</v>
      </c>
      <c r="E71" s="100">
        <f t="shared" si="7"/>
        <v>103400.21333333355</v>
      </c>
      <c r="F71" s="100">
        <f t="shared" si="0"/>
        <v>694.44444444444446</v>
      </c>
      <c r="G71" s="100">
        <f t="shared" si="8"/>
        <v>2011.3244444444445</v>
      </c>
      <c r="H71" s="100">
        <f t="shared" ca="1" si="1"/>
        <v>23.479166666666718</v>
      </c>
      <c r="I71" s="100">
        <f t="shared" si="2"/>
        <v>12.000000000000002</v>
      </c>
      <c r="J71" s="100">
        <f t="shared" ca="1" si="3"/>
        <v>2046.8036111111112</v>
      </c>
      <c r="K71" s="101">
        <f t="shared" si="9"/>
        <v>101388.88888888911</v>
      </c>
      <c r="O71" s="118">
        <f t="shared" si="18"/>
        <v>20.833333333333332</v>
      </c>
      <c r="P71" s="119">
        <f t="shared" ca="1" si="16"/>
        <v>30</v>
      </c>
      <c r="Q71" s="120">
        <v>365</v>
      </c>
      <c r="S71" s="133" t="s">
        <v>90</v>
      </c>
      <c r="T71" s="133"/>
      <c r="U71" s="133"/>
      <c r="V71" s="133"/>
      <c r="W71" s="133"/>
      <c r="X71" s="10" t="s">
        <v>91</v>
      </c>
      <c r="Y71" s="134">
        <v>60</v>
      </c>
      <c r="AA71" s="96">
        <f t="shared" si="12"/>
        <v>33</v>
      </c>
      <c r="AB71" s="97">
        <f t="shared" si="10"/>
        <v>16342.118311176053</v>
      </c>
      <c r="AC71" s="97">
        <f t="shared" ca="1" si="13"/>
        <v>2055.9233333333336</v>
      </c>
      <c r="AE71" s="96">
        <f t="shared" si="14"/>
        <v>33</v>
      </c>
      <c r="AF71" s="97">
        <f>IFERROR(VLOOKUP(AE71,[1]Cálculos_PRICE!$A$32:$K$212,10,0),"")</f>
        <v>16342.118311176053</v>
      </c>
      <c r="AG71" s="97">
        <f ca="1">IFERROR(VLOOKUP(AE71,Cálculos_Aquisição_SAC_Fixa!A69:K342,10,0),"")</f>
        <v>2055.9233333333336</v>
      </c>
      <c r="AH71" s="97">
        <f>IFERROR(VLOOKUP(AE71,[1]Cálculos_PRICE!$A$32:$K$212,6,0),"")</f>
        <v>1778.1368522328194</v>
      </c>
      <c r="AI71" s="97">
        <f>IFERROR(VLOOKUP(AE71,Cálculos_Aquisição_SAC_Fixa!A69:K342,6,0),"")</f>
        <v>694.44444444444446</v>
      </c>
      <c r="AJ71" s="97">
        <f>IFERROR(VLOOKUP(AE71,[1]Cálculos_PRICE!$A$32:$K$240,11,0),"")</f>
        <v>953293.4326074603</v>
      </c>
      <c r="AK71" s="97">
        <f>IFERROR(VLOOKUP(AE71,Cálculos_Aquisição_SAC_Fixa!A69:K342,11,0),"")</f>
        <v>102083.33333333355</v>
      </c>
      <c r="AW71" s="132"/>
    </row>
    <row r="72" spans="1:49" ht="15.5" x14ac:dyDescent="0.35">
      <c r="A72" s="98">
        <f t="shared" si="11"/>
        <v>35</v>
      </c>
      <c r="B72" s="99">
        <f t="shared" ca="1" si="4"/>
        <v>47123</v>
      </c>
      <c r="C72" s="100">
        <f t="shared" si="5"/>
        <v>101388.88888888911</v>
      </c>
      <c r="D72" s="100">
        <f t="shared" si="6"/>
        <v>1307.92</v>
      </c>
      <c r="E72" s="100">
        <f t="shared" si="7"/>
        <v>102696.80888888911</v>
      </c>
      <c r="F72" s="100">
        <f t="shared" si="0"/>
        <v>694.44444444444446</v>
      </c>
      <c r="G72" s="100">
        <f t="shared" si="8"/>
        <v>2002.3644444444444</v>
      </c>
      <c r="H72" s="100">
        <f t="shared" ca="1" si="1"/>
        <v>23.319444444444496</v>
      </c>
      <c r="I72" s="100">
        <f t="shared" si="2"/>
        <v>12.000000000000002</v>
      </c>
      <c r="J72" s="100">
        <f t="shared" ca="1" si="3"/>
        <v>2037.683888888889</v>
      </c>
      <c r="K72" s="101">
        <f t="shared" si="9"/>
        <v>100694.44444444467</v>
      </c>
      <c r="O72" s="118">
        <f t="shared" si="18"/>
        <v>20.833333333333332</v>
      </c>
      <c r="P72" s="119">
        <f t="shared" ca="1" si="16"/>
        <v>31</v>
      </c>
      <c r="Q72" s="120">
        <v>365</v>
      </c>
      <c r="S72" s="133" t="s">
        <v>92</v>
      </c>
      <c r="T72" s="133"/>
      <c r="U72" s="133"/>
      <c r="V72" s="133"/>
      <c r="W72" s="133"/>
      <c r="X72" s="10" t="s">
        <v>91</v>
      </c>
      <c r="Y72" s="134">
        <v>60</v>
      </c>
      <c r="AA72" s="96">
        <f t="shared" si="12"/>
        <v>34</v>
      </c>
      <c r="AB72" s="97">
        <f t="shared" si="10"/>
        <v>16341.722853540115</v>
      </c>
      <c r="AC72" s="97">
        <f t="shared" ca="1" si="13"/>
        <v>2046.8036111111112</v>
      </c>
      <c r="AE72" s="96">
        <f t="shared" si="14"/>
        <v>34</v>
      </c>
      <c r="AF72" s="97">
        <f>IFERROR(VLOOKUP(AE72,[1]Cálculos_PRICE!$A$32:$K$212,10,0),"")</f>
        <v>16341.722853540115</v>
      </c>
      <c r="AG72" s="97">
        <f ca="1">IFERROR(VLOOKUP(AE72,Cálculos_Aquisição_SAC_Fixa!A70:K343,10,0),"")</f>
        <v>2046.8036111111112</v>
      </c>
      <c r="AH72" s="97">
        <f>IFERROR(VLOOKUP(AE72,[1]Cálculos_PRICE!$A$32:$K$212,6,0),"")</f>
        <v>1804.8089050163126</v>
      </c>
      <c r="AI72" s="97">
        <f>IFERROR(VLOOKUP(AE72,Cálculos_Aquisição_SAC_Fixa!A70:K343,6,0),"")</f>
        <v>694.44444444444446</v>
      </c>
      <c r="AJ72" s="97">
        <f>IFERROR(VLOOKUP(AE72,[1]Cálculos_PRICE!$A$32:$K$240,11,0),"")</f>
        <v>951488.62370244402</v>
      </c>
      <c r="AK72" s="97">
        <f>IFERROR(VLOOKUP(AE72,Cálculos_Aquisição_SAC_Fixa!A70:K343,11,0),"")</f>
        <v>101388.88888888911</v>
      </c>
      <c r="AW72" s="132"/>
    </row>
    <row r="73" spans="1:49" ht="15.5" x14ac:dyDescent="0.35">
      <c r="A73" s="98">
        <f t="shared" si="11"/>
        <v>36</v>
      </c>
      <c r="B73" s="99">
        <f t="shared" ca="1" si="4"/>
        <v>47154</v>
      </c>
      <c r="C73" s="100">
        <f t="shared" si="5"/>
        <v>100694.44444444467</v>
      </c>
      <c r="D73" s="100">
        <f t="shared" si="6"/>
        <v>1298.96</v>
      </c>
      <c r="E73" s="100">
        <f t="shared" si="7"/>
        <v>101993.40444444468</v>
      </c>
      <c r="F73" s="100">
        <f t="shared" si="0"/>
        <v>694.44444444444446</v>
      </c>
      <c r="G73" s="100">
        <f t="shared" si="8"/>
        <v>1993.4044444444444</v>
      </c>
      <c r="H73" s="100">
        <f t="shared" ca="1" si="1"/>
        <v>23.159722222222275</v>
      </c>
      <c r="I73" s="100">
        <f t="shared" si="2"/>
        <v>12.000000000000002</v>
      </c>
      <c r="J73" s="100">
        <f t="shared" ca="1" si="3"/>
        <v>2028.5641666666666</v>
      </c>
      <c r="K73" s="101">
        <f t="shared" si="9"/>
        <v>100000.00000000023</v>
      </c>
      <c r="O73" s="118">
        <f t="shared" si="18"/>
        <v>20.833333333333332</v>
      </c>
      <c r="P73" s="119">
        <f t="shared" ca="1" si="16"/>
        <v>31</v>
      </c>
      <c r="Q73" s="120">
        <v>365</v>
      </c>
      <c r="S73" s="133" t="s">
        <v>93</v>
      </c>
      <c r="T73" s="133"/>
      <c r="U73" s="133"/>
      <c r="V73" s="133"/>
      <c r="W73" s="133"/>
      <c r="X73" s="10" t="s">
        <v>91</v>
      </c>
      <c r="Y73" s="134">
        <v>60</v>
      </c>
      <c r="AA73" s="96">
        <f t="shared" si="12"/>
        <v>35</v>
      </c>
      <c r="AB73" s="97">
        <f t="shared" si="10"/>
        <v>16341.32146403964</v>
      </c>
      <c r="AC73" s="97">
        <f t="shared" ca="1" si="13"/>
        <v>2037.683888888889</v>
      </c>
      <c r="AE73" s="96">
        <f t="shared" si="14"/>
        <v>35</v>
      </c>
      <c r="AF73" s="97">
        <f>IFERROR(VLOOKUP(AE73,[1]Cálculos_PRICE!$A$32:$K$212,10,0),"")</f>
        <v>16341.32146403964</v>
      </c>
      <c r="AG73" s="97">
        <f ca="1">IFERROR(VLOOKUP(AE73,Cálculos_Aquisição_SAC_Fixa!A71:K344,10,0),"")</f>
        <v>2037.683888888889</v>
      </c>
      <c r="AH73" s="97">
        <f>IFERROR(VLOOKUP(AE73,[1]Cálculos_PRICE!$A$32:$K$212,6,0),"")</f>
        <v>1831.8810385915567</v>
      </c>
      <c r="AI73" s="97">
        <f>IFERROR(VLOOKUP(AE73,Cálculos_Aquisição_SAC_Fixa!A71:K344,6,0),"")</f>
        <v>694.44444444444446</v>
      </c>
      <c r="AJ73" s="97">
        <f>IFERROR(VLOOKUP(AE73,[1]Cálculos_PRICE!$A$32:$K$240,11,0),"")</f>
        <v>949656.7426638524</v>
      </c>
      <c r="AK73" s="97">
        <f>IFERROR(VLOOKUP(AE73,Cálculos_Aquisição_SAC_Fixa!A71:K344,11,0),"")</f>
        <v>100694.44444444467</v>
      </c>
      <c r="AW73" s="132"/>
    </row>
    <row r="74" spans="1:49" ht="15.5" x14ac:dyDescent="0.35">
      <c r="A74" s="98">
        <f t="shared" si="11"/>
        <v>37</v>
      </c>
      <c r="B74" s="99">
        <f t="shared" ca="1" si="4"/>
        <v>47182</v>
      </c>
      <c r="C74" s="100">
        <f t="shared" si="5"/>
        <v>100000.00000000023</v>
      </c>
      <c r="D74" s="100">
        <f t="shared" si="6"/>
        <v>1290</v>
      </c>
      <c r="E74" s="100">
        <f t="shared" si="7"/>
        <v>101290.00000000023</v>
      </c>
      <c r="F74" s="100">
        <f t="shared" si="0"/>
        <v>694.44444444444446</v>
      </c>
      <c r="G74" s="100">
        <f t="shared" si="8"/>
        <v>1984.4444444444443</v>
      </c>
      <c r="H74" s="100">
        <f t="shared" ca="1" si="1"/>
        <v>23.000000000000053</v>
      </c>
      <c r="I74" s="100">
        <f t="shared" si="2"/>
        <v>12.000000000000002</v>
      </c>
      <c r="J74" s="100">
        <f t="shared" ca="1" si="3"/>
        <v>2019.4444444444443</v>
      </c>
      <c r="K74" s="101">
        <f t="shared" si="9"/>
        <v>99305.555555555795</v>
      </c>
      <c r="O74" s="118">
        <f t="shared" si="18"/>
        <v>20.833333333333332</v>
      </c>
      <c r="P74" s="119">
        <f t="shared" ca="1" si="16"/>
        <v>30</v>
      </c>
      <c r="Q74" s="120">
        <v>365</v>
      </c>
      <c r="S74" s="133" t="s">
        <v>94</v>
      </c>
      <c r="T74" s="133"/>
      <c r="U74" s="133"/>
      <c r="V74" s="133"/>
      <c r="W74" s="133"/>
      <c r="X74" s="10" t="s">
        <v>91</v>
      </c>
      <c r="Y74" s="134">
        <v>60</v>
      </c>
      <c r="AA74" s="96">
        <f t="shared" si="12"/>
        <v>36</v>
      </c>
      <c r="AB74" s="97">
        <f t="shared" si="10"/>
        <v>16340.914053696657</v>
      </c>
      <c r="AC74" s="97">
        <f t="shared" ca="1" si="13"/>
        <v>2028.5641666666666</v>
      </c>
      <c r="AE74" s="96">
        <f t="shared" si="14"/>
        <v>36</v>
      </c>
      <c r="AF74" s="97">
        <f>IFERROR(VLOOKUP(AE74,[1]Cálculos_PRICE!$A$32:$K$212,10,0),"")</f>
        <v>16340.914053696657</v>
      </c>
      <c r="AG74" s="97">
        <f ca="1">IFERROR(VLOOKUP(AE74,Cálculos_Aquisição_SAC_Fixa!A72:K345,10,0),"")</f>
        <v>2028.5641666666666</v>
      </c>
      <c r="AH74" s="97">
        <f>IFERROR(VLOOKUP(AE74,[1]Cálculos_PRICE!$A$32:$K$212,6,0),"")</f>
        <v>1859.3592541704311</v>
      </c>
      <c r="AI74" s="97">
        <f>IFERROR(VLOOKUP(AE74,Cálculos_Aquisição_SAC_Fixa!A72:K345,6,0),"")</f>
        <v>694.44444444444446</v>
      </c>
      <c r="AJ74" s="97">
        <f>IFERROR(VLOOKUP(AE74,[1]Cálculos_PRICE!$A$32:$K$240,11,0),"")</f>
        <v>947797.38340968196</v>
      </c>
      <c r="AK74" s="97">
        <f>IFERROR(VLOOKUP(AE74,Cálculos_Aquisição_SAC_Fixa!A72:K345,11,0),"")</f>
        <v>100000.00000000023</v>
      </c>
      <c r="AW74" s="132"/>
    </row>
    <row r="75" spans="1:49" ht="15.5" x14ac:dyDescent="0.35">
      <c r="A75" s="98">
        <f t="shared" si="11"/>
        <v>38</v>
      </c>
      <c r="B75" s="99">
        <f t="shared" ca="1" si="4"/>
        <v>47213</v>
      </c>
      <c r="C75" s="100">
        <f t="shared" si="5"/>
        <v>99305.555555555795</v>
      </c>
      <c r="D75" s="100">
        <f t="shared" si="6"/>
        <v>1281.05</v>
      </c>
      <c r="E75" s="100">
        <f t="shared" si="7"/>
        <v>100586.6055555558</v>
      </c>
      <c r="F75" s="100">
        <f t="shared" si="0"/>
        <v>694.44444444444446</v>
      </c>
      <c r="G75" s="100">
        <f t="shared" si="8"/>
        <v>1975.4944444444445</v>
      </c>
      <c r="H75" s="100">
        <f t="shared" ca="1" si="1"/>
        <v>22.840277777777832</v>
      </c>
      <c r="I75" s="100">
        <f t="shared" si="2"/>
        <v>12.000000000000002</v>
      </c>
      <c r="J75" s="100">
        <f t="shared" ca="1" si="3"/>
        <v>2010.3347222222224</v>
      </c>
      <c r="K75" s="101">
        <f t="shared" si="9"/>
        <v>98611.111111111357</v>
      </c>
      <c r="O75" s="118">
        <f t="shared" si="18"/>
        <v>20.833333333333332</v>
      </c>
      <c r="P75" s="119">
        <f t="shared" ca="1" si="16"/>
        <v>31</v>
      </c>
      <c r="Q75" s="120">
        <v>365</v>
      </c>
      <c r="S75" s="133" t="s">
        <v>95</v>
      </c>
      <c r="T75" s="133"/>
      <c r="U75" s="133"/>
      <c r="V75" s="133"/>
      <c r="W75" s="133"/>
      <c r="X75" s="10" t="s">
        <v>91</v>
      </c>
      <c r="Y75" s="134">
        <v>60</v>
      </c>
      <c r="AA75" s="96">
        <f t="shared" si="12"/>
        <v>37</v>
      </c>
      <c r="AB75" s="97">
        <f t="shared" si="10"/>
        <v>16340.50053219853</v>
      </c>
      <c r="AC75" s="97">
        <f t="shared" ca="1" si="13"/>
        <v>2019.4444444444443</v>
      </c>
      <c r="AE75" s="96">
        <f t="shared" si="14"/>
        <v>37</v>
      </c>
      <c r="AF75" s="97">
        <f>IFERROR(VLOOKUP(AE75,[1]Cálculos_PRICE!$A$32:$K$212,10,0),"")</f>
        <v>16340.50053219853</v>
      </c>
      <c r="AG75" s="97">
        <f ca="1">IFERROR(VLOOKUP(AE75,Cálculos_Aquisição_SAC_Fixa!A73:K346,10,0),"")</f>
        <v>2019.4444444444443</v>
      </c>
      <c r="AH75" s="97">
        <f>IFERROR(VLOOKUP(AE75,[1]Cálculos_PRICE!$A$32:$K$212,6,0),"")</f>
        <v>1887.249642982988</v>
      </c>
      <c r="AI75" s="97">
        <f>IFERROR(VLOOKUP(AE75,Cálculos_Aquisição_SAC_Fixa!A73:K346,6,0),"")</f>
        <v>694.44444444444446</v>
      </c>
      <c r="AJ75" s="97">
        <f>IFERROR(VLOOKUP(AE75,[1]Cálculos_PRICE!$A$32:$K$240,11,0),"")</f>
        <v>945910.133766699</v>
      </c>
      <c r="AK75" s="97">
        <f>IFERROR(VLOOKUP(AE75,Cálculos_Aquisição_SAC_Fixa!A73:K346,11,0),"")</f>
        <v>99305.555555555795</v>
      </c>
      <c r="AW75" s="132"/>
    </row>
    <row r="76" spans="1:49" ht="15.5" x14ac:dyDescent="0.35">
      <c r="A76" s="98">
        <f t="shared" si="11"/>
        <v>39</v>
      </c>
      <c r="B76" s="99">
        <f t="shared" ca="1" si="4"/>
        <v>47243</v>
      </c>
      <c r="C76" s="100">
        <f t="shared" si="5"/>
        <v>98611.111111111357</v>
      </c>
      <c r="D76" s="100">
        <f t="shared" si="6"/>
        <v>1272.0899999999999</v>
      </c>
      <c r="E76" s="100">
        <f t="shared" si="7"/>
        <v>99883.201111111353</v>
      </c>
      <c r="F76" s="100">
        <f t="shared" si="0"/>
        <v>694.44444444444446</v>
      </c>
      <c r="G76" s="100">
        <f t="shared" si="8"/>
        <v>1966.5344444444445</v>
      </c>
      <c r="H76" s="100">
        <f t="shared" ca="1" si="1"/>
        <v>22.680555555555614</v>
      </c>
      <c r="I76" s="100">
        <f t="shared" si="2"/>
        <v>12.000000000000002</v>
      </c>
      <c r="J76" s="100">
        <f t="shared" ca="1" si="3"/>
        <v>2001.2150000000001</v>
      </c>
      <c r="K76" s="101">
        <f t="shared" si="9"/>
        <v>97916.666666666919</v>
      </c>
      <c r="O76" s="118">
        <f t="shared" si="18"/>
        <v>20.833333333333332</v>
      </c>
      <c r="P76" s="119">
        <f t="shared" ca="1" si="16"/>
        <v>30</v>
      </c>
      <c r="Q76" s="120">
        <v>365</v>
      </c>
      <c r="AA76" s="96">
        <f t="shared" si="12"/>
        <v>38</v>
      </c>
      <c r="AB76" s="97">
        <f t="shared" si="10"/>
        <v>16340.08080787793</v>
      </c>
      <c r="AC76" s="97">
        <f t="shared" ca="1" si="13"/>
        <v>2010.3347222222224</v>
      </c>
      <c r="AE76" s="96">
        <f t="shared" si="14"/>
        <v>38</v>
      </c>
      <c r="AF76" s="97">
        <f>IFERROR(VLOOKUP(AE76,[1]Cálculos_PRICE!$A$32:$K$212,10,0),"")</f>
        <v>16340.08080787793</v>
      </c>
      <c r="AG76" s="97">
        <f ca="1">IFERROR(VLOOKUP(AE76,Cálculos_Aquisição_SAC_Fixa!A74:K347,10,0),"")</f>
        <v>2010.3347222222224</v>
      </c>
      <c r="AH76" s="97">
        <f>IFERROR(VLOOKUP(AE76,[1]Cálculos_PRICE!$A$32:$K$212,6,0),"")</f>
        <v>1915.5583876277324</v>
      </c>
      <c r="AI76" s="97">
        <f>IFERROR(VLOOKUP(AE76,Cálculos_Aquisição_SAC_Fixa!A74:K347,6,0),"")</f>
        <v>694.44444444444446</v>
      </c>
      <c r="AJ76" s="97">
        <f>IFERROR(VLOOKUP(AE76,[1]Cálculos_PRICE!$A$32:$K$240,11,0),"")</f>
        <v>943994.57537907129</v>
      </c>
      <c r="AK76" s="97">
        <f>IFERROR(VLOOKUP(AE76,Cálculos_Aquisição_SAC_Fixa!A74:K347,11,0),"")</f>
        <v>98611.111111111357</v>
      </c>
      <c r="AW76" s="132"/>
    </row>
    <row r="77" spans="1:49" ht="15.5" x14ac:dyDescent="0.35">
      <c r="A77" s="98">
        <f t="shared" si="11"/>
        <v>40</v>
      </c>
      <c r="B77" s="99">
        <f t="shared" ca="1" si="4"/>
        <v>47274</v>
      </c>
      <c r="C77" s="100">
        <f t="shared" si="5"/>
        <v>97916.666666666919</v>
      </c>
      <c r="D77" s="100">
        <f t="shared" si="6"/>
        <v>1263.1299999999999</v>
      </c>
      <c r="E77" s="100">
        <f t="shared" si="7"/>
        <v>99179.796666666924</v>
      </c>
      <c r="F77" s="100">
        <f t="shared" si="0"/>
        <v>694.44444444444446</v>
      </c>
      <c r="G77" s="100">
        <f t="shared" si="8"/>
        <v>1957.5744444444445</v>
      </c>
      <c r="H77" s="100">
        <f t="shared" ca="1" si="1"/>
        <v>22.520833333333393</v>
      </c>
      <c r="I77" s="100">
        <f t="shared" si="2"/>
        <v>12.000000000000002</v>
      </c>
      <c r="J77" s="100">
        <f t="shared" ca="1" si="3"/>
        <v>1992.0952777777779</v>
      </c>
      <c r="K77" s="101">
        <f t="shared" si="9"/>
        <v>97222.222222222481</v>
      </c>
      <c r="O77" s="118">
        <f t="shared" si="18"/>
        <v>20.833333333333332</v>
      </c>
      <c r="P77" s="119">
        <f t="shared" ca="1" si="16"/>
        <v>31</v>
      </c>
      <c r="Q77" s="120">
        <v>365</v>
      </c>
      <c r="AA77" s="96">
        <f t="shared" si="12"/>
        <v>39</v>
      </c>
      <c r="AB77" s="97">
        <f t="shared" si="10"/>
        <v>16339.654787692521</v>
      </c>
      <c r="AC77" s="97">
        <f t="shared" ca="1" si="13"/>
        <v>2001.2150000000001</v>
      </c>
      <c r="AE77" s="96">
        <f t="shared" si="14"/>
        <v>39</v>
      </c>
      <c r="AF77" s="97">
        <f>IFERROR(VLOOKUP(AE77,[1]Cálculos_PRICE!$A$32:$K$212,10,0),"")</f>
        <v>16339.654787692521</v>
      </c>
      <c r="AG77" s="97">
        <f ca="1">IFERROR(VLOOKUP(AE77,Cálculos_Aquisição_SAC_Fixa!A75:K348,10,0),"")</f>
        <v>2001.2150000000001</v>
      </c>
      <c r="AH77" s="97">
        <f>IFERROR(VLOOKUP(AE77,[1]Cálculos_PRICE!$A$32:$K$212,6,0),"")</f>
        <v>1944.2917634421483</v>
      </c>
      <c r="AI77" s="97">
        <f>IFERROR(VLOOKUP(AE77,Cálculos_Aquisição_SAC_Fixa!A75:K348,6,0),"")</f>
        <v>694.44444444444446</v>
      </c>
      <c r="AJ77" s="97">
        <f>IFERROR(VLOOKUP(AE77,[1]Cálculos_PRICE!$A$32:$K$240,11,0),"")</f>
        <v>942050.28361562919</v>
      </c>
      <c r="AK77" s="97">
        <f>IFERROR(VLOOKUP(AE77,Cálculos_Aquisição_SAC_Fixa!A75:K348,11,0),"")</f>
        <v>97916.666666666919</v>
      </c>
      <c r="AW77" s="132"/>
    </row>
    <row r="78" spans="1:49" ht="15.5" x14ac:dyDescent="0.35">
      <c r="A78" s="98">
        <f t="shared" si="11"/>
        <v>41</v>
      </c>
      <c r="B78" s="99">
        <f t="shared" ca="1" si="4"/>
        <v>47304</v>
      </c>
      <c r="C78" s="100">
        <f t="shared" si="5"/>
        <v>97222.222222222481</v>
      </c>
      <c r="D78" s="100">
        <f t="shared" si="6"/>
        <v>1254.17</v>
      </c>
      <c r="E78" s="100">
        <f t="shared" si="7"/>
        <v>98476.392222222479</v>
      </c>
      <c r="F78" s="100">
        <f t="shared" si="0"/>
        <v>694.44444444444446</v>
      </c>
      <c r="G78" s="100">
        <f t="shared" si="8"/>
        <v>1948.6144444444444</v>
      </c>
      <c r="H78" s="100">
        <f t="shared" ca="1" si="1"/>
        <v>22.361111111111171</v>
      </c>
      <c r="I78" s="100">
        <f t="shared" si="2"/>
        <v>12.000000000000002</v>
      </c>
      <c r="J78" s="100">
        <f t="shared" ca="1" si="3"/>
        <v>1982.9755555555555</v>
      </c>
      <c r="K78" s="101">
        <f t="shared" si="9"/>
        <v>96527.777777778043</v>
      </c>
      <c r="O78" s="118">
        <f t="shared" si="18"/>
        <v>20.833333333333332</v>
      </c>
      <c r="P78" s="119">
        <f t="shared" ca="1" si="16"/>
        <v>31</v>
      </c>
      <c r="Q78" s="120">
        <v>365</v>
      </c>
      <c r="AA78" s="96">
        <f t="shared" si="12"/>
        <v>40</v>
      </c>
      <c r="AB78" s="97">
        <f t="shared" si="10"/>
        <v>16339.222377204333</v>
      </c>
      <c r="AC78" s="97">
        <f t="shared" ca="1" si="13"/>
        <v>1992.0952777777779</v>
      </c>
      <c r="AE78" s="96">
        <f t="shared" si="14"/>
        <v>40</v>
      </c>
      <c r="AF78" s="97">
        <f>IFERROR(VLOOKUP(AE78,[1]Cálculos_PRICE!$A$32:$K$212,10,0),"")</f>
        <v>16339.222377204333</v>
      </c>
      <c r="AG78" s="97">
        <f ca="1">IFERROR(VLOOKUP(AE78,Cálculos_Aquisição_SAC_Fixa!A76:K349,10,0),"")</f>
        <v>1992.0952777777779</v>
      </c>
      <c r="AH78" s="97">
        <f>IFERROR(VLOOKUP(AE78,[1]Cálculos_PRICE!$A$32:$K$212,6,0),"")</f>
        <v>1973.4561398937785</v>
      </c>
      <c r="AI78" s="97">
        <f>IFERROR(VLOOKUP(AE78,Cálculos_Aquisição_SAC_Fixa!A76:K349,6,0),"")</f>
        <v>694.44444444444446</v>
      </c>
      <c r="AJ78" s="97">
        <f>IFERROR(VLOOKUP(AE78,[1]Cálculos_PRICE!$A$32:$K$240,11,0),"")</f>
        <v>940076.82747573545</v>
      </c>
      <c r="AK78" s="97">
        <f>IFERROR(VLOOKUP(AE78,Cálculos_Aquisição_SAC_Fixa!A76:K349,11,0),"")</f>
        <v>97222.222222222481</v>
      </c>
      <c r="AW78" s="132"/>
    </row>
    <row r="79" spans="1:49" ht="15.5" x14ac:dyDescent="0.35">
      <c r="A79" s="98">
        <f t="shared" si="11"/>
        <v>42</v>
      </c>
      <c r="B79" s="99">
        <f t="shared" ca="1" si="4"/>
        <v>47335</v>
      </c>
      <c r="C79" s="100">
        <f t="shared" si="5"/>
        <v>96527.777777778043</v>
      </c>
      <c r="D79" s="100">
        <f t="shared" si="6"/>
        <v>1245.21</v>
      </c>
      <c r="E79" s="100">
        <f t="shared" si="7"/>
        <v>97772.987777778049</v>
      </c>
      <c r="F79" s="100">
        <f t="shared" si="0"/>
        <v>694.44444444444446</v>
      </c>
      <c r="G79" s="100">
        <f t="shared" si="8"/>
        <v>1939.6544444444444</v>
      </c>
      <c r="H79" s="100">
        <f t="shared" ca="1" si="1"/>
        <v>22.20138888888895</v>
      </c>
      <c r="I79" s="100">
        <f t="shared" si="2"/>
        <v>12.000000000000002</v>
      </c>
      <c r="J79" s="100">
        <f t="shared" ca="1" si="3"/>
        <v>1973.8558333333333</v>
      </c>
      <c r="K79" s="101">
        <f t="shared" si="9"/>
        <v>95833.333333333605</v>
      </c>
      <c r="O79" s="118">
        <f t="shared" si="18"/>
        <v>20.833333333333332</v>
      </c>
      <c r="P79" s="119">
        <f t="shared" ca="1" si="16"/>
        <v>28</v>
      </c>
      <c r="Q79" s="120">
        <v>365</v>
      </c>
      <c r="AA79" s="96">
        <f t="shared" si="12"/>
        <v>41</v>
      </c>
      <c r="AB79" s="97">
        <f t="shared" si="10"/>
        <v>16338.783480558821</v>
      </c>
      <c r="AC79" s="97">
        <f t="shared" ca="1" si="13"/>
        <v>1982.9755555555555</v>
      </c>
      <c r="AE79" s="96">
        <f t="shared" si="14"/>
        <v>41</v>
      </c>
      <c r="AF79" s="97">
        <f>IFERROR(VLOOKUP(AE79,[1]Cálculos_PRICE!$A$32:$K$212,10,0),"")</f>
        <v>16338.783480558821</v>
      </c>
      <c r="AG79" s="97">
        <f ca="1">IFERROR(VLOOKUP(AE79,Cálculos_Aquisição_SAC_Fixa!A77:K350,10,0),"")</f>
        <v>1982.9755555555555</v>
      </c>
      <c r="AH79" s="97">
        <f>IFERROR(VLOOKUP(AE79,[1]Cálculos_PRICE!$A$32:$K$212,6,0),"")</f>
        <v>2003.0579819921859</v>
      </c>
      <c r="AI79" s="97">
        <f>IFERROR(VLOOKUP(AE79,Cálculos_Aquisição_SAC_Fixa!A77:K350,6,0),"")</f>
        <v>694.44444444444446</v>
      </c>
      <c r="AJ79" s="97">
        <f>IFERROR(VLOOKUP(AE79,[1]Cálculos_PRICE!$A$32:$K$240,11,0),"")</f>
        <v>938073.76949374331</v>
      </c>
      <c r="AK79" s="97">
        <f>IFERROR(VLOOKUP(AE79,Cálculos_Aquisição_SAC_Fixa!A77:K350,11,0),"")</f>
        <v>96527.777777778043</v>
      </c>
      <c r="AW79" s="132"/>
    </row>
    <row r="80" spans="1:49" ht="15.5" x14ac:dyDescent="0.35">
      <c r="A80" s="98">
        <f t="shared" si="11"/>
        <v>43</v>
      </c>
      <c r="B80" s="99">
        <f t="shared" ca="1" si="4"/>
        <v>47366</v>
      </c>
      <c r="C80" s="100">
        <f t="shared" si="5"/>
        <v>95833.333333333605</v>
      </c>
      <c r="D80" s="100">
        <f t="shared" si="6"/>
        <v>1236.25</v>
      </c>
      <c r="E80" s="100">
        <f t="shared" si="7"/>
        <v>97069.583333333605</v>
      </c>
      <c r="F80" s="100">
        <f t="shared" si="0"/>
        <v>694.44444444444446</v>
      </c>
      <c r="G80" s="100">
        <f t="shared" si="8"/>
        <v>1930.6944444444443</v>
      </c>
      <c r="H80" s="100">
        <f t="shared" ca="1" si="1"/>
        <v>22.041666666666728</v>
      </c>
      <c r="I80" s="100">
        <f t="shared" si="2"/>
        <v>12.000000000000002</v>
      </c>
      <c r="J80" s="100">
        <f t="shared" ca="1" si="3"/>
        <v>1964.7361111111111</v>
      </c>
      <c r="K80" s="101">
        <f t="shared" si="9"/>
        <v>95138.888888889167</v>
      </c>
      <c r="O80" s="118">
        <f t="shared" si="18"/>
        <v>20.833333333333332</v>
      </c>
      <c r="P80" s="119">
        <f t="shared" ca="1" si="16"/>
        <v>31</v>
      </c>
      <c r="Q80" s="120">
        <v>365</v>
      </c>
      <c r="AA80" s="96">
        <f t="shared" si="12"/>
        <v>42</v>
      </c>
      <c r="AB80" s="97">
        <f t="shared" si="10"/>
        <v>16338.338000463626</v>
      </c>
      <c r="AC80" s="97">
        <f t="shared" ca="1" si="13"/>
        <v>1973.8558333333333</v>
      </c>
      <c r="AE80" s="96">
        <f t="shared" si="14"/>
        <v>42</v>
      </c>
      <c r="AF80" s="97">
        <f>IFERROR(VLOOKUP(AE80,[1]Cálculos_PRICE!$A$32:$K$212,10,0),"")</f>
        <v>16338.338000463626</v>
      </c>
      <c r="AG80" s="97">
        <f ca="1">IFERROR(VLOOKUP(AE80,Cálculos_Aquisição_SAC_Fixa!A78:K351,10,0),"")</f>
        <v>1973.8558333333333</v>
      </c>
      <c r="AH80" s="97">
        <f>IFERROR(VLOOKUP(AE80,[1]Cálculos_PRICE!$A$32:$K$212,6,0),"")</f>
        <v>2033.1038517220677</v>
      </c>
      <c r="AI80" s="97">
        <f>IFERROR(VLOOKUP(AE80,Cálculos_Aquisição_SAC_Fixa!A78:K351,6,0),"")</f>
        <v>694.44444444444446</v>
      </c>
      <c r="AJ80" s="97">
        <f>IFERROR(VLOOKUP(AE80,[1]Cálculos_PRICE!$A$32:$K$240,11,0),"")</f>
        <v>936040.66564202122</v>
      </c>
      <c r="AK80" s="97">
        <f>IFERROR(VLOOKUP(AE80,Cálculos_Aquisição_SAC_Fixa!A78:K351,11,0),"")</f>
        <v>95833.333333333605</v>
      </c>
      <c r="AW80" s="132"/>
    </row>
    <row r="81" spans="1:49" ht="15.5" x14ac:dyDescent="0.35">
      <c r="A81" s="98">
        <f t="shared" si="11"/>
        <v>44</v>
      </c>
      <c r="B81" s="99">
        <f t="shared" ca="1" si="4"/>
        <v>47396</v>
      </c>
      <c r="C81" s="100">
        <f t="shared" si="5"/>
        <v>95138.888888889167</v>
      </c>
      <c r="D81" s="100">
        <f t="shared" si="6"/>
        <v>1227.3</v>
      </c>
      <c r="E81" s="100">
        <f t="shared" si="7"/>
        <v>96366.18888888917</v>
      </c>
      <c r="F81" s="100">
        <f t="shared" si="0"/>
        <v>694.44444444444446</v>
      </c>
      <c r="G81" s="100">
        <f t="shared" si="8"/>
        <v>1921.7444444444445</v>
      </c>
      <c r="H81" s="100">
        <f t="shared" ca="1" si="1"/>
        <v>21.88194444444451</v>
      </c>
      <c r="I81" s="100">
        <f t="shared" si="2"/>
        <v>12.000000000000002</v>
      </c>
      <c r="J81" s="100">
        <f t="shared" ca="1" si="3"/>
        <v>1955.6263888888891</v>
      </c>
      <c r="K81" s="101">
        <f t="shared" si="9"/>
        <v>94444.444444444729</v>
      </c>
      <c r="O81" s="118">
        <f t="shared" si="18"/>
        <v>20.833333333333332</v>
      </c>
      <c r="P81" s="119">
        <f t="shared" ca="1" si="16"/>
        <v>30</v>
      </c>
      <c r="Q81" s="120">
        <v>365</v>
      </c>
      <c r="AA81" s="96">
        <f t="shared" si="12"/>
        <v>43</v>
      </c>
      <c r="AB81" s="97">
        <f t="shared" si="10"/>
        <v>16337.885838167002</v>
      </c>
      <c r="AC81" s="97">
        <f t="shared" ca="1" si="13"/>
        <v>1964.7361111111111</v>
      </c>
      <c r="AE81" s="96">
        <f t="shared" si="14"/>
        <v>43</v>
      </c>
      <c r="AF81" s="97">
        <f>IFERROR(VLOOKUP(AE81,[1]Cálculos_PRICE!$A$32:$K$212,10,0),"")</f>
        <v>16337.885838167002</v>
      </c>
      <c r="AG81" s="97">
        <f ca="1">IFERROR(VLOOKUP(AE81,Cálculos_Aquisição_SAC_Fixa!A79:K352,10,0),"")</f>
        <v>1964.7361111111111</v>
      </c>
      <c r="AH81" s="97">
        <f>IFERROR(VLOOKUP(AE81,[1]Cálculos_PRICE!$A$32:$K$212,6,0),"")</f>
        <v>2063.600409497898</v>
      </c>
      <c r="AI81" s="97">
        <f>IFERROR(VLOOKUP(AE81,Cálculos_Aquisição_SAC_Fixa!A79:K352,6,0),"")</f>
        <v>694.44444444444446</v>
      </c>
      <c r="AJ81" s="97">
        <f>IFERROR(VLOOKUP(AE81,[1]Cálculos_PRICE!$A$32:$K$240,11,0),"")</f>
        <v>933977.06523252337</v>
      </c>
      <c r="AK81" s="97">
        <f>IFERROR(VLOOKUP(AE81,Cálculos_Aquisição_SAC_Fixa!A79:K352,11,0),"")</f>
        <v>95138.888888889167</v>
      </c>
      <c r="AW81" s="132"/>
    </row>
    <row r="82" spans="1:49" ht="15.5" x14ac:dyDescent="0.35">
      <c r="A82" s="98">
        <f t="shared" si="11"/>
        <v>45</v>
      </c>
      <c r="B82" s="99">
        <f t="shared" ca="1" si="4"/>
        <v>47427</v>
      </c>
      <c r="C82" s="100">
        <f t="shared" si="5"/>
        <v>94444.444444444729</v>
      </c>
      <c r="D82" s="100">
        <f t="shared" si="6"/>
        <v>1218.3399999999999</v>
      </c>
      <c r="E82" s="100">
        <f t="shared" si="7"/>
        <v>95662.784444444726</v>
      </c>
      <c r="F82" s="100">
        <f t="shared" si="0"/>
        <v>694.44444444444446</v>
      </c>
      <c r="G82" s="100">
        <f t="shared" si="8"/>
        <v>1912.7844444444445</v>
      </c>
      <c r="H82" s="100">
        <f t="shared" ca="1" si="1"/>
        <v>21.722222222222289</v>
      </c>
      <c r="I82" s="100">
        <f t="shared" si="2"/>
        <v>12.000000000000002</v>
      </c>
      <c r="J82" s="100">
        <f t="shared" ca="1" si="3"/>
        <v>1946.5066666666669</v>
      </c>
      <c r="K82" s="101">
        <f t="shared" si="9"/>
        <v>93750.000000000291</v>
      </c>
      <c r="O82" s="118">
        <f t="shared" si="18"/>
        <v>20.833333333333332</v>
      </c>
      <c r="P82" s="119">
        <f t="shared" ca="1" si="16"/>
        <v>31</v>
      </c>
      <c r="Q82" s="120">
        <v>365</v>
      </c>
      <c r="AA82" s="96">
        <f t="shared" si="12"/>
        <v>44</v>
      </c>
      <c r="AB82" s="97">
        <f t="shared" si="10"/>
        <v>16337.42689343593</v>
      </c>
      <c r="AC82" s="97">
        <f t="shared" ca="1" si="13"/>
        <v>1955.6263888888891</v>
      </c>
      <c r="AE82" s="96">
        <f t="shared" si="14"/>
        <v>44</v>
      </c>
      <c r="AF82" s="97">
        <f>IFERROR(VLOOKUP(AE82,[1]Cálculos_PRICE!$A$32:$K$212,10,0),"")</f>
        <v>16337.42689343593</v>
      </c>
      <c r="AG82" s="97">
        <f ca="1">IFERROR(VLOOKUP(AE82,Cálculos_Aquisição_SAC_Fixa!A80:K353,10,0),"")</f>
        <v>1955.6263888888891</v>
      </c>
      <c r="AH82" s="97">
        <f>IFERROR(VLOOKUP(AE82,[1]Cálculos_PRICE!$A$32:$K$212,6,0),"")</f>
        <v>2094.5544156403666</v>
      </c>
      <c r="AI82" s="97">
        <f>IFERROR(VLOOKUP(AE82,Cálculos_Aquisição_SAC_Fixa!A80:K353,6,0),"")</f>
        <v>694.44444444444446</v>
      </c>
      <c r="AJ82" s="97">
        <f>IFERROR(VLOOKUP(AE82,[1]Cálculos_PRICE!$A$32:$K$240,11,0),"")</f>
        <v>931882.51081688295</v>
      </c>
      <c r="AK82" s="97">
        <f>IFERROR(VLOOKUP(AE82,Cálculos_Aquisição_SAC_Fixa!A80:K353,11,0),"")</f>
        <v>94444.444444444729</v>
      </c>
      <c r="AW82" s="132"/>
    </row>
    <row r="83" spans="1:49" ht="15.5" x14ac:dyDescent="0.35">
      <c r="A83" s="98">
        <f t="shared" si="11"/>
        <v>46</v>
      </c>
      <c r="B83" s="99">
        <f t="shared" ca="1" si="4"/>
        <v>47457</v>
      </c>
      <c r="C83" s="100">
        <f t="shared" si="5"/>
        <v>93750.000000000291</v>
      </c>
      <c r="D83" s="100">
        <f t="shared" si="6"/>
        <v>1209.3799999999999</v>
      </c>
      <c r="E83" s="100">
        <f t="shared" si="7"/>
        <v>94959.380000000296</v>
      </c>
      <c r="F83" s="100">
        <f t="shared" si="0"/>
        <v>694.44444444444446</v>
      </c>
      <c r="G83" s="100">
        <f t="shared" si="8"/>
        <v>1903.8244444444445</v>
      </c>
      <c r="H83" s="100">
        <f t="shared" ca="1" si="1"/>
        <v>21.562500000000068</v>
      </c>
      <c r="I83" s="100">
        <f t="shared" si="2"/>
        <v>12.000000000000002</v>
      </c>
      <c r="J83" s="100">
        <f t="shared" ca="1" si="3"/>
        <v>1937.3869444444445</v>
      </c>
      <c r="K83" s="101">
        <f t="shared" si="9"/>
        <v>93055.555555555853</v>
      </c>
      <c r="O83" s="118">
        <f t="shared" si="18"/>
        <v>20.833333333333332</v>
      </c>
      <c r="P83" s="119">
        <f t="shared" ca="1" si="16"/>
        <v>30</v>
      </c>
      <c r="Q83" s="120">
        <v>365</v>
      </c>
      <c r="AA83" s="96">
        <f t="shared" si="12"/>
        <v>45</v>
      </c>
      <c r="AB83" s="97">
        <f t="shared" si="10"/>
        <v>16336.961064533891</v>
      </c>
      <c r="AC83" s="97">
        <f t="shared" ca="1" si="13"/>
        <v>1946.5066666666669</v>
      </c>
      <c r="AE83" s="96">
        <f t="shared" si="14"/>
        <v>45</v>
      </c>
      <c r="AF83" s="97">
        <f>IFERROR(VLOOKUP(AE83,[1]Cálculos_PRICE!$A$32:$K$212,10,0),"")</f>
        <v>16336.961064533891</v>
      </c>
      <c r="AG83" s="97">
        <f ca="1">IFERROR(VLOOKUP(AE83,Cálculos_Aquisição_SAC_Fixa!A81:K354,10,0),"")</f>
        <v>1946.5066666666669</v>
      </c>
      <c r="AH83" s="97">
        <f>IFERROR(VLOOKUP(AE83,[1]Cálculos_PRICE!$A$32:$K$212,6,0),"")</f>
        <v>2125.9727318749738</v>
      </c>
      <c r="AI83" s="97">
        <f>IFERROR(VLOOKUP(AE83,Cálculos_Aquisição_SAC_Fixa!A81:K354,6,0),"")</f>
        <v>694.44444444444446</v>
      </c>
      <c r="AJ83" s="97">
        <f>IFERROR(VLOOKUP(AE83,[1]Cálculos_PRICE!$A$32:$K$240,11,0),"")</f>
        <v>929756.53808500792</v>
      </c>
      <c r="AK83" s="97">
        <f>IFERROR(VLOOKUP(AE83,Cálculos_Aquisição_SAC_Fixa!A81:K354,11,0),"")</f>
        <v>93750.000000000291</v>
      </c>
      <c r="AW83" s="132"/>
    </row>
    <row r="84" spans="1:49" ht="15.5" x14ac:dyDescent="0.35">
      <c r="A84" s="98">
        <f t="shared" si="11"/>
        <v>47</v>
      </c>
      <c r="B84" s="99">
        <f t="shared" ca="1" si="4"/>
        <v>47488</v>
      </c>
      <c r="C84" s="100">
        <f t="shared" si="5"/>
        <v>93055.555555555853</v>
      </c>
      <c r="D84" s="100">
        <f t="shared" si="6"/>
        <v>1200.42</v>
      </c>
      <c r="E84" s="100">
        <f t="shared" si="7"/>
        <v>94255.975555555851</v>
      </c>
      <c r="F84" s="100">
        <f t="shared" si="0"/>
        <v>694.44444444444446</v>
      </c>
      <c r="G84" s="100">
        <f t="shared" si="8"/>
        <v>1894.8644444444444</v>
      </c>
      <c r="H84" s="100">
        <f t="shared" ca="1" si="1"/>
        <v>21.402777777777846</v>
      </c>
      <c r="I84" s="100">
        <f t="shared" si="2"/>
        <v>12.000000000000002</v>
      </c>
      <c r="J84" s="100">
        <f t="shared" ca="1" si="3"/>
        <v>1928.2672222222222</v>
      </c>
      <c r="K84" s="101">
        <f t="shared" si="9"/>
        <v>92361.111111111415</v>
      </c>
      <c r="O84" s="118">
        <f t="shared" si="18"/>
        <v>20.833333333333332</v>
      </c>
      <c r="P84" s="119">
        <f t="shared" ca="1" si="16"/>
        <v>31</v>
      </c>
      <c r="Q84" s="120">
        <v>365</v>
      </c>
      <c r="AA84" s="96">
        <f t="shared" si="12"/>
        <v>46</v>
      </c>
      <c r="AB84" s="97">
        <f t="shared" si="10"/>
        <v>16336.488248198322</v>
      </c>
      <c r="AC84" s="97">
        <f t="shared" ca="1" si="13"/>
        <v>1937.3869444444445</v>
      </c>
      <c r="AE84" s="96">
        <f t="shared" si="14"/>
        <v>46</v>
      </c>
      <c r="AF84" s="97">
        <f>IFERROR(VLOOKUP(AE84,[1]Cálculos_PRICE!$A$32:$K$212,10,0),"")</f>
        <v>16336.488248198322</v>
      </c>
      <c r="AG84" s="97">
        <f ca="1">IFERROR(VLOOKUP(AE84,Cálculos_Aquisição_SAC_Fixa!A82:K355,10,0),"")</f>
        <v>1937.3869444444445</v>
      </c>
      <c r="AH84" s="97">
        <f>IFERROR(VLOOKUP(AE84,[1]Cálculos_PRICE!$A$32:$K$212,6,0),"")</f>
        <v>2157.8623228530978</v>
      </c>
      <c r="AI84" s="97">
        <f>IFERROR(VLOOKUP(AE84,Cálculos_Aquisição_SAC_Fixa!A82:K355,6,0),"")</f>
        <v>694.44444444444446</v>
      </c>
      <c r="AJ84" s="97">
        <f>IFERROR(VLOOKUP(AE84,[1]Cálculos_PRICE!$A$32:$K$240,11,0),"")</f>
        <v>927598.67576215486</v>
      </c>
      <c r="AK84" s="97">
        <f>IFERROR(VLOOKUP(AE84,Cálculos_Aquisição_SAC_Fixa!A82:K355,11,0),"")</f>
        <v>93055.555555555853</v>
      </c>
      <c r="AW84" s="132"/>
    </row>
    <row r="85" spans="1:49" ht="15.5" x14ac:dyDescent="0.35">
      <c r="A85" s="98">
        <f t="shared" si="11"/>
        <v>48</v>
      </c>
      <c r="B85" s="99">
        <f t="shared" ca="1" si="4"/>
        <v>47519</v>
      </c>
      <c r="C85" s="100">
        <f t="shared" si="5"/>
        <v>92361.111111111415</v>
      </c>
      <c r="D85" s="100">
        <f t="shared" si="6"/>
        <v>1191.46</v>
      </c>
      <c r="E85" s="100">
        <f t="shared" si="7"/>
        <v>93552.571111111421</v>
      </c>
      <c r="F85" s="100">
        <f t="shared" si="0"/>
        <v>694.44444444444446</v>
      </c>
      <c r="G85" s="100">
        <f t="shared" si="8"/>
        <v>1885.9044444444444</v>
      </c>
      <c r="H85" s="100">
        <f t="shared" ca="1" si="1"/>
        <v>21.243055555555625</v>
      </c>
      <c r="I85" s="100">
        <f t="shared" si="2"/>
        <v>12.000000000000002</v>
      </c>
      <c r="J85" s="100">
        <f t="shared" ca="1" si="3"/>
        <v>1919.1475</v>
      </c>
      <c r="K85" s="101">
        <f t="shared" si="9"/>
        <v>91666.666666666977</v>
      </c>
      <c r="O85" s="118">
        <f t="shared" si="18"/>
        <v>20.833333333333332</v>
      </c>
      <c r="P85" s="119">
        <f t="shared" ca="1" si="16"/>
        <v>31</v>
      </c>
      <c r="Q85" s="120">
        <v>365</v>
      </c>
      <c r="AA85" s="96">
        <f t="shared" si="12"/>
        <v>47</v>
      </c>
      <c r="AB85" s="97">
        <f t="shared" si="10"/>
        <v>16336.00833961772</v>
      </c>
      <c r="AC85" s="97">
        <f t="shared" ca="1" si="13"/>
        <v>1928.2672222222222</v>
      </c>
      <c r="AE85" s="96">
        <f t="shared" si="14"/>
        <v>47</v>
      </c>
      <c r="AF85" s="97">
        <f>IFERROR(VLOOKUP(AE85,[1]Cálculos_PRICE!$A$32:$K$212,10,0),"")</f>
        <v>16336.00833961772</v>
      </c>
      <c r="AG85" s="97">
        <f ca="1">IFERROR(VLOOKUP(AE85,Cálculos_Aquisição_SAC_Fixa!A83:K356,10,0),"")</f>
        <v>1928.2672222222222</v>
      </c>
      <c r="AH85" s="97">
        <f>IFERROR(VLOOKUP(AE85,[1]Cálculos_PRICE!$A$32:$K$212,6,0),"")</f>
        <v>2190.2302576958937</v>
      </c>
      <c r="AI85" s="97">
        <f>IFERROR(VLOOKUP(AE85,Cálculos_Aquisição_SAC_Fixa!A83:K356,6,0),"")</f>
        <v>694.44444444444446</v>
      </c>
      <c r="AJ85" s="97">
        <f>IFERROR(VLOOKUP(AE85,[1]Cálculos_PRICE!$A$32:$K$240,11,0),"")</f>
        <v>925408.44550445897</v>
      </c>
      <c r="AK85" s="97">
        <f>IFERROR(VLOOKUP(AE85,Cálculos_Aquisição_SAC_Fixa!A83:K356,11,0),"")</f>
        <v>92361.111111111415</v>
      </c>
      <c r="AW85" s="132"/>
    </row>
    <row r="86" spans="1:49" ht="15.5" x14ac:dyDescent="0.35">
      <c r="A86" s="98">
        <f t="shared" si="11"/>
        <v>49</v>
      </c>
      <c r="B86" s="99">
        <f t="shared" ca="1" si="4"/>
        <v>47547</v>
      </c>
      <c r="C86" s="100">
        <f t="shared" si="5"/>
        <v>91666.666666666977</v>
      </c>
      <c r="D86" s="100">
        <f t="shared" si="6"/>
        <v>1182.5</v>
      </c>
      <c r="E86" s="100">
        <f t="shared" si="7"/>
        <v>92849.166666666977</v>
      </c>
      <c r="F86" s="100">
        <f t="shared" si="0"/>
        <v>694.44444444444446</v>
      </c>
      <c r="G86" s="100">
        <f t="shared" si="8"/>
        <v>1876.9444444444443</v>
      </c>
      <c r="H86" s="100">
        <f t="shared" ca="1" si="1"/>
        <v>21.083333333333407</v>
      </c>
      <c r="I86" s="100">
        <f t="shared" si="2"/>
        <v>12.000000000000002</v>
      </c>
      <c r="J86" s="100">
        <f t="shared" ca="1" si="3"/>
        <v>1910.0277777777778</v>
      </c>
      <c r="K86" s="101">
        <f t="shared" si="9"/>
        <v>90972.222222222539</v>
      </c>
      <c r="O86" s="118">
        <f t="shared" si="18"/>
        <v>20.833333333333332</v>
      </c>
      <c r="P86" s="119">
        <f t="shared" ca="1" si="16"/>
        <v>30</v>
      </c>
      <c r="Q86" s="120">
        <v>365</v>
      </c>
      <c r="AA86" s="96">
        <f t="shared" si="12"/>
        <v>48</v>
      </c>
      <c r="AB86" s="97">
        <f t="shared" si="10"/>
        <v>16335.521232408408</v>
      </c>
      <c r="AC86" s="97">
        <f t="shared" ca="1" si="13"/>
        <v>1919.1475</v>
      </c>
      <c r="AE86" s="96">
        <f t="shared" si="14"/>
        <v>48</v>
      </c>
      <c r="AF86" s="97">
        <f>IFERROR(VLOOKUP(AE86,[1]Cálculos_PRICE!$A$32:$K$212,10,0),"")</f>
        <v>16335.521232408408</v>
      </c>
      <c r="AG86" s="97">
        <f ca="1">IFERROR(VLOOKUP(AE86,Cálculos_Aquisição_SAC_Fixa!A84:K357,10,0),"")</f>
        <v>1919.1475</v>
      </c>
      <c r="AH86" s="97">
        <f>IFERROR(VLOOKUP(AE86,[1]Cálculos_PRICE!$A$32:$K$212,6,0),"")</f>
        <v>2223.0837115613322</v>
      </c>
      <c r="AI86" s="97">
        <f>IFERROR(VLOOKUP(AE86,Cálculos_Aquisição_SAC_Fixa!A84:K357,6,0),"")</f>
        <v>694.44444444444446</v>
      </c>
      <c r="AJ86" s="97">
        <f>IFERROR(VLOOKUP(AE86,[1]Cálculos_PRICE!$A$32:$K$240,11,0),"")</f>
        <v>923185.36179289769</v>
      </c>
      <c r="AK86" s="97">
        <f>IFERROR(VLOOKUP(AE86,Cálculos_Aquisição_SAC_Fixa!A84:K357,11,0),"")</f>
        <v>91666.666666666977</v>
      </c>
      <c r="AW86" s="132"/>
    </row>
    <row r="87" spans="1:49" ht="15.5" x14ac:dyDescent="0.35">
      <c r="A87" s="98">
        <f t="shared" si="11"/>
        <v>50</v>
      </c>
      <c r="B87" s="99">
        <f t="shared" ca="1" si="4"/>
        <v>47578</v>
      </c>
      <c r="C87" s="100">
        <f t="shared" si="5"/>
        <v>90972.222222222539</v>
      </c>
      <c r="D87" s="100">
        <f t="shared" si="6"/>
        <v>1173.55</v>
      </c>
      <c r="E87" s="100">
        <f t="shared" si="7"/>
        <v>92145.772222222542</v>
      </c>
      <c r="F87" s="100">
        <f t="shared" si="0"/>
        <v>694.44444444444446</v>
      </c>
      <c r="G87" s="100">
        <f t="shared" si="8"/>
        <v>1867.9944444444445</v>
      </c>
      <c r="H87" s="100">
        <f t="shared" ca="1" si="1"/>
        <v>20.923611111111185</v>
      </c>
      <c r="I87" s="100">
        <f t="shared" si="2"/>
        <v>12.000000000000002</v>
      </c>
      <c r="J87" s="100">
        <f t="shared" ca="1" si="3"/>
        <v>1900.9180555555556</v>
      </c>
      <c r="K87" s="101">
        <f t="shared" si="9"/>
        <v>90277.777777778101</v>
      </c>
      <c r="O87" s="118">
        <f t="shared" si="18"/>
        <v>20.833333333333332</v>
      </c>
      <c r="P87" s="119">
        <f t="shared" ca="1" si="16"/>
        <v>31</v>
      </c>
      <c r="Q87" s="120">
        <v>365</v>
      </c>
      <c r="AA87" s="96">
        <f t="shared" si="12"/>
        <v>49</v>
      </c>
      <c r="AB87" s="97">
        <f t="shared" si="10"/>
        <v>16335.026818590957</v>
      </c>
      <c r="AC87" s="97">
        <f t="shared" ca="1" si="13"/>
        <v>1910.0277777777778</v>
      </c>
      <c r="AE87" s="96">
        <f t="shared" si="14"/>
        <v>49</v>
      </c>
      <c r="AF87" s="97">
        <f>IFERROR(VLOOKUP(AE87,[1]Cálculos_PRICE!$A$32:$K$212,10,0),"")</f>
        <v>16335.026818590957</v>
      </c>
      <c r="AG87" s="97">
        <f ca="1">IFERROR(VLOOKUP(AE87,Cálculos_Aquisição_SAC_Fixa!A85:K358,10,0),"")</f>
        <v>1910.0277777777778</v>
      </c>
      <c r="AH87" s="97">
        <f>IFERROR(VLOOKUP(AE87,[1]Cálculos_PRICE!$A$32:$K$212,6,0),"")</f>
        <v>2256.4299672347515</v>
      </c>
      <c r="AI87" s="97">
        <f>IFERROR(VLOOKUP(AE87,Cálculos_Aquisição_SAC_Fixa!A85:K358,6,0),"")</f>
        <v>694.44444444444446</v>
      </c>
      <c r="AJ87" s="97">
        <f>IFERROR(VLOOKUP(AE87,[1]Cálculos_PRICE!$A$32:$K$240,11,0),"")</f>
        <v>920928.93182566296</v>
      </c>
      <c r="AK87" s="97">
        <f>IFERROR(VLOOKUP(AE87,Cálculos_Aquisição_SAC_Fixa!A85:K358,11,0),"")</f>
        <v>90972.222222222539</v>
      </c>
      <c r="AW87" s="132"/>
    </row>
    <row r="88" spans="1:49" ht="15.5" x14ac:dyDescent="0.35">
      <c r="A88" s="98">
        <f t="shared" si="11"/>
        <v>51</v>
      </c>
      <c r="B88" s="99">
        <f t="shared" ca="1" si="4"/>
        <v>47608</v>
      </c>
      <c r="C88" s="100">
        <f t="shared" si="5"/>
        <v>90277.777777778101</v>
      </c>
      <c r="D88" s="100">
        <f t="shared" si="6"/>
        <v>1164.5899999999999</v>
      </c>
      <c r="E88" s="100">
        <f t="shared" si="7"/>
        <v>91442.367777778098</v>
      </c>
      <c r="F88" s="100">
        <f t="shared" si="0"/>
        <v>694.44444444444446</v>
      </c>
      <c r="G88" s="100">
        <f t="shared" si="8"/>
        <v>1859.0344444444445</v>
      </c>
      <c r="H88" s="100">
        <f t="shared" ca="1" si="1"/>
        <v>20.763888888888964</v>
      </c>
      <c r="I88" s="100">
        <f t="shared" si="2"/>
        <v>12.000000000000002</v>
      </c>
      <c r="J88" s="100">
        <f t="shared" ca="1" si="3"/>
        <v>1891.7983333333334</v>
      </c>
      <c r="K88" s="101">
        <f t="shared" si="9"/>
        <v>89583.333333333663</v>
      </c>
      <c r="O88" s="118">
        <f t="shared" si="18"/>
        <v>20.833333333333332</v>
      </c>
      <c r="P88" s="119">
        <f t="shared" ca="1" si="16"/>
        <v>30</v>
      </c>
      <c r="Q88" s="120">
        <v>365</v>
      </c>
      <c r="S88" s="137" t="s">
        <v>51</v>
      </c>
      <c r="T88" s="137" t="s">
        <v>53</v>
      </c>
      <c r="U88" s="137" t="s">
        <v>43</v>
      </c>
      <c r="AA88" s="96">
        <f t="shared" si="12"/>
        <v>50</v>
      </c>
      <c r="AB88" s="97">
        <f t="shared" si="10"/>
        <v>16334.524988566243</v>
      </c>
      <c r="AC88" s="97">
        <f t="shared" ca="1" si="13"/>
        <v>1900.9180555555556</v>
      </c>
      <c r="AE88" s="96">
        <f t="shared" si="14"/>
        <v>50</v>
      </c>
      <c r="AF88" s="97">
        <f>IFERROR(VLOOKUP(AE88,[1]Cálculos_PRICE!$A$32:$K$212,10,0),"")</f>
        <v>16334.524988566243</v>
      </c>
      <c r="AG88" s="97">
        <f ca="1">IFERROR(VLOOKUP(AE88,Cálculos_Aquisição_SAC_Fixa!A86:K359,10,0),"")</f>
        <v>1900.9180555555556</v>
      </c>
      <c r="AH88" s="97">
        <f>IFERROR(VLOOKUP(AE88,[1]Cálculos_PRICE!$A$32:$K$212,6,0),"")</f>
        <v>2290.2764167432724</v>
      </c>
      <c r="AI88" s="97">
        <f>IFERROR(VLOOKUP(AE88,Cálculos_Aquisição_SAC_Fixa!A86:K359,6,0),"")</f>
        <v>694.44444444444446</v>
      </c>
      <c r="AJ88" s="97">
        <f>IFERROR(VLOOKUP(AE88,[1]Cálculos_PRICE!$A$32:$K$240,11,0),"")</f>
        <v>918638.65540891967</v>
      </c>
      <c r="AK88" s="97">
        <f>IFERROR(VLOOKUP(AE88,Cálculos_Aquisição_SAC_Fixa!A86:K359,11,0),"")</f>
        <v>90277.777777778101</v>
      </c>
      <c r="AW88" s="132"/>
    </row>
    <row r="89" spans="1:49" ht="15.5" x14ac:dyDescent="0.35">
      <c r="A89" s="98">
        <f t="shared" si="11"/>
        <v>52</v>
      </c>
      <c r="B89" s="99">
        <f t="shared" ca="1" si="4"/>
        <v>47639</v>
      </c>
      <c r="C89" s="100">
        <f t="shared" si="5"/>
        <v>89583.333333333663</v>
      </c>
      <c r="D89" s="100">
        <f t="shared" si="6"/>
        <v>1155.6299999999999</v>
      </c>
      <c r="E89" s="100">
        <f t="shared" si="7"/>
        <v>90738.963333333668</v>
      </c>
      <c r="F89" s="100">
        <f t="shared" si="0"/>
        <v>694.44444444444446</v>
      </c>
      <c r="G89" s="100">
        <f t="shared" si="8"/>
        <v>1850.0744444444445</v>
      </c>
      <c r="H89" s="100">
        <f t="shared" ca="1" si="1"/>
        <v>20.604166666666742</v>
      </c>
      <c r="I89" s="100">
        <f t="shared" si="2"/>
        <v>12.000000000000002</v>
      </c>
      <c r="J89" s="100">
        <f t="shared" ca="1" si="3"/>
        <v>1882.6786111111112</v>
      </c>
      <c r="K89" s="101">
        <f t="shared" si="9"/>
        <v>88888.888888889225</v>
      </c>
      <c r="O89" s="118">
        <f t="shared" si="18"/>
        <v>20.833333333333332</v>
      </c>
      <c r="P89" s="119">
        <f t="shared" ca="1" si="16"/>
        <v>31</v>
      </c>
      <c r="Q89" s="120">
        <v>365</v>
      </c>
      <c r="S89" s="123">
        <v>18</v>
      </c>
      <c r="T89" s="137">
        <v>1.284E-4</v>
      </c>
      <c r="U89" s="137" t="s">
        <v>75</v>
      </c>
      <c r="AA89" s="96">
        <f t="shared" si="12"/>
        <v>51</v>
      </c>
      <c r="AB89" s="97">
        <f t="shared" si="10"/>
        <v>16334.015631091161</v>
      </c>
      <c r="AC89" s="97">
        <f t="shared" ca="1" si="13"/>
        <v>1891.7983333333334</v>
      </c>
      <c r="AE89" s="96">
        <f t="shared" si="14"/>
        <v>51</v>
      </c>
      <c r="AF89" s="97">
        <f>IFERROR(VLOOKUP(AE89,[1]Cálculos_PRICE!$A$32:$K$212,10,0),"")</f>
        <v>16334.015631091161</v>
      </c>
      <c r="AG89" s="97">
        <f ca="1">IFERROR(VLOOKUP(AE89,Cálculos_Aquisição_SAC_Fixa!A87:K360,10,0),"")</f>
        <v>1891.7983333333334</v>
      </c>
      <c r="AH89" s="97">
        <f>IFERROR(VLOOKUP(AE89,[1]Cálculos_PRICE!$A$32:$K$212,6,0),"")</f>
        <v>2324.6305629944218</v>
      </c>
      <c r="AI89" s="97">
        <f>IFERROR(VLOOKUP(AE89,Cálculos_Aquisição_SAC_Fixa!A87:K360,6,0),"")</f>
        <v>694.44444444444446</v>
      </c>
      <c r="AJ89" s="97">
        <f>IFERROR(VLOOKUP(AE89,[1]Cálculos_PRICE!$A$32:$K$240,11,0),"")</f>
        <v>916314.02484592528</v>
      </c>
      <c r="AK89" s="97">
        <f>IFERROR(VLOOKUP(AE89,Cálculos_Aquisição_SAC_Fixa!A87:K360,11,0),"")</f>
        <v>89583.333333333663</v>
      </c>
      <c r="AW89" s="132"/>
    </row>
    <row r="90" spans="1:49" ht="15.5" x14ac:dyDescent="0.35">
      <c r="A90" s="98">
        <f t="shared" si="11"/>
        <v>53</v>
      </c>
      <c r="B90" s="99">
        <f t="shared" ca="1" si="4"/>
        <v>47669</v>
      </c>
      <c r="C90" s="100">
        <f t="shared" si="5"/>
        <v>88888.888888889225</v>
      </c>
      <c r="D90" s="100">
        <f t="shared" si="6"/>
        <v>1146.67</v>
      </c>
      <c r="E90" s="100">
        <f t="shared" si="7"/>
        <v>90035.558888889223</v>
      </c>
      <c r="F90" s="100">
        <f t="shared" si="0"/>
        <v>694.44444444444446</v>
      </c>
      <c r="G90" s="100">
        <f t="shared" si="8"/>
        <v>1841.1144444444444</v>
      </c>
      <c r="H90" s="100">
        <f t="shared" ca="1" si="1"/>
        <v>20.444444444444521</v>
      </c>
      <c r="I90" s="100">
        <f t="shared" si="2"/>
        <v>12.000000000000002</v>
      </c>
      <c r="J90" s="100">
        <f t="shared" ca="1" si="3"/>
        <v>1873.558888888889</v>
      </c>
      <c r="K90" s="101">
        <f t="shared" si="9"/>
        <v>88194.444444444787</v>
      </c>
      <c r="O90" s="118">
        <f t="shared" si="18"/>
        <v>20.833333333333332</v>
      </c>
      <c r="P90" s="119">
        <f t="shared" ca="1" si="16"/>
        <v>31</v>
      </c>
      <c r="Q90" s="120">
        <v>365</v>
      </c>
      <c r="S90" s="123">
        <v>19</v>
      </c>
      <c r="T90" s="137">
        <v>1.284E-4</v>
      </c>
      <c r="U90" s="137" t="s">
        <v>75</v>
      </c>
      <c r="AA90" s="96">
        <f t="shared" si="12"/>
        <v>52</v>
      </c>
      <c r="AB90" s="97">
        <f t="shared" si="10"/>
        <v>16333.49863325395</v>
      </c>
      <c r="AC90" s="97">
        <f t="shared" ca="1" si="13"/>
        <v>1882.6786111111112</v>
      </c>
      <c r="AE90" s="96">
        <f t="shared" si="14"/>
        <v>52</v>
      </c>
      <c r="AF90" s="97">
        <f>IFERROR(VLOOKUP(AE90,[1]Cálculos_PRICE!$A$32:$K$212,10,0),"")</f>
        <v>16333.49863325395</v>
      </c>
      <c r="AG90" s="97">
        <f ca="1">IFERROR(VLOOKUP(AE90,Cálculos_Aquisição_SAC_Fixa!A88:K361,10,0),"")</f>
        <v>1882.6786111111112</v>
      </c>
      <c r="AH90" s="97">
        <f>IFERROR(VLOOKUP(AE90,[1]Cálculos_PRICE!$A$32:$K$212,6,0),"")</f>
        <v>2359.5000214393385</v>
      </c>
      <c r="AI90" s="97">
        <f>IFERROR(VLOOKUP(AE90,Cálculos_Aquisição_SAC_Fixa!A88:K361,6,0),"")</f>
        <v>694.44444444444446</v>
      </c>
      <c r="AJ90" s="97">
        <f>IFERROR(VLOOKUP(AE90,[1]Cálculos_PRICE!$A$32:$K$240,11,0),"")</f>
        <v>913954.52482448588</v>
      </c>
      <c r="AK90" s="97">
        <f>IFERROR(VLOOKUP(AE90,Cálculos_Aquisição_SAC_Fixa!A88:K361,11,0),"")</f>
        <v>88888.888888889225</v>
      </c>
      <c r="AW90" s="132"/>
    </row>
    <row r="91" spans="1:49" ht="15.5" x14ac:dyDescent="0.35">
      <c r="A91" s="98">
        <f t="shared" si="11"/>
        <v>54</v>
      </c>
      <c r="B91" s="99">
        <f t="shared" ca="1" si="4"/>
        <v>47700</v>
      </c>
      <c r="C91" s="100">
        <f t="shared" si="5"/>
        <v>88194.444444444787</v>
      </c>
      <c r="D91" s="100">
        <f t="shared" si="6"/>
        <v>1137.71</v>
      </c>
      <c r="E91" s="100">
        <f t="shared" si="7"/>
        <v>89332.154444444794</v>
      </c>
      <c r="F91" s="100">
        <f t="shared" si="0"/>
        <v>694.44444444444446</v>
      </c>
      <c r="G91" s="100">
        <f t="shared" si="8"/>
        <v>1832.1544444444444</v>
      </c>
      <c r="H91" s="100">
        <f t="shared" ca="1" si="1"/>
        <v>20.284722222222303</v>
      </c>
      <c r="I91" s="100">
        <f t="shared" si="2"/>
        <v>12.000000000000002</v>
      </c>
      <c r="J91" s="100">
        <f t="shared" ca="1" si="3"/>
        <v>1864.4391666666668</v>
      </c>
      <c r="K91" s="101">
        <f t="shared" si="9"/>
        <v>87500.000000000349</v>
      </c>
      <c r="O91" s="118">
        <f t="shared" si="18"/>
        <v>20.833333333333332</v>
      </c>
      <c r="P91" s="119">
        <f t="shared" ca="1" si="16"/>
        <v>28</v>
      </c>
      <c r="Q91" s="120">
        <v>365</v>
      </c>
      <c r="S91" s="123">
        <v>20</v>
      </c>
      <c r="T91" s="137">
        <v>1.284E-4</v>
      </c>
      <c r="U91" s="137" t="s">
        <v>75</v>
      </c>
      <c r="AA91" s="96">
        <f t="shared" si="12"/>
        <v>53</v>
      </c>
      <c r="AB91" s="97">
        <f t="shared" si="10"/>
        <v>16332.973880449183</v>
      </c>
      <c r="AC91" s="97">
        <f t="shared" ca="1" si="13"/>
        <v>1873.558888888889</v>
      </c>
      <c r="AE91" s="96">
        <f t="shared" si="14"/>
        <v>53</v>
      </c>
      <c r="AF91" s="97">
        <f>IFERROR(VLOOKUP(AE91,[1]Cálculos_PRICE!$A$32:$K$212,10,0),"")</f>
        <v>16332.973880449183</v>
      </c>
      <c r="AG91" s="97">
        <f ca="1">IFERROR(VLOOKUP(AE91,Cálculos_Aquisição_SAC_Fixa!A89:K362,10,0),"")</f>
        <v>1873.558888888889</v>
      </c>
      <c r="AH91" s="97">
        <f>IFERROR(VLOOKUP(AE91,[1]Cálculos_PRICE!$A$32:$K$212,6,0),"")</f>
        <v>2394.8925217609285</v>
      </c>
      <c r="AI91" s="97">
        <f>IFERROR(VLOOKUP(AE91,Cálculos_Aquisição_SAC_Fixa!A89:K362,6,0),"")</f>
        <v>694.44444444444446</v>
      </c>
      <c r="AJ91" s="97">
        <f>IFERROR(VLOOKUP(AE91,[1]Cálculos_PRICE!$A$32:$K$240,11,0),"")</f>
        <v>911559.63230272499</v>
      </c>
      <c r="AK91" s="97">
        <f>IFERROR(VLOOKUP(AE91,Cálculos_Aquisição_SAC_Fixa!A89:K362,11,0),"")</f>
        <v>88194.444444444787</v>
      </c>
      <c r="AW91" s="132"/>
    </row>
    <row r="92" spans="1:49" ht="15.5" x14ac:dyDescent="0.35">
      <c r="A92" s="98">
        <f t="shared" si="11"/>
        <v>55</v>
      </c>
      <c r="B92" s="99">
        <f t="shared" ca="1" si="4"/>
        <v>47731</v>
      </c>
      <c r="C92" s="100">
        <f t="shared" si="5"/>
        <v>87500.000000000349</v>
      </c>
      <c r="D92" s="100">
        <f t="shared" si="6"/>
        <v>1128.75</v>
      </c>
      <c r="E92" s="100">
        <f t="shared" si="7"/>
        <v>88628.750000000349</v>
      </c>
      <c r="F92" s="100">
        <f t="shared" si="0"/>
        <v>694.44444444444446</v>
      </c>
      <c r="G92" s="100">
        <f t="shared" si="8"/>
        <v>1823.1944444444443</v>
      </c>
      <c r="H92" s="100">
        <f t="shared" ca="1" si="1"/>
        <v>20.125000000000082</v>
      </c>
      <c r="I92" s="100">
        <f t="shared" si="2"/>
        <v>12.000000000000002</v>
      </c>
      <c r="J92" s="100">
        <f t="shared" ca="1" si="3"/>
        <v>1855.3194444444443</v>
      </c>
      <c r="K92" s="101">
        <f t="shared" si="9"/>
        <v>86805.555555555911</v>
      </c>
      <c r="O92" s="118">
        <f t="shared" si="18"/>
        <v>20.833333333333332</v>
      </c>
      <c r="P92" s="119">
        <f t="shared" ca="1" si="16"/>
        <v>31</v>
      </c>
      <c r="Q92" s="120">
        <v>365</v>
      </c>
      <c r="S92" s="123">
        <v>21</v>
      </c>
      <c r="T92" s="137">
        <v>1.284E-4</v>
      </c>
      <c r="U92" s="137" t="s">
        <v>75</v>
      </c>
      <c r="AA92" s="96">
        <f t="shared" si="12"/>
        <v>54</v>
      </c>
      <c r="AB92" s="97">
        <f t="shared" si="10"/>
        <v>16332.441256352342</v>
      </c>
      <c r="AC92" s="97">
        <f t="shared" ca="1" si="13"/>
        <v>1864.4391666666668</v>
      </c>
      <c r="AE92" s="96">
        <f t="shared" si="14"/>
        <v>54</v>
      </c>
      <c r="AF92" s="97">
        <f>IFERROR(VLOOKUP(AE92,[1]Cálculos_PRICE!$A$32:$K$212,10,0),"")</f>
        <v>16332.441256352342</v>
      </c>
      <c r="AG92" s="97">
        <f ca="1">IFERROR(VLOOKUP(AE92,Cálculos_Aquisição_SAC_Fixa!A90:K363,10,0),"")</f>
        <v>1864.4391666666668</v>
      </c>
      <c r="AH92" s="97">
        <f>IFERROR(VLOOKUP(AE92,[1]Cálculos_PRICE!$A$32:$K$212,6,0),"")</f>
        <v>2430.8159095873416</v>
      </c>
      <c r="AI92" s="97">
        <f>IFERROR(VLOOKUP(AE92,Cálculos_Aquisição_SAC_Fixa!A90:K363,6,0),"")</f>
        <v>694.44444444444446</v>
      </c>
      <c r="AJ92" s="97">
        <f>IFERROR(VLOOKUP(AE92,[1]Cálculos_PRICE!$A$32:$K$240,11,0),"")</f>
        <v>909128.81639313768</v>
      </c>
      <c r="AK92" s="97">
        <f>IFERROR(VLOOKUP(AE92,Cálculos_Aquisição_SAC_Fixa!A90:K363,11,0),"")</f>
        <v>87500.000000000349</v>
      </c>
      <c r="AW92" s="132"/>
    </row>
    <row r="93" spans="1:49" ht="15.5" x14ac:dyDescent="0.35">
      <c r="A93" s="98">
        <f t="shared" si="11"/>
        <v>56</v>
      </c>
      <c r="B93" s="99">
        <f t="shared" ca="1" si="4"/>
        <v>47761</v>
      </c>
      <c r="C93" s="100">
        <f t="shared" si="5"/>
        <v>86805.555555555911</v>
      </c>
      <c r="D93" s="100">
        <f t="shared" si="6"/>
        <v>1119.8</v>
      </c>
      <c r="E93" s="100">
        <f t="shared" si="7"/>
        <v>87925.355555555914</v>
      </c>
      <c r="F93" s="100">
        <f t="shared" si="0"/>
        <v>694.44444444444446</v>
      </c>
      <c r="G93" s="100">
        <f t="shared" si="8"/>
        <v>1814.2444444444445</v>
      </c>
      <c r="H93" s="100">
        <f t="shared" ca="1" si="1"/>
        <v>19.96527777777786</v>
      </c>
      <c r="I93" s="100">
        <f t="shared" si="2"/>
        <v>12.000000000000002</v>
      </c>
      <c r="J93" s="100">
        <f t="shared" ca="1" si="3"/>
        <v>1846.2097222222224</v>
      </c>
      <c r="K93" s="101">
        <f t="shared" si="9"/>
        <v>86111.111111111473</v>
      </c>
      <c r="O93" s="118">
        <f t="shared" si="18"/>
        <v>20.833333333333332</v>
      </c>
      <c r="P93" s="119">
        <f t="shared" ca="1" si="16"/>
        <v>30</v>
      </c>
      <c r="Q93" s="120">
        <v>365</v>
      </c>
      <c r="S93" s="123">
        <v>22</v>
      </c>
      <c r="T93" s="137">
        <v>1.284E-4</v>
      </c>
      <c r="U93" s="137" t="s">
        <v>75</v>
      </c>
      <c r="AA93" s="96">
        <f t="shared" si="12"/>
        <v>55</v>
      </c>
      <c r="AB93" s="97">
        <f t="shared" si="10"/>
        <v>16331.90064289405</v>
      </c>
      <c r="AC93" s="97">
        <f t="shared" ca="1" si="13"/>
        <v>1855.3194444444443</v>
      </c>
      <c r="AE93" s="96">
        <f t="shared" si="14"/>
        <v>55</v>
      </c>
      <c r="AF93" s="97">
        <f>IFERROR(VLOOKUP(AE93,[1]Cálculos_PRICE!$A$32:$K$212,10,0),"")</f>
        <v>16331.90064289405</v>
      </c>
      <c r="AG93" s="97">
        <f ca="1">IFERROR(VLOOKUP(AE93,Cálculos_Aquisição_SAC_Fixa!A91:K364,10,0),"")</f>
        <v>1855.3194444444443</v>
      </c>
      <c r="AH93" s="97">
        <f>IFERROR(VLOOKUP(AE93,[1]Cálculos_PRICE!$A$32:$K$212,6,0),"")</f>
        <v>2467.2781482311511</v>
      </c>
      <c r="AI93" s="97">
        <f>IFERROR(VLOOKUP(AE93,Cálculos_Aquisição_SAC_Fixa!A91:K364,6,0),"")</f>
        <v>694.44444444444446</v>
      </c>
      <c r="AJ93" s="97">
        <f>IFERROR(VLOOKUP(AE93,[1]Cálculos_PRICE!$A$32:$K$240,11,0),"")</f>
        <v>906661.53824490658</v>
      </c>
      <c r="AK93" s="97">
        <f>IFERROR(VLOOKUP(AE93,Cálculos_Aquisição_SAC_Fixa!A91:K364,11,0),"")</f>
        <v>86805.555555555911</v>
      </c>
      <c r="AW93" s="132"/>
    </row>
    <row r="94" spans="1:49" ht="15.5" x14ac:dyDescent="0.35">
      <c r="A94" s="98">
        <f t="shared" si="11"/>
        <v>57</v>
      </c>
      <c r="B94" s="99">
        <f t="shared" ca="1" si="4"/>
        <v>47792</v>
      </c>
      <c r="C94" s="100">
        <f t="shared" si="5"/>
        <v>86111.111111111473</v>
      </c>
      <c r="D94" s="100">
        <f t="shared" si="6"/>
        <v>1110.8399999999999</v>
      </c>
      <c r="E94" s="100">
        <f t="shared" si="7"/>
        <v>87221.95111111147</v>
      </c>
      <c r="F94" s="100">
        <f t="shared" si="0"/>
        <v>694.44444444444446</v>
      </c>
      <c r="G94" s="100">
        <f t="shared" si="8"/>
        <v>1805.2844444444445</v>
      </c>
      <c r="H94" s="100">
        <f t="shared" ca="1" si="1"/>
        <v>19.805555555555639</v>
      </c>
      <c r="I94" s="100">
        <f t="shared" si="2"/>
        <v>12.000000000000002</v>
      </c>
      <c r="J94" s="100">
        <f t="shared" ca="1" si="3"/>
        <v>1837.0900000000001</v>
      </c>
      <c r="K94" s="101">
        <f t="shared" si="9"/>
        <v>85416.666666667035</v>
      </c>
      <c r="O94" s="118">
        <f t="shared" si="18"/>
        <v>20.833333333333332</v>
      </c>
      <c r="P94" s="119">
        <f t="shared" ca="1" si="16"/>
        <v>31</v>
      </c>
      <c r="Q94" s="120">
        <v>365</v>
      </c>
      <c r="S94" s="123">
        <v>23</v>
      </c>
      <c r="T94" s="137">
        <v>1.284E-4</v>
      </c>
      <c r="U94" s="137" t="s">
        <v>75</v>
      </c>
      <c r="AA94" s="96">
        <f t="shared" si="12"/>
        <v>56</v>
      </c>
      <c r="AB94" s="97">
        <f t="shared" si="10"/>
        <v>16331.351920233883</v>
      </c>
      <c r="AC94" s="97">
        <f t="shared" ca="1" si="13"/>
        <v>1846.2097222222224</v>
      </c>
      <c r="AE94" s="96">
        <f t="shared" si="14"/>
        <v>56</v>
      </c>
      <c r="AF94" s="97">
        <f>IFERROR(VLOOKUP(AE94,[1]Cálculos_PRICE!$A$32:$K$212,10,0),"")</f>
        <v>16331.351920233883</v>
      </c>
      <c r="AG94" s="97">
        <f ca="1">IFERROR(VLOOKUP(AE94,Cálculos_Aquisição_SAC_Fixa!A92:K365,10,0),"")</f>
        <v>1846.2097222222224</v>
      </c>
      <c r="AH94" s="97">
        <f>IFERROR(VLOOKUP(AE94,[1]Cálculos_PRICE!$A$32:$K$212,6,0),"")</f>
        <v>2504.2873204546177</v>
      </c>
      <c r="AI94" s="97">
        <f>IFERROR(VLOOKUP(AE94,Cálculos_Aquisição_SAC_Fixa!A92:K365,6,0),"")</f>
        <v>694.44444444444446</v>
      </c>
      <c r="AJ94" s="97">
        <f>IFERROR(VLOOKUP(AE94,[1]Cálculos_PRICE!$A$32:$K$240,11,0),"")</f>
        <v>904157.25092445198</v>
      </c>
      <c r="AK94" s="97">
        <f>IFERROR(VLOOKUP(AE94,Cálculos_Aquisição_SAC_Fixa!A92:K365,11,0),"")</f>
        <v>86111.111111111473</v>
      </c>
      <c r="AW94" s="132"/>
    </row>
    <row r="95" spans="1:49" ht="15.5" x14ac:dyDescent="0.35">
      <c r="A95" s="98">
        <f t="shared" si="11"/>
        <v>58</v>
      </c>
      <c r="B95" s="99">
        <f t="shared" ca="1" si="4"/>
        <v>47822</v>
      </c>
      <c r="C95" s="100">
        <f t="shared" si="5"/>
        <v>85416.666666667035</v>
      </c>
      <c r="D95" s="100">
        <f t="shared" si="6"/>
        <v>1101.8799999999999</v>
      </c>
      <c r="E95" s="100">
        <f t="shared" si="7"/>
        <v>86518.54666666704</v>
      </c>
      <c r="F95" s="100">
        <f t="shared" si="0"/>
        <v>694.44444444444446</v>
      </c>
      <c r="G95" s="100">
        <f t="shared" si="8"/>
        <v>1796.3244444444445</v>
      </c>
      <c r="H95" s="100">
        <f t="shared" ca="1" si="1"/>
        <v>19.645833333333417</v>
      </c>
      <c r="I95" s="100">
        <f t="shared" si="2"/>
        <v>12.000000000000002</v>
      </c>
      <c r="J95" s="100">
        <f t="shared" ca="1" si="3"/>
        <v>1827.9702777777779</v>
      </c>
      <c r="K95" s="101">
        <f t="shared" si="9"/>
        <v>84722.222222222597</v>
      </c>
      <c r="O95" s="118">
        <f t="shared" si="18"/>
        <v>20.833333333333332</v>
      </c>
      <c r="P95" s="119">
        <f t="shared" ca="1" si="16"/>
        <v>30</v>
      </c>
      <c r="Q95" s="120">
        <v>365</v>
      </c>
      <c r="S95" s="123">
        <v>24</v>
      </c>
      <c r="T95" s="137">
        <v>1.284E-4</v>
      </c>
      <c r="U95" s="137" t="s">
        <v>75</v>
      </c>
      <c r="AA95" s="96">
        <f t="shared" si="12"/>
        <v>57</v>
      </c>
      <c r="AB95" s="97">
        <f t="shared" si="10"/>
        <v>16330.794966733814</v>
      </c>
      <c r="AC95" s="97">
        <f t="shared" ca="1" si="13"/>
        <v>1837.0900000000001</v>
      </c>
      <c r="AE95" s="96">
        <f t="shared" si="14"/>
        <v>57</v>
      </c>
      <c r="AF95" s="97">
        <f>IFERROR(VLOOKUP(AE95,[1]Cálculos_PRICE!$A$32:$K$212,10,0),"")</f>
        <v>16330.794966733814</v>
      </c>
      <c r="AG95" s="97">
        <f ca="1">IFERROR(VLOOKUP(AE95,Cálculos_Aquisição_SAC_Fixa!A93:K366,10,0),"")</f>
        <v>1837.0900000000001</v>
      </c>
      <c r="AH95" s="97">
        <f>IFERROR(VLOOKUP(AE95,[1]Cálculos_PRICE!$A$32:$K$212,6,0),"")</f>
        <v>2541.8516302614371</v>
      </c>
      <c r="AI95" s="97">
        <f>IFERROR(VLOOKUP(AE95,Cálculos_Aquisição_SAC_Fixa!A93:K366,6,0),"")</f>
        <v>694.44444444444446</v>
      </c>
      <c r="AJ95" s="97">
        <f>IFERROR(VLOOKUP(AE95,[1]Cálculos_PRICE!$A$32:$K$240,11,0),"")</f>
        <v>901615.39929419057</v>
      </c>
      <c r="AK95" s="97">
        <f>IFERROR(VLOOKUP(AE95,Cálculos_Aquisição_SAC_Fixa!A93:K366,11,0),"")</f>
        <v>85416.666666667035</v>
      </c>
      <c r="AW95" s="132"/>
    </row>
    <row r="96" spans="1:49" ht="15.5" x14ac:dyDescent="0.35">
      <c r="A96" s="98">
        <f t="shared" si="11"/>
        <v>59</v>
      </c>
      <c r="B96" s="99">
        <f t="shared" ca="1" si="4"/>
        <v>47853</v>
      </c>
      <c r="C96" s="100">
        <f t="shared" si="5"/>
        <v>84722.222222222597</v>
      </c>
      <c r="D96" s="100">
        <f t="shared" si="6"/>
        <v>1092.92</v>
      </c>
      <c r="E96" s="100">
        <f t="shared" si="7"/>
        <v>85815.142222222596</v>
      </c>
      <c r="F96" s="100">
        <f t="shared" si="0"/>
        <v>694.44444444444446</v>
      </c>
      <c r="G96" s="100">
        <f t="shared" si="8"/>
        <v>1787.3644444444444</v>
      </c>
      <c r="H96" s="100">
        <f t="shared" ca="1" si="1"/>
        <v>19.4861111111112</v>
      </c>
      <c r="I96" s="100">
        <f t="shared" si="2"/>
        <v>12.000000000000002</v>
      </c>
      <c r="J96" s="100">
        <f t="shared" ca="1" si="3"/>
        <v>1818.8505555555557</v>
      </c>
      <c r="K96" s="101">
        <f t="shared" si="9"/>
        <v>84027.777777778159</v>
      </c>
      <c r="O96" s="118">
        <f t="shared" si="18"/>
        <v>20.833333333333332</v>
      </c>
      <c r="P96" s="119">
        <f t="shared" ca="1" si="16"/>
        <v>31</v>
      </c>
      <c r="Q96" s="120">
        <v>365</v>
      </c>
      <c r="S96" s="123">
        <v>25</v>
      </c>
      <c r="T96" s="137">
        <v>1.284E-4</v>
      </c>
      <c r="U96" s="137" t="s">
        <v>75</v>
      </c>
      <c r="AA96" s="96">
        <f t="shared" si="12"/>
        <v>58</v>
      </c>
      <c r="AB96" s="97">
        <f t="shared" si="10"/>
        <v>16330.229658931245</v>
      </c>
      <c r="AC96" s="97">
        <f t="shared" ca="1" si="13"/>
        <v>1827.9702777777779</v>
      </c>
      <c r="AE96" s="96">
        <f t="shared" si="14"/>
        <v>58</v>
      </c>
      <c r="AF96" s="97">
        <f>IFERROR(VLOOKUP(AE96,[1]Cálculos_PRICE!$A$32:$K$212,10,0),"")</f>
        <v>16330.229658931245</v>
      </c>
      <c r="AG96" s="97">
        <f ca="1">IFERROR(VLOOKUP(AE96,Cálculos_Aquisição_SAC_Fixa!A94:K367,10,0),"")</f>
        <v>1827.9702777777779</v>
      </c>
      <c r="AH96" s="97">
        <f>IFERROR(VLOOKUP(AE96,[1]Cálculos_PRICE!$A$32:$K$212,6,0),"")</f>
        <v>2579.9794047153591</v>
      </c>
      <c r="AI96" s="97">
        <f>IFERROR(VLOOKUP(AE96,Cálculos_Aquisição_SAC_Fixa!A94:K367,6,0),"")</f>
        <v>694.44444444444446</v>
      </c>
      <c r="AJ96" s="97">
        <f>IFERROR(VLOOKUP(AE96,[1]Cálculos_PRICE!$A$32:$K$240,11,0),"")</f>
        <v>899035.41988947522</v>
      </c>
      <c r="AK96" s="97">
        <f>IFERROR(VLOOKUP(AE96,Cálculos_Aquisição_SAC_Fixa!A94:K367,11,0),"")</f>
        <v>84722.222222222597</v>
      </c>
      <c r="AW96" s="132"/>
    </row>
    <row r="97" spans="1:49" ht="15.5" x14ac:dyDescent="0.35">
      <c r="A97" s="98">
        <f t="shared" si="11"/>
        <v>60</v>
      </c>
      <c r="B97" s="99">
        <f t="shared" ca="1" si="4"/>
        <v>47884</v>
      </c>
      <c r="C97" s="100">
        <f t="shared" si="5"/>
        <v>84027.777777778159</v>
      </c>
      <c r="D97" s="100">
        <f t="shared" si="6"/>
        <v>1083.96</v>
      </c>
      <c r="E97" s="100">
        <f t="shared" si="7"/>
        <v>85111.737777778166</v>
      </c>
      <c r="F97" s="100">
        <f t="shared" si="0"/>
        <v>694.44444444444446</v>
      </c>
      <c r="G97" s="100">
        <f t="shared" si="8"/>
        <v>1778.4044444444444</v>
      </c>
      <c r="H97" s="100">
        <f t="shared" ca="1" si="1"/>
        <v>19.326388888888978</v>
      </c>
      <c r="I97" s="100">
        <f t="shared" si="2"/>
        <v>12.000000000000002</v>
      </c>
      <c r="J97" s="100">
        <f t="shared" ca="1" si="3"/>
        <v>1809.7308333333333</v>
      </c>
      <c r="K97" s="101">
        <f t="shared" si="9"/>
        <v>83333.333333333721</v>
      </c>
      <c r="O97" s="118">
        <f t="shared" si="18"/>
        <v>20.833333333333332</v>
      </c>
      <c r="P97" s="119">
        <f t="shared" ca="1" si="16"/>
        <v>31</v>
      </c>
      <c r="Q97" s="120">
        <v>365</v>
      </c>
      <c r="S97" s="123">
        <v>26</v>
      </c>
      <c r="T97" s="137">
        <v>1.284E-4</v>
      </c>
      <c r="U97" s="137" t="s">
        <v>76</v>
      </c>
      <c r="AA97" s="96">
        <f t="shared" si="12"/>
        <v>59</v>
      </c>
      <c r="AB97" s="97">
        <f t="shared" si="10"/>
        <v>16329.655871511635</v>
      </c>
      <c r="AC97" s="97">
        <f t="shared" ca="1" si="13"/>
        <v>1818.8505555555557</v>
      </c>
      <c r="AE97" s="96">
        <f t="shared" si="14"/>
        <v>59</v>
      </c>
      <c r="AF97" s="97">
        <f>IFERROR(VLOOKUP(AE97,[1]Cálculos_PRICE!$A$32:$K$212,10,0),"")</f>
        <v>16329.655871511635</v>
      </c>
      <c r="AG97" s="97">
        <f ca="1">IFERROR(VLOOKUP(AE97,Cálculos_Aquisição_SAC_Fixa!A95:K368,10,0),"")</f>
        <v>1818.8505555555557</v>
      </c>
      <c r="AH97" s="97">
        <f>IFERROR(VLOOKUP(AE97,[1]Cálculos_PRICE!$A$32:$K$212,6,0),"")</f>
        <v>2618.6790957860885</v>
      </c>
      <c r="AI97" s="97">
        <f>IFERROR(VLOOKUP(AE97,Cálculos_Aquisição_SAC_Fixa!A95:K368,6,0),"")</f>
        <v>694.44444444444446</v>
      </c>
      <c r="AJ97" s="97">
        <f>IFERROR(VLOOKUP(AE97,[1]Cálculos_PRICE!$A$32:$K$240,11,0),"")</f>
        <v>896416.74079368915</v>
      </c>
      <c r="AK97" s="97">
        <f>IFERROR(VLOOKUP(AE97,Cálculos_Aquisição_SAC_Fixa!A95:K368,11,0),"")</f>
        <v>84027.777777778159</v>
      </c>
      <c r="AW97" s="132"/>
    </row>
    <row r="98" spans="1:49" ht="15.5" x14ac:dyDescent="0.35">
      <c r="A98" s="98">
        <f t="shared" si="11"/>
        <v>61</v>
      </c>
      <c r="B98" s="99">
        <f t="shared" ca="1" si="4"/>
        <v>47912</v>
      </c>
      <c r="C98" s="100">
        <f t="shared" si="5"/>
        <v>83333.333333333721</v>
      </c>
      <c r="D98" s="100">
        <f t="shared" si="6"/>
        <v>1075.01</v>
      </c>
      <c r="E98" s="100">
        <f t="shared" si="7"/>
        <v>84408.343333333716</v>
      </c>
      <c r="F98" s="100">
        <f t="shared" si="0"/>
        <v>694.44444444444446</v>
      </c>
      <c r="G98" s="100">
        <f t="shared" si="8"/>
        <v>1769.4544444444446</v>
      </c>
      <c r="H98" s="100">
        <f t="shared" ca="1" si="1"/>
        <v>19.166666666666757</v>
      </c>
      <c r="I98" s="100">
        <f t="shared" si="2"/>
        <v>12.000000000000002</v>
      </c>
      <c r="J98" s="100">
        <f t="shared" ca="1" si="3"/>
        <v>1800.6211111111113</v>
      </c>
      <c r="K98" s="101">
        <f t="shared" si="9"/>
        <v>82638.888888889283</v>
      </c>
      <c r="O98" s="118">
        <f t="shared" si="18"/>
        <v>20.833333333333332</v>
      </c>
      <c r="P98" s="119">
        <f t="shared" ca="1" si="16"/>
        <v>30</v>
      </c>
      <c r="Q98" s="120">
        <v>365</v>
      </c>
      <c r="S98" s="123">
        <v>27</v>
      </c>
      <c r="T98" s="137">
        <v>1.284E-4</v>
      </c>
      <c r="U98" s="137" t="s">
        <v>76</v>
      </c>
      <c r="AA98" s="96">
        <f t="shared" si="12"/>
        <v>60</v>
      </c>
      <c r="AB98" s="97">
        <f t="shared" si="10"/>
        <v>16329.073477280734</v>
      </c>
      <c r="AC98" s="97">
        <f t="shared" ca="1" si="13"/>
        <v>1809.7308333333333</v>
      </c>
      <c r="AE98" s="96">
        <f t="shared" si="14"/>
        <v>60</v>
      </c>
      <c r="AF98" s="97">
        <f>IFERROR(VLOOKUP(AE98,[1]Cálculos_PRICE!$A$32:$K$212,10,0),"")</f>
        <v>16329.073477280734</v>
      </c>
      <c r="AG98" s="97">
        <f ca="1">IFERROR(VLOOKUP(AE98,Cálculos_Aquisição_SAC_Fixa!A96:K369,10,0),"")</f>
        <v>1809.7308333333333</v>
      </c>
      <c r="AH98" s="97">
        <f>IFERROR(VLOOKUP(AE98,[1]Cálculos_PRICE!$A$32:$K$212,6,0),"")</f>
        <v>2657.9592822228806</v>
      </c>
      <c r="AI98" s="97">
        <f>IFERROR(VLOOKUP(AE98,Cálculos_Aquisição_SAC_Fixa!A96:K369,6,0),"")</f>
        <v>694.44444444444446</v>
      </c>
      <c r="AJ98" s="97">
        <f>IFERROR(VLOOKUP(AE98,[1]Cálculos_PRICE!$A$32:$K$240,11,0),"")</f>
        <v>893758.78151146625</v>
      </c>
      <c r="AK98" s="97">
        <f>IFERROR(VLOOKUP(AE98,Cálculos_Aquisição_SAC_Fixa!A96:K369,11,0),"")</f>
        <v>83333.333333333721</v>
      </c>
      <c r="AW98" s="132"/>
    </row>
    <row r="99" spans="1:49" ht="15.5" x14ac:dyDescent="0.35">
      <c r="A99" s="98">
        <f t="shared" si="11"/>
        <v>62</v>
      </c>
      <c r="B99" s="99">
        <f t="shared" ca="1" si="4"/>
        <v>47943</v>
      </c>
      <c r="C99" s="100">
        <f t="shared" si="5"/>
        <v>82638.888888889283</v>
      </c>
      <c r="D99" s="100">
        <f t="shared" si="6"/>
        <v>1066.05</v>
      </c>
      <c r="E99" s="100">
        <f t="shared" si="7"/>
        <v>83704.938888889286</v>
      </c>
      <c r="F99" s="100">
        <f t="shared" si="0"/>
        <v>694.44444444444446</v>
      </c>
      <c r="G99" s="100">
        <f t="shared" si="8"/>
        <v>1760.4944444444445</v>
      </c>
      <c r="H99" s="100">
        <f t="shared" ca="1" si="1"/>
        <v>19.006944444444535</v>
      </c>
      <c r="I99" s="100">
        <f t="shared" si="2"/>
        <v>12.000000000000002</v>
      </c>
      <c r="J99" s="100">
        <f t="shared" ca="1" si="3"/>
        <v>1791.5013888888891</v>
      </c>
      <c r="K99" s="101">
        <f t="shared" si="9"/>
        <v>81944.444444444845</v>
      </c>
      <c r="O99" s="118">
        <f t="shared" si="18"/>
        <v>20.833333333333332</v>
      </c>
      <c r="P99" s="119">
        <f t="shared" ca="1" si="16"/>
        <v>31</v>
      </c>
      <c r="Q99" s="120">
        <v>365</v>
      </c>
      <c r="S99" s="123">
        <v>28</v>
      </c>
      <c r="T99" s="137">
        <v>1.284E-4</v>
      </c>
      <c r="U99" s="137" t="s">
        <v>76</v>
      </c>
      <c r="AA99" s="96">
        <f t="shared" si="12"/>
        <v>61</v>
      </c>
      <c r="AB99" s="97">
        <f t="shared" si="10"/>
        <v>16328.482347136367</v>
      </c>
      <c r="AC99" s="97">
        <f t="shared" ca="1" si="13"/>
        <v>1800.6211111111113</v>
      </c>
      <c r="AE99" s="96">
        <f t="shared" si="14"/>
        <v>61</v>
      </c>
      <c r="AF99" s="97">
        <f>IFERROR(VLOOKUP(AE99,[1]Cálculos_PRICE!$A$32:$K$212,10,0),"")</f>
        <v>16328.482347136367</v>
      </c>
      <c r="AG99" s="97">
        <f ca="1">IFERROR(VLOOKUP(AE99,Cálculos_Aquisição_SAC_Fixa!A97:K370,10,0),"")</f>
        <v>1800.6211111111113</v>
      </c>
      <c r="AH99" s="97">
        <f>IFERROR(VLOOKUP(AE99,[1]Cálculos_PRICE!$A$32:$K$212,6,0),"")</f>
        <v>2697.8286714562237</v>
      </c>
      <c r="AI99" s="97">
        <f>IFERROR(VLOOKUP(AE99,Cálculos_Aquisição_SAC_Fixa!A97:K370,6,0),"")</f>
        <v>694.44444444444446</v>
      </c>
      <c r="AJ99" s="97">
        <f>IFERROR(VLOOKUP(AE99,[1]Cálculos_PRICE!$A$32:$K$240,11,0),"")</f>
        <v>891060.95284001005</v>
      </c>
      <c r="AK99" s="97">
        <f>IFERROR(VLOOKUP(AE99,Cálculos_Aquisição_SAC_Fixa!A97:K370,11,0),"")</f>
        <v>82638.888888889283</v>
      </c>
      <c r="AW99" s="132"/>
    </row>
    <row r="100" spans="1:49" ht="15.5" x14ac:dyDescent="0.35">
      <c r="A100" s="98">
        <f t="shared" si="11"/>
        <v>63</v>
      </c>
      <c r="B100" s="99">
        <f t="shared" ca="1" si="4"/>
        <v>47973</v>
      </c>
      <c r="C100" s="100">
        <f t="shared" si="5"/>
        <v>81944.444444444845</v>
      </c>
      <c r="D100" s="100">
        <f t="shared" si="6"/>
        <v>1057.0899999999999</v>
      </c>
      <c r="E100" s="100">
        <f t="shared" si="7"/>
        <v>83001.534444444842</v>
      </c>
      <c r="F100" s="100">
        <f t="shared" si="0"/>
        <v>694.44444444444446</v>
      </c>
      <c r="G100" s="100">
        <f t="shared" si="8"/>
        <v>1751.5344444444445</v>
      </c>
      <c r="H100" s="100">
        <f t="shared" ca="1" si="1"/>
        <v>18.847222222222314</v>
      </c>
      <c r="I100" s="100">
        <f t="shared" si="2"/>
        <v>12.000000000000002</v>
      </c>
      <c r="J100" s="100">
        <f t="shared" ca="1" si="3"/>
        <v>1782.3816666666669</v>
      </c>
      <c r="K100" s="101">
        <f t="shared" si="9"/>
        <v>81250.000000000407</v>
      </c>
      <c r="O100" s="118">
        <f t="shared" si="18"/>
        <v>20.833333333333332</v>
      </c>
      <c r="P100" s="119">
        <f t="shared" ca="1" si="16"/>
        <v>30</v>
      </c>
      <c r="Q100" s="120">
        <v>365</v>
      </c>
      <c r="S100" s="123">
        <v>29</v>
      </c>
      <c r="T100" s="137">
        <v>1.284E-4</v>
      </c>
      <c r="U100" s="137" t="s">
        <v>76</v>
      </c>
      <c r="AA100" s="96">
        <f t="shared" si="12"/>
        <v>62</v>
      </c>
      <c r="AB100" s="97">
        <f t="shared" si="10"/>
        <v>16327.882350039836</v>
      </c>
      <c r="AC100" s="97">
        <f t="shared" ca="1" si="13"/>
        <v>1791.5013888888891</v>
      </c>
      <c r="AE100" s="96">
        <f t="shared" si="14"/>
        <v>62</v>
      </c>
      <c r="AF100" s="97">
        <f>IFERROR(VLOOKUP(AE100,[1]Cálculos_PRICE!$A$32:$K$212,10,0),"")</f>
        <v>16327.882350039836</v>
      </c>
      <c r="AG100" s="97">
        <f ca="1">IFERROR(VLOOKUP(AE100,Cálculos_Aquisição_SAC_Fixa!A98:K371,10,0),"")</f>
        <v>1791.5013888888891</v>
      </c>
      <c r="AH100" s="97">
        <f>IFERROR(VLOOKUP(AE100,[1]Cálculos_PRICE!$A$32:$K$212,6,0),"")</f>
        <v>2738.2961015280671</v>
      </c>
      <c r="AI100" s="97">
        <f>IFERROR(VLOOKUP(AE100,Cálculos_Aquisição_SAC_Fixa!A98:K371,6,0),"")</f>
        <v>694.44444444444446</v>
      </c>
      <c r="AJ100" s="97">
        <f>IFERROR(VLOOKUP(AE100,[1]Cálculos_PRICE!$A$32:$K$240,11,0),"")</f>
        <v>888322.65673848195</v>
      </c>
      <c r="AK100" s="97">
        <f>IFERROR(VLOOKUP(AE100,Cálculos_Aquisição_SAC_Fixa!A98:K371,11,0),"")</f>
        <v>81944.444444444845</v>
      </c>
      <c r="AW100" s="132"/>
    </row>
    <row r="101" spans="1:49" ht="15.5" x14ac:dyDescent="0.35">
      <c r="A101" s="98">
        <f t="shared" si="11"/>
        <v>64</v>
      </c>
      <c r="B101" s="99">
        <f t="shared" ca="1" si="4"/>
        <v>48004</v>
      </c>
      <c r="C101" s="100">
        <f t="shared" si="5"/>
        <v>81250.000000000407</v>
      </c>
      <c r="D101" s="100">
        <f t="shared" si="6"/>
        <v>1048.1299999999999</v>
      </c>
      <c r="E101" s="100">
        <f t="shared" si="7"/>
        <v>82298.130000000412</v>
      </c>
      <c r="F101" s="100">
        <f t="shared" si="0"/>
        <v>694.44444444444446</v>
      </c>
      <c r="G101" s="100">
        <f t="shared" si="8"/>
        <v>1742.5744444444445</v>
      </c>
      <c r="H101" s="100">
        <f t="shared" ca="1" si="1"/>
        <v>18.687500000000096</v>
      </c>
      <c r="I101" s="100">
        <f t="shared" si="2"/>
        <v>12.000000000000002</v>
      </c>
      <c r="J101" s="100">
        <f t="shared" ca="1" si="3"/>
        <v>1773.2619444444445</v>
      </c>
      <c r="K101" s="101">
        <f t="shared" si="9"/>
        <v>80555.555555555969</v>
      </c>
      <c r="O101" s="118">
        <f t="shared" si="18"/>
        <v>20.833333333333332</v>
      </c>
      <c r="P101" s="119">
        <f t="shared" ca="1" si="16"/>
        <v>31</v>
      </c>
      <c r="Q101" s="120">
        <v>365</v>
      </c>
      <c r="S101" s="123">
        <v>30</v>
      </c>
      <c r="T101" s="137">
        <v>1.284E-4</v>
      </c>
      <c r="U101" s="137" t="s">
        <v>76</v>
      </c>
      <c r="AA101" s="96">
        <f t="shared" si="12"/>
        <v>63</v>
      </c>
      <c r="AB101" s="97">
        <f t="shared" si="10"/>
        <v>16327.273352986855</v>
      </c>
      <c r="AC101" s="97">
        <f t="shared" ca="1" si="13"/>
        <v>1782.3816666666669</v>
      </c>
      <c r="AE101" s="96">
        <f t="shared" si="14"/>
        <v>63</v>
      </c>
      <c r="AF101" s="97">
        <f>IFERROR(VLOOKUP(AE101,[1]Cálculos_PRICE!$A$32:$K$212,10,0),"")</f>
        <v>16327.273352986855</v>
      </c>
      <c r="AG101" s="97">
        <f ca="1">IFERROR(VLOOKUP(AE101,Cálculos_Aquisição_SAC_Fixa!A99:K372,10,0),"")</f>
        <v>1782.3816666666669</v>
      </c>
      <c r="AH101" s="97">
        <f>IFERROR(VLOOKUP(AE101,[1]Cálculos_PRICE!$A$32:$K$212,6,0),"")</f>
        <v>2779.3705430509872</v>
      </c>
      <c r="AI101" s="97">
        <f>IFERROR(VLOOKUP(AE101,Cálculos_Aquisição_SAC_Fixa!A99:K372,6,0),"")</f>
        <v>694.44444444444446</v>
      </c>
      <c r="AJ101" s="97">
        <f>IFERROR(VLOOKUP(AE101,[1]Cálculos_PRICE!$A$32:$K$240,11,0),"")</f>
        <v>885543.2861954309</v>
      </c>
      <c r="AK101" s="97">
        <f>IFERROR(VLOOKUP(AE101,Cálculos_Aquisição_SAC_Fixa!A99:K372,11,0),"")</f>
        <v>81250.000000000407</v>
      </c>
      <c r="AW101" s="132"/>
    </row>
    <row r="102" spans="1:49" ht="15.5" x14ac:dyDescent="0.35">
      <c r="A102" s="98">
        <f t="shared" si="11"/>
        <v>65</v>
      </c>
      <c r="B102" s="99">
        <f t="shared" ca="1" si="4"/>
        <v>48034</v>
      </c>
      <c r="C102" s="100">
        <f t="shared" si="5"/>
        <v>80555.555555555969</v>
      </c>
      <c r="D102" s="100">
        <f t="shared" si="6"/>
        <v>1039.17</v>
      </c>
      <c r="E102" s="100">
        <f t="shared" si="7"/>
        <v>81594.725555555968</v>
      </c>
      <c r="F102" s="100">
        <f t="shared" ref="F102:F165" si="19">IF(A102="","",$C$38/$I$18)</f>
        <v>694.44444444444446</v>
      </c>
      <c r="G102" s="100">
        <f t="shared" si="8"/>
        <v>1733.6144444444444</v>
      </c>
      <c r="H102" s="100">
        <f t="shared" ref="H102:H165" ca="1" si="20">IFERROR($V$39*$C102,"")</f>
        <v>18.527777777777874</v>
      </c>
      <c r="I102" s="100">
        <f t="shared" ref="I102:I165" si="21">IF(A102="","",IF(K101="","",IF(K101=0,"",$W$39*$I$14)))</f>
        <v>12.000000000000002</v>
      </c>
      <c r="J102" s="100">
        <f t="shared" ref="J102:J165" ca="1" si="22">IFERROR(SUM(I102+H102+G102),"")</f>
        <v>1764.1422222222222</v>
      </c>
      <c r="K102" s="101">
        <f t="shared" si="9"/>
        <v>79861.111111111531</v>
      </c>
      <c r="O102" s="118">
        <f t="shared" si="18"/>
        <v>20.833333333333332</v>
      </c>
      <c r="P102" s="119">
        <f t="shared" ca="1" si="16"/>
        <v>31</v>
      </c>
      <c r="Q102" s="120">
        <v>365</v>
      </c>
      <c r="S102" s="123">
        <v>31</v>
      </c>
      <c r="T102" s="137">
        <v>1.284E-4</v>
      </c>
      <c r="U102" s="137" t="s">
        <v>76</v>
      </c>
      <c r="AA102" s="96">
        <f t="shared" si="12"/>
        <v>64</v>
      </c>
      <c r="AB102" s="97">
        <f t="shared" si="10"/>
        <v>16326.65522097808</v>
      </c>
      <c r="AC102" s="97">
        <f t="shared" ca="1" si="13"/>
        <v>1773.2619444444445</v>
      </c>
      <c r="AE102" s="96">
        <f t="shared" si="14"/>
        <v>64</v>
      </c>
      <c r="AF102" s="97">
        <f>IFERROR(VLOOKUP(AE102,[1]Cálculos_PRICE!$A$32:$K$212,10,0),"")</f>
        <v>16326.65522097808</v>
      </c>
      <c r="AG102" s="97">
        <f ca="1">IFERROR(VLOOKUP(AE102,Cálculos_Aquisição_SAC_Fixa!A100:K373,10,0),"")</f>
        <v>1773.2619444444445</v>
      </c>
      <c r="AH102" s="97">
        <f>IFERROR(VLOOKUP(AE102,[1]Cálculos_PRICE!$A$32:$K$212,6,0),"")</f>
        <v>2821.061101196754</v>
      </c>
      <c r="AI102" s="97">
        <f>IFERROR(VLOOKUP(AE102,Cálculos_Aquisição_SAC_Fixa!A100:K373,6,0),"")</f>
        <v>694.44444444444446</v>
      </c>
      <c r="AJ102" s="97">
        <f>IFERROR(VLOOKUP(AE102,[1]Cálculos_PRICE!$A$32:$K$240,11,0),"")</f>
        <v>882722.22509423411</v>
      </c>
      <c r="AK102" s="97">
        <f>IFERROR(VLOOKUP(AE102,Cálculos_Aquisição_SAC_Fixa!A100:K373,11,0),"")</f>
        <v>80555.555555555969</v>
      </c>
      <c r="AW102" s="132"/>
    </row>
    <row r="103" spans="1:49" ht="15.5" x14ac:dyDescent="0.35">
      <c r="A103" s="98">
        <f t="shared" si="11"/>
        <v>66</v>
      </c>
      <c r="B103" s="99">
        <f t="shared" ref="B103:B166" ca="1" si="23">IFERROR(IF(A103&lt;=$I$18,DATE(YEAR($B$38),MONTH($B$38)+A102,DAY($B$38)),"-"),"")</f>
        <v>48065</v>
      </c>
      <c r="C103" s="100">
        <f t="shared" ref="C103:C166" si="24">IF(A103="","",K102)</f>
        <v>79861.111111111531</v>
      </c>
      <c r="D103" s="100">
        <f t="shared" ref="D103:D166" si="25">IFERROR(ROUNDUP(C103*$I$20,2),"")</f>
        <v>1030.21</v>
      </c>
      <c r="E103" s="100">
        <f t="shared" ref="E103:E166" si="26">IFERROR(C103+D103,"")</f>
        <v>80891.321111111538</v>
      </c>
      <c r="F103" s="100">
        <f t="shared" si="19"/>
        <v>694.44444444444446</v>
      </c>
      <c r="G103" s="100">
        <f t="shared" ref="G103:G166" si="27">IF(A103="","",D103+F103)</f>
        <v>1724.6544444444444</v>
      </c>
      <c r="H103" s="100">
        <f t="shared" ca="1" si="20"/>
        <v>18.368055555555653</v>
      </c>
      <c r="I103" s="100">
        <f t="shared" si="21"/>
        <v>12.000000000000002</v>
      </c>
      <c r="J103" s="100">
        <f t="shared" ca="1" si="22"/>
        <v>1755.0225</v>
      </c>
      <c r="K103" s="101">
        <f t="shared" ref="K103:K166" si="28">IF(A103="","",C103-F103)</f>
        <v>79166.666666667094</v>
      </c>
      <c r="O103" s="118">
        <f t="shared" si="18"/>
        <v>20.833333333333332</v>
      </c>
      <c r="P103" s="119">
        <f t="shared" ca="1" si="16"/>
        <v>28</v>
      </c>
      <c r="Q103" s="120">
        <v>365</v>
      </c>
      <c r="S103" s="123">
        <v>32</v>
      </c>
      <c r="T103" s="137">
        <v>1.284E-4</v>
      </c>
      <c r="U103" s="137" t="s">
        <v>76</v>
      </c>
      <c r="AA103" s="96">
        <f t="shared" si="12"/>
        <v>65</v>
      </c>
      <c r="AB103" s="97">
        <f t="shared" ref="AB103:AB166" si="29">IF($AA$36=1,VLOOKUP(AA103,$AE$38:$AK$218,6,0),IF($AA$36=2,VLOOKUP(AA103,$AE$38:$AK$218,4,0),VLOOKUP(AA103,$AE$38:$AK$218,2,0)))</f>
        <v>16326.027816989174</v>
      </c>
      <c r="AC103" s="97">
        <f t="shared" ca="1" si="13"/>
        <v>1764.1422222222222</v>
      </c>
      <c r="AE103" s="96">
        <f t="shared" si="14"/>
        <v>65</v>
      </c>
      <c r="AF103" s="97">
        <f>IFERROR(VLOOKUP(AE103,[1]Cálculos_PRICE!$A$32:$K$212,10,0),"")</f>
        <v>16326.027816989174</v>
      </c>
      <c r="AG103" s="97">
        <f ca="1">IFERROR(VLOOKUP(AE103,Cálculos_Aquisição_SAC_Fixa!A101:K374,10,0),"")</f>
        <v>1764.1422222222222</v>
      </c>
      <c r="AH103" s="97">
        <f>IFERROR(VLOOKUP(AE103,[1]Cálculos_PRICE!$A$32:$K$212,6,0),"")</f>
        <v>2863.3770177147053</v>
      </c>
      <c r="AI103" s="97">
        <f>IFERROR(VLOOKUP(AE103,Cálculos_Aquisição_SAC_Fixa!A101:K374,6,0),"")</f>
        <v>694.44444444444446</v>
      </c>
      <c r="AJ103" s="97">
        <f>IFERROR(VLOOKUP(AE103,[1]Cálculos_PRICE!$A$32:$K$240,11,0),"")</f>
        <v>879858.84807651944</v>
      </c>
      <c r="AK103" s="97">
        <f>IFERROR(VLOOKUP(AE103,Cálculos_Aquisição_SAC_Fixa!A101:K374,11,0),"")</f>
        <v>79861.111111111531</v>
      </c>
      <c r="AW103" s="132"/>
    </row>
    <row r="104" spans="1:49" ht="15.5" x14ac:dyDescent="0.35">
      <c r="A104" s="98">
        <f t="shared" ref="A104:A167" si="30">IF(IF(AND(A103&gt;0,A103&lt;$I$18),A103+1,0)=0,"",IF(AND(A103&gt;0,A103&lt;$I$18),A103+1,0))</f>
        <v>67</v>
      </c>
      <c r="B104" s="99">
        <f t="shared" ca="1" si="23"/>
        <v>48096</v>
      </c>
      <c r="C104" s="100">
        <f t="shared" si="24"/>
        <v>79166.666666667094</v>
      </c>
      <c r="D104" s="100">
        <f t="shared" si="25"/>
        <v>1021.26</v>
      </c>
      <c r="E104" s="100">
        <f t="shared" si="26"/>
        <v>80187.926666667088</v>
      </c>
      <c r="F104" s="100">
        <f t="shared" si="19"/>
        <v>694.44444444444446</v>
      </c>
      <c r="G104" s="100">
        <f t="shared" si="27"/>
        <v>1715.7044444444446</v>
      </c>
      <c r="H104" s="100">
        <f t="shared" ca="1" si="20"/>
        <v>18.208333333333432</v>
      </c>
      <c r="I104" s="100">
        <f t="shared" si="21"/>
        <v>12.000000000000002</v>
      </c>
      <c r="J104" s="100">
        <f t="shared" ca="1" si="22"/>
        <v>1745.912777777778</v>
      </c>
      <c r="K104" s="101">
        <f t="shared" si="28"/>
        <v>78472.222222222656</v>
      </c>
      <c r="O104" s="118">
        <f t="shared" si="18"/>
        <v>20.833333333333332</v>
      </c>
      <c r="P104" s="119">
        <f t="shared" ca="1" si="16"/>
        <v>31</v>
      </c>
      <c r="Q104" s="120">
        <v>365</v>
      </c>
      <c r="S104" s="123">
        <v>33</v>
      </c>
      <c r="T104" s="137">
        <v>1.284E-4</v>
      </c>
      <c r="U104" s="137" t="s">
        <v>76</v>
      </c>
      <c r="AA104" s="96">
        <f t="shared" ref="AA104:AA167" si="31">A103</f>
        <v>66</v>
      </c>
      <c r="AB104" s="97">
        <f t="shared" si="29"/>
        <v>16325.391001940434</v>
      </c>
      <c r="AC104" s="97">
        <f t="shared" ref="AC104:AC167" ca="1" si="32">IF($AA$36=1,VLOOKUP(AA104,$AE$38:$AK$278,7,0),IF($AA$36=2,VLOOKUP(AA104,$AE$38:$AK$278,5,0),VLOOKUP(AA104,$AE$38:$AK$278,3,0)))</f>
        <v>1755.0225</v>
      </c>
      <c r="AE104" s="96">
        <f t="shared" ref="AE104:AE167" si="33">AA104</f>
        <v>66</v>
      </c>
      <c r="AF104" s="97">
        <f>IFERROR(VLOOKUP(AE104,[1]Cálculos_PRICE!$A$32:$K$212,10,0),"")</f>
        <v>16325.391001940434</v>
      </c>
      <c r="AG104" s="97">
        <f ca="1">IFERROR(VLOOKUP(AE104,Cálculos_Aquisição_SAC_Fixa!A102:K375,10,0),"")</f>
        <v>1755.0225</v>
      </c>
      <c r="AH104" s="97">
        <f>IFERROR(VLOOKUP(AE104,[1]Cálculos_PRICE!$A$32:$K$212,6,0),"")</f>
        <v>2906.3276729804256</v>
      </c>
      <c r="AI104" s="97">
        <f>IFERROR(VLOOKUP(AE104,Cálculos_Aquisição_SAC_Fixa!A102:K375,6,0),"")</f>
        <v>694.44444444444446</v>
      </c>
      <c r="AJ104" s="97">
        <f>IFERROR(VLOOKUP(AE104,[1]Cálculos_PRICE!$A$32:$K$240,11,0),"")</f>
        <v>876952.52040353906</v>
      </c>
      <c r="AK104" s="97">
        <f>IFERROR(VLOOKUP(AE104,Cálculos_Aquisição_SAC_Fixa!A102:K375,11,0),"")</f>
        <v>79166.666666667094</v>
      </c>
      <c r="AW104" s="132"/>
    </row>
    <row r="105" spans="1:49" ht="15.5" x14ac:dyDescent="0.35">
      <c r="A105" s="98">
        <f t="shared" si="30"/>
        <v>68</v>
      </c>
      <c r="B105" s="99">
        <f t="shared" ca="1" si="23"/>
        <v>48126</v>
      </c>
      <c r="C105" s="100">
        <f t="shared" si="24"/>
        <v>78472.222222222656</v>
      </c>
      <c r="D105" s="100">
        <f t="shared" si="25"/>
        <v>1012.3</v>
      </c>
      <c r="E105" s="100">
        <f t="shared" si="26"/>
        <v>79484.522222222658</v>
      </c>
      <c r="F105" s="100">
        <f t="shared" si="19"/>
        <v>694.44444444444446</v>
      </c>
      <c r="G105" s="100">
        <f t="shared" si="27"/>
        <v>1706.7444444444445</v>
      </c>
      <c r="H105" s="100">
        <f t="shared" ca="1" si="20"/>
        <v>18.04861111111121</v>
      </c>
      <c r="I105" s="100">
        <f t="shared" si="21"/>
        <v>12.000000000000002</v>
      </c>
      <c r="J105" s="100">
        <f t="shared" ca="1" si="22"/>
        <v>1736.7930555555558</v>
      </c>
      <c r="K105" s="101">
        <f t="shared" si="28"/>
        <v>77777.777777778218</v>
      </c>
      <c r="O105" s="118">
        <f t="shared" si="18"/>
        <v>20.833333333333332</v>
      </c>
      <c r="P105" s="119">
        <f t="shared" ca="1" si="16"/>
        <v>30</v>
      </c>
      <c r="Q105" s="120">
        <v>365</v>
      </c>
      <c r="S105" s="123">
        <v>34</v>
      </c>
      <c r="T105" s="137">
        <v>1.284E-4</v>
      </c>
      <c r="U105" s="137" t="s">
        <v>76</v>
      </c>
      <c r="AA105" s="96">
        <f t="shared" si="31"/>
        <v>67</v>
      </c>
      <c r="AB105" s="97">
        <f t="shared" si="29"/>
        <v>16324.744634665964</v>
      </c>
      <c r="AC105" s="97">
        <f t="shared" ca="1" si="32"/>
        <v>1745.912777777778</v>
      </c>
      <c r="AE105" s="96">
        <f t="shared" si="33"/>
        <v>67</v>
      </c>
      <c r="AF105" s="97">
        <f>IFERROR(VLOOKUP(AE105,[1]Cálculos_PRICE!$A$32:$K$212,10,0),"")</f>
        <v>16324.744634665964</v>
      </c>
      <c r="AG105" s="97">
        <f ca="1">IFERROR(VLOOKUP(AE105,Cálculos_Aquisição_SAC_Fixa!A103:K376,10,0),"")</f>
        <v>1745.912777777778</v>
      </c>
      <c r="AH105" s="97">
        <f>IFERROR(VLOOKUP(AE105,[1]Cálculos_PRICE!$A$32:$K$212,6,0),"")</f>
        <v>2949.922588075131</v>
      </c>
      <c r="AI105" s="97">
        <f>IFERROR(VLOOKUP(AE105,Cálculos_Aquisição_SAC_Fixa!A103:K376,6,0),"")</f>
        <v>694.44444444444446</v>
      </c>
      <c r="AJ105" s="97">
        <f>IFERROR(VLOOKUP(AE105,[1]Cálculos_PRICE!$A$32:$K$240,11,0),"")</f>
        <v>874002.5978154639</v>
      </c>
      <c r="AK105" s="97">
        <f>IFERROR(VLOOKUP(AE105,Cálculos_Aquisição_SAC_Fixa!A103:K376,11,0),"")</f>
        <v>78472.222222222656</v>
      </c>
      <c r="AW105" s="132"/>
    </row>
    <row r="106" spans="1:49" ht="15.5" x14ac:dyDescent="0.35">
      <c r="A106" s="98">
        <f t="shared" si="30"/>
        <v>69</v>
      </c>
      <c r="B106" s="99">
        <f t="shared" ca="1" si="23"/>
        <v>48157</v>
      </c>
      <c r="C106" s="100">
        <f t="shared" si="24"/>
        <v>77777.777777778218</v>
      </c>
      <c r="D106" s="100">
        <f t="shared" si="25"/>
        <v>1003.34</v>
      </c>
      <c r="E106" s="100">
        <f t="shared" si="26"/>
        <v>78781.117777778214</v>
      </c>
      <c r="F106" s="100">
        <f t="shared" si="19"/>
        <v>694.44444444444446</v>
      </c>
      <c r="G106" s="100">
        <f t="shared" si="27"/>
        <v>1697.7844444444445</v>
      </c>
      <c r="H106" s="100">
        <f t="shared" ca="1" si="20"/>
        <v>17.888888888888992</v>
      </c>
      <c r="I106" s="100">
        <f t="shared" si="21"/>
        <v>12.000000000000002</v>
      </c>
      <c r="J106" s="100">
        <f t="shared" ca="1" si="22"/>
        <v>1727.6733333333334</v>
      </c>
      <c r="K106" s="101">
        <f t="shared" si="28"/>
        <v>77083.33333333378</v>
      </c>
      <c r="O106" s="118">
        <f t="shared" si="18"/>
        <v>20.833333333333332</v>
      </c>
      <c r="P106" s="119">
        <f t="shared" ca="1" si="16"/>
        <v>31</v>
      </c>
      <c r="Q106" s="120">
        <v>365</v>
      </c>
      <c r="S106" s="123">
        <v>35</v>
      </c>
      <c r="T106" s="137">
        <v>1.284E-4</v>
      </c>
      <c r="U106" s="137" t="s">
        <v>76</v>
      </c>
      <c r="AA106" s="96">
        <f t="shared" si="31"/>
        <v>68</v>
      </c>
      <c r="AB106" s="97">
        <f t="shared" si="29"/>
        <v>16324.088571882376</v>
      </c>
      <c r="AC106" s="97">
        <f t="shared" ca="1" si="32"/>
        <v>1736.7930555555558</v>
      </c>
      <c r="AE106" s="96">
        <f t="shared" si="33"/>
        <v>68</v>
      </c>
      <c r="AF106" s="97">
        <f>IFERROR(VLOOKUP(AE106,[1]Cálculos_PRICE!$A$32:$K$212,10,0),"")</f>
        <v>16324.088571882376</v>
      </c>
      <c r="AG106" s="97">
        <f ca="1">IFERROR(VLOOKUP(AE106,Cálculos_Aquisição_SAC_Fixa!A104:K377,10,0),"")</f>
        <v>1736.7930555555558</v>
      </c>
      <c r="AH106" s="97">
        <f>IFERROR(VLOOKUP(AE106,[1]Cálculos_PRICE!$A$32:$K$212,6,0),"")</f>
        <v>2994.1714268962587</v>
      </c>
      <c r="AI106" s="97">
        <f>IFERROR(VLOOKUP(AE106,Cálculos_Aquisição_SAC_Fixa!A104:K377,6,0),"")</f>
        <v>694.44444444444446</v>
      </c>
      <c r="AJ106" s="97">
        <f>IFERROR(VLOOKUP(AE106,[1]Cálculos_PRICE!$A$32:$K$240,11,0),"")</f>
        <v>871008.42638856766</v>
      </c>
      <c r="AK106" s="97">
        <f>IFERROR(VLOOKUP(AE106,Cálculos_Aquisição_SAC_Fixa!A104:K377,11,0),"")</f>
        <v>77777.777777778218</v>
      </c>
      <c r="AW106" s="132"/>
    </row>
    <row r="107" spans="1:49" ht="15.5" x14ac:dyDescent="0.35">
      <c r="A107" s="98">
        <f t="shared" si="30"/>
        <v>70</v>
      </c>
      <c r="B107" s="99">
        <f t="shared" ca="1" si="23"/>
        <v>48187</v>
      </c>
      <c r="C107" s="100">
        <f t="shared" si="24"/>
        <v>77083.33333333378</v>
      </c>
      <c r="D107" s="100">
        <f t="shared" si="25"/>
        <v>994.38</v>
      </c>
      <c r="E107" s="100">
        <f t="shared" si="26"/>
        <v>78077.713333333784</v>
      </c>
      <c r="F107" s="100">
        <f t="shared" si="19"/>
        <v>694.44444444444446</v>
      </c>
      <c r="G107" s="100">
        <f t="shared" si="27"/>
        <v>1688.8244444444445</v>
      </c>
      <c r="H107" s="100">
        <f t="shared" ca="1" si="20"/>
        <v>17.729166666666771</v>
      </c>
      <c r="I107" s="100">
        <f t="shared" si="21"/>
        <v>12.000000000000002</v>
      </c>
      <c r="J107" s="100">
        <f t="shared" ca="1" si="22"/>
        <v>1718.5536111111112</v>
      </c>
      <c r="K107" s="101">
        <f t="shared" si="28"/>
        <v>76388.888888889342</v>
      </c>
      <c r="O107" s="118">
        <f t="shared" si="18"/>
        <v>20.833333333333332</v>
      </c>
      <c r="P107" s="119">
        <f t="shared" ref="P107:P170" ca="1" si="34">IF($A102&lt;=$I$18,B102-B101,)</f>
        <v>30</v>
      </c>
      <c r="Q107" s="120">
        <v>365</v>
      </c>
      <c r="S107" s="123">
        <v>36</v>
      </c>
      <c r="T107" s="123">
        <v>2.2239999999999998E-4</v>
      </c>
      <c r="U107" s="123" t="s">
        <v>78</v>
      </c>
      <c r="AA107" s="96">
        <f t="shared" si="31"/>
        <v>69</v>
      </c>
      <c r="AB107" s="97">
        <f t="shared" si="29"/>
        <v>16323.422668157034</v>
      </c>
      <c r="AC107" s="97">
        <f t="shared" ca="1" si="32"/>
        <v>1727.6733333333334</v>
      </c>
      <c r="AE107" s="96">
        <f t="shared" si="33"/>
        <v>69</v>
      </c>
      <c r="AF107" s="97">
        <f>IFERROR(VLOOKUP(AE107,[1]Cálculos_PRICE!$A$32:$K$212,10,0),"")</f>
        <v>16323.422668157034</v>
      </c>
      <c r="AG107" s="97">
        <f ca="1">IFERROR(VLOOKUP(AE107,Cálculos_Aquisição_SAC_Fixa!A105:K378,10,0),"")</f>
        <v>1727.6733333333334</v>
      </c>
      <c r="AH107" s="97">
        <f>IFERROR(VLOOKUP(AE107,[1]Cálculos_PRICE!$A$32:$K$212,6,0),"")</f>
        <v>3039.0839982997022</v>
      </c>
      <c r="AI107" s="97">
        <f>IFERROR(VLOOKUP(AE107,Cálculos_Aquisição_SAC_Fixa!A105:K378,6,0),"")</f>
        <v>694.44444444444446</v>
      </c>
      <c r="AJ107" s="97">
        <f>IFERROR(VLOOKUP(AE107,[1]Cálculos_PRICE!$A$32:$K$240,11,0),"")</f>
        <v>867969.34239026799</v>
      </c>
      <c r="AK107" s="97">
        <f>IFERROR(VLOOKUP(AE107,Cálculos_Aquisição_SAC_Fixa!A105:K378,11,0),"")</f>
        <v>77083.33333333378</v>
      </c>
      <c r="AW107" s="132"/>
    </row>
    <row r="108" spans="1:49" ht="15.5" x14ac:dyDescent="0.35">
      <c r="A108" s="98">
        <f t="shared" si="30"/>
        <v>71</v>
      </c>
      <c r="B108" s="99">
        <f t="shared" ca="1" si="23"/>
        <v>48218</v>
      </c>
      <c r="C108" s="100">
        <f t="shared" si="24"/>
        <v>76388.888888889342</v>
      </c>
      <c r="D108" s="100">
        <f t="shared" si="25"/>
        <v>985.42</v>
      </c>
      <c r="E108" s="100">
        <f t="shared" si="26"/>
        <v>77374.30888888934</v>
      </c>
      <c r="F108" s="100">
        <f t="shared" si="19"/>
        <v>694.44444444444446</v>
      </c>
      <c r="G108" s="100">
        <f t="shared" si="27"/>
        <v>1679.8644444444444</v>
      </c>
      <c r="H108" s="100">
        <f t="shared" ca="1" si="20"/>
        <v>17.569444444444549</v>
      </c>
      <c r="I108" s="100">
        <f t="shared" si="21"/>
        <v>12.000000000000002</v>
      </c>
      <c r="J108" s="100">
        <f t="shared" ca="1" si="22"/>
        <v>1709.433888888889</v>
      </c>
      <c r="K108" s="101">
        <f t="shared" si="28"/>
        <v>75694.444444444904</v>
      </c>
      <c r="O108" s="118">
        <f t="shared" si="18"/>
        <v>20.833333333333332</v>
      </c>
      <c r="P108" s="119">
        <f t="shared" ca="1" si="34"/>
        <v>31</v>
      </c>
      <c r="Q108" s="120">
        <v>365</v>
      </c>
      <c r="S108" s="123">
        <v>37</v>
      </c>
      <c r="T108" s="123">
        <v>2.2239999999999998E-4</v>
      </c>
      <c r="U108" s="123" t="s">
        <v>78</v>
      </c>
      <c r="AA108" s="96">
        <f t="shared" si="31"/>
        <v>70</v>
      </c>
      <c r="AB108" s="97">
        <f t="shared" si="29"/>
        <v>16322.746775875812</v>
      </c>
      <c r="AC108" s="97">
        <f t="shared" ca="1" si="32"/>
        <v>1718.5536111111112</v>
      </c>
      <c r="AE108" s="96">
        <f t="shared" si="33"/>
        <v>70</v>
      </c>
      <c r="AF108" s="97">
        <f>IFERROR(VLOOKUP(AE108,[1]Cálculos_PRICE!$A$32:$K$212,10,0),"")</f>
        <v>16322.746775875812</v>
      </c>
      <c r="AG108" s="97">
        <f ca="1">IFERROR(VLOOKUP(AE108,Cálculos_Aquisição_SAC_Fixa!A106:K379,10,0),"")</f>
        <v>1718.5536111111112</v>
      </c>
      <c r="AH108" s="97">
        <f>IFERROR(VLOOKUP(AE108,[1]Cálculos_PRICE!$A$32:$K$212,6,0),"")</f>
        <v>3084.6702582741964</v>
      </c>
      <c r="AI108" s="97">
        <f>IFERROR(VLOOKUP(AE108,Cálculos_Aquisição_SAC_Fixa!A106:K379,6,0),"")</f>
        <v>694.44444444444446</v>
      </c>
      <c r="AJ108" s="97">
        <f>IFERROR(VLOOKUP(AE108,[1]Cálculos_PRICE!$A$32:$K$240,11,0),"")</f>
        <v>864884.67213199381</v>
      </c>
      <c r="AK108" s="97">
        <f>IFERROR(VLOOKUP(AE108,Cálculos_Aquisição_SAC_Fixa!A106:K379,11,0),"")</f>
        <v>76388.888888889342</v>
      </c>
      <c r="AW108" s="132"/>
    </row>
    <row r="109" spans="1:49" ht="15.5" x14ac:dyDescent="0.35">
      <c r="A109" s="98">
        <f t="shared" si="30"/>
        <v>72</v>
      </c>
      <c r="B109" s="99">
        <f t="shared" ca="1" si="23"/>
        <v>48249</v>
      </c>
      <c r="C109" s="100">
        <f t="shared" si="24"/>
        <v>75694.444444444904</v>
      </c>
      <c r="D109" s="100">
        <f t="shared" si="25"/>
        <v>976.46</v>
      </c>
      <c r="E109" s="100">
        <f t="shared" si="26"/>
        <v>76670.90444444491</v>
      </c>
      <c r="F109" s="100">
        <f t="shared" si="19"/>
        <v>694.44444444444446</v>
      </c>
      <c r="G109" s="100">
        <f t="shared" si="27"/>
        <v>1670.9044444444444</v>
      </c>
      <c r="H109" s="100">
        <f t="shared" ca="1" si="20"/>
        <v>17.409722222222328</v>
      </c>
      <c r="I109" s="100">
        <f t="shared" si="21"/>
        <v>12.000000000000002</v>
      </c>
      <c r="J109" s="100">
        <f t="shared" ca="1" si="22"/>
        <v>1700.3141666666668</v>
      </c>
      <c r="K109" s="101">
        <f t="shared" si="28"/>
        <v>75000.000000000466</v>
      </c>
      <c r="O109" s="118">
        <f t="shared" si="18"/>
        <v>20.833333333333332</v>
      </c>
      <c r="P109" s="119">
        <f t="shared" ca="1" si="34"/>
        <v>31</v>
      </c>
      <c r="Q109" s="120">
        <v>365</v>
      </c>
      <c r="S109" s="123">
        <v>38</v>
      </c>
      <c r="T109" s="123">
        <v>2.2239999999999998E-4</v>
      </c>
      <c r="U109" s="123" t="s">
        <v>78</v>
      </c>
      <c r="AA109" s="96">
        <f t="shared" si="31"/>
        <v>71</v>
      </c>
      <c r="AB109" s="97">
        <f t="shared" si="29"/>
        <v>16322.060745210372</v>
      </c>
      <c r="AC109" s="97">
        <f t="shared" ca="1" si="32"/>
        <v>1709.433888888889</v>
      </c>
      <c r="AE109" s="96">
        <f t="shared" si="33"/>
        <v>71</v>
      </c>
      <c r="AF109" s="97">
        <f>IFERROR(VLOOKUP(AE109,[1]Cálculos_PRICE!$A$32:$K$212,10,0),"")</f>
        <v>16322.060745210372</v>
      </c>
      <c r="AG109" s="97">
        <f ca="1">IFERROR(VLOOKUP(AE109,Cálculos_Aquisição_SAC_Fixa!A107:K380,10,0),"")</f>
        <v>1709.433888888889</v>
      </c>
      <c r="AH109" s="97">
        <f>IFERROR(VLOOKUP(AE109,[1]Cálculos_PRICE!$A$32:$K$212,6,0),"")</f>
        <v>3130.9403121483101</v>
      </c>
      <c r="AI109" s="97">
        <f>IFERROR(VLOOKUP(AE109,Cálculos_Aquisição_SAC_Fixa!A107:K380,6,0),"")</f>
        <v>694.44444444444446</v>
      </c>
      <c r="AJ109" s="97">
        <f>IFERROR(VLOOKUP(AE109,[1]Cálculos_PRICE!$A$32:$K$240,11,0),"")</f>
        <v>861753.7318198455</v>
      </c>
      <c r="AK109" s="97">
        <f>IFERROR(VLOOKUP(AE109,Cálculos_Aquisição_SAC_Fixa!A107:K380,11,0),"")</f>
        <v>75694.444444444904</v>
      </c>
      <c r="AW109" s="132"/>
    </row>
    <row r="110" spans="1:49" ht="15.5" x14ac:dyDescent="0.35">
      <c r="A110" s="98">
        <f t="shared" si="30"/>
        <v>73</v>
      </c>
      <c r="B110" s="99">
        <f t="shared" ca="1" si="23"/>
        <v>48278</v>
      </c>
      <c r="C110" s="100">
        <f t="shared" si="24"/>
        <v>75000.000000000466</v>
      </c>
      <c r="D110" s="100">
        <f t="shared" si="25"/>
        <v>967.51</v>
      </c>
      <c r="E110" s="100">
        <f t="shared" si="26"/>
        <v>75967.51000000046</v>
      </c>
      <c r="F110" s="100">
        <f t="shared" si="19"/>
        <v>694.44444444444446</v>
      </c>
      <c r="G110" s="100">
        <f t="shared" si="27"/>
        <v>1661.9544444444446</v>
      </c>
      <c r="H110" s="100">
        <f t="shared" ca="1" si="20"/>
        <v>17.250000000000107</v>
      </c>
      <c r="I110" s="100">
        <f t="shared" si="21"/>
        <v>12.000000000000002</v>
      </c>
      <c r="J110" s="100">
        <f t="shared" ca="1" si="22"/>
        <v>1691.2044444444446</v>
      </c>
      <c r="K110" s="101">
        <f t="shared" si="28"/>
        <v>74305.555555556028</v>
      </c>
      <c r="O110" s="118">
        <f t="shared" si="18"/>
        <v>20.833333333333332</v>
      </c>
      <c r="P110" s="119">
        <f t="shared" ca="1" si="34"/>
        <v>30</v>
      </c>
      <c r="Q110" s="120">
        <v>365</v>
      </c>
      <c r="S110" s="123">
        <v>39</v>
      </c>
      <c r="T110" s="123">
        <v>2.2239999999999998E-4</v>
      </c>
      <c r="U110" s="123" t="s">
        <v>78</v>
      </c>
      <c r="AA110" s="96">
        <f t="shared" si="31"/>
        <v>72</v>
      </c>
      <c r="AB110" s="97">
        <f t="shared" si="29"/>
        <v>16321.36442408495</v>
      </c>
      <c r="AC110" s="97">
        <f t="shared" ca="1" si="32"/>
        <v>1700.3141666666668</v>
      </c>
      <c r="AE110" s="96">
        <f t="shared" si="33"/>
        <v>72</v>
      </c>
      <c r="AF110" s="97">
        <f>IFERROR(VLOOKUP(AE110,[1]Cálculos_PRICE!$A$32:$K$212,10,0),"")</f>
        <v>16321.36442408495</v>
      </c>
      <c r="AG110" s="97">
        <f ca="1">IFERROR(VLOOKUP(AE110,Cálculos_Aquisição_SAC_Fixa!A108:K381,10,0),"")</f>
        <v>1700.3141666666668</v>
      </c>
      <c r="AH110" s="97">
        <f>IFERROR(VLOOKUP(AE110,[1]Cálculos_PRICE!$A$32:$K$212,6,0),"")</f>
        <v>3177.9044168305354</v>
      </c>
      <c r="AI110" s="97">
        <f>IFERROR(VLOOKUP(AE110,Cálculos_Aquisição_SAC_Fixa!A108:K381,6,0),"")</f>
        <v>694.44444444444446</v>
      </c>
      <c r="AJ110" s="97">
        <f>IFERROR(VLOOKUP(AE110,[1]Cálculos_PRICE!$A$32:$K$240,11,0),"")</f>
        <v>858575.82740301499</v>
      </c>
      <c r="AK110" s="97">
        <f>IFERROR(VLOOKUP(AE110,Cálculos_Aquisição_SAC_Fixa!A108:K381,11,0),"")</f>
        <v>75000.000000000466</v>
      </c>
      <c r="AW110" s="132"/>
    </row>
    <row r="111" spans="1:49" ht="15.5" x14ac:dyDescent="0.35">
      <c r="A111" s="98">
        <f t="shared" si="30"/>
        <v>74</v>
      </c>
      <c r="B111" s="99">
        <f t="shared" ca="1" si="23"/>
        <v>48309</v>
      </c>
      <c r="C111" s="100">
        <f t="shared" si="24"/>
        <v>74305.555555556028</v>
      </c>
      <c r="D111" s="100">
        <f t="shared" si="25"/>
        <v>958.55</v>
      </c>
      <c r="E111" s="100">
        <f t="shared" si="26"/>
        <v>75264.105555556031</v>
      </c>
      <c r="F111" s="100">
        <f t="shared" si="19"/>
        <v>694.44444444444446</v>
      </c>
      <c r="G111" s="100">
        <f t="shared" si="27"/>
        <v>1652.9944444444445</v>
      </c>
      <c r="H111" s="100">
        <f t="shared" ca="1" si="20"/>
        <v>17.090277777777885</v>
      </c>
      <c r="I111" s="100">
        <f t="shared" si="21"/>
        <v>12.000000000000002</v>
      </c>
      <c r="J111" s="100">
        <f t="shared" ca="1" si="22"/>
        <v>1682.0847222222224</v>
      </c>
      <c r="K111" s="101">
        <f t="shared" si="28"/>
        <v>73611.11111111159</v>
      </c>
      <c r="O111" s="118">
        <f t="shared" si="18"/>
        <v>20.833333333333332</v>
      </c>
      <c r="P111" s="119">
        <f t="shared" ca="1" si="34"/>
        <v>31</v>
      </c>
      <c r="Q111" s="120">
        <v>365</v>
      </c>
      <c r="S111" s="123">
        <v>40</v>
      </c>
      <c r="T111" s="123">
        <v>2.2239999999999998E-4</v>
      </c>
      <c r="U111" s="123" t="s">
        <v>78</v>
      </c>
      <c r="AA111" s="96">
        <f t="shared" si="31"/>
        <v>73</v>
      </c>
      <c r="AB111" s="97">
        <f t="shared" si="29"/>
        <v>16320.657658142647</v>
      </c>
      <c r="AC111" s="97">
        <f t="shared" ca="1" si="32"/>
        <v>1691.2044444444446</v>
      </c>
      <c r="AE111" s="96">
        <f t="shared" si="33"/>
        <v>73</v>
      </c>
      <c r="AF111" s="97">
        <f>IFERROR(VLOOKUP(AE111,[1]Cálculos_PRICE!$A$32:$K$212,10,0),"")</f>
        <v>16320.657658142647</v>
      </c>
      <c r="AG111" s="97">
        <f ca="1">IFERROR(VLOOKUP(AE111,Cálculos_Aquisição_SAC_Fixa!A109:K382,10,0),"")</f>
        <v>1691.2044444444446</v>
      </c>
      <c r="AH111" s="97">
        <f>IFERROR(VLOOKUP(AE111,[1]Cálculos_PRICE!$A$32:$K$212,6,0),"")</f>
        <v>3225.5729830829914</v>
      </c>
      <c r="AI111" s="97">
        <f>IFERROR(VLOOKUP(AE111,Cálculos_Aquisição_SAC_Fixa!A109:K382,6,0),"")</f>
        <v>694.44444444444446</v>
      </c>
      <c r="AJ111" s="97">
        <f>IFERROR(VLOOKUP(AE111,[1]Cálculos_PRICE!$A$32:$K$240,11,0),"")</f>
        <v>855350.25441993203</v>
      </c>
      <c r="AK111" s="97">
        <f>IFERROR(VLOOKUP(AE111,Cálculos_Aquisição_SAC_Fixa!A109:K382,11,0),"")</f>
        <v>74305.555555556028</v>
      </c>
      <c r="AW111" s="132"/>
    </row>
    <row r="112" spans="1:49" ht="15.5" x14ac:dyDescent="0.35">
      <c r="A112" s="98">
        <f t="shared" si="30"/>
        <v>75</v>
      </c>
      <c r="B112" s="99">
        <f t="shared" ca="1" si="23"/>
        <v>48339</v>
      </c>
      <c r="C112" s="100">
        <f t="shared" si="24"/>
        <v>73611.11111111159</v>
      </c>
      <c r="D112" s="100">
        <f t="shared" si="25"/>
        <v>949.59</v>
      </c>
      <c r="E112" s="100">
        <f t="shared" si="26"/>
        <v>74560.701111111586</v>
      </c>
      <c r="F112" s="100">
        <f t="shared" si="19"/>
        <v>694.44444444444446</v>
      </c>
      <c r="G112" s="100">
        <f t="shared" si="27"/>
        <v>1644.0344444444445</v>
      </c>
      <c r="H112" s="100">
        <f t="shared" ca="1" si="20"/>
        <v>16.930555555555667</v>
      </c>
      <c r="I112" s="100">
        <f t="shared" si="21"/>
        <v>12.000000000000002</v>
      </c>
      <c r="J112" s="100">
        <f t="shared" ca="1" si="22"/>
        <v>1672.9650000000001</v>
      </c>
      <c r="K112" s="101">
        <f t="shared" si="28"/>
        <v>72916.666666667152</v>
      </c>
      <c r="O112" s="118">
        <f t="shared" si="18"/>
        <v>20.833333333333332</v>
      </c>
      <c r="P112" s="119">
        <f t="shared" ca="1" si="34"/>
        <v>30</v>
      </c>
      <c r="Q112" s="120">
        <v>365</v>
      </c>
      <c r="S112" s="123">
        <v>41</v>
      </c>
      <c r="T112" s="123">
        <v>3.2539999999999999E-4</v>
      </c>
      <c r="U112" s="123" t="s">
        <v>79</v>
      </c>
      <c r="AA112" s="96">
        <f t="shared" si="31"/>
        <v>74</v>
      </c>
      <c r="AB112" s="97">
        <f t="shared" si="29"/>
        <v>16319.940290711209</v>
      </c>
      <c r="AC112" s="97">
        <f t="shared" ca="1" si="32"/>
        <v>1682.0847222222224</v>
      </c>
      <c r="AE112" s="96">
        <f t="shared" si="33"/>
        <v>74</v>
      </c>
      <c r="AF112" s="97">
        <f>IFERROR(VLOOKUP(AE112,[1]Cálculos_PRICE!$A$32:$K$212,10,0),"")</f>
        <v>16319.940290711209</v>
      </c>
      <c r="AG112" s="97">
        <f ca="1">IFERROR(VLOOKUP(AE112,Cálculos_Aquisição_SAC_Fixa!A110:K383,10,0),"")</f>
        <v>1682.0847222222224</v>
      </c>
      <c r="AH112" s="97">
        <f>IFERROR(VLOOKUP(AE112,[1]Cálculos_PRICE!$A$32:$K$212,6,0),"")</f>
        <v>3273.9565778292363</v>
      </c>
      <c r="AI112" s="97">
        <f>IFERROR(VLOOKUP(AE112,Cálculos_Aquisição_SAC_Fixa!A110:K383,6,0),"")</f>
        <v>694.44444444444446</v>
      </c>
      <c r="AJ112" s="97">
        <f>IFERROR(VLOOKUP(AE112,[1]Cálculos_PRICE!$A$32:$K$240,11,0),"")</f>
        <v>852076.29784210282</v>
      </c>
      <c r="AK112" s="97">
        <f>IFERROR(VLOOKUP(AE112,Cálculos_Aquisição_SAC_Fixa!A110:K383,11,0),"")</f>
        <v>73611.11111111159</v>
      </c>
      <c r="AW112" s="132"/>
    </row>
    <row r="113" spans="1:49" ht="15.5" x14ac:dyDescent="0.35">
      <c r="A113" s="98">
        <f t="shared" si="30"/>
        <v>76</v>
      </c>
      <c r="B113" s="99">
        <f t="shared" ca="1" si="23"/>
        <v>48370</v>
      </c>
      <c r="C113" s="100">
        <f t="shared" si="24"/>
        <v>72916.666666667152</v>
      </c>
      <c r="D113" s="100">
        <f t="shared" si="25"/>
        <v>940.63</v>
      </c>
      <c r="E113" s="100">
        <f t="shared" si="26"/>
        <v>73857.296666667156</v>
      </c>
      <c r="F113" s="100">
        <f t="shared" si="19"/>
        <v>694.44444444444446</v>
      </c>
      <c r="G113" s="100">
        <f t="shared" si="27"/>
        <v>1635.0744444444445</v>
      </c>
      <c r="H113" s="100">
        <f t="shared" ca="1" si="20"/>
        <v>16.770833333333446</v>
      </c>
      <c r="I113" s="100">
        <f t="shared" si="21"/>
        <v>12.000000000000002</v>
      </c>
      <c r="J113" s="100">
        <f t="shared" ca="1" si="22"/>
        <v>1663.8452777777779</v>
      </c>
      <c r="K113" s="101">
        <f t="shared" si="28"/>
        <v>72222.222222222714</v>
      </c>
      <c r="O113" s="118">
        <f t="shared" si="18"/>
        <v>20.833333333333332</v>
      </c>
      <c r="P113" s="119">
        <f t="shared" ca="1" si="34"/>
        <v>31</v>
      </c>
      <c r="Q113" s="120">
        <v>365</v>
      </c>
      <c r="S113" s="123">
        <v>42</v>
      </c>
      <c r="T113" s="123">
        <v>3.2539999999999999E-4</v>
      </c>
      <c r="U113" s="123" t="s">
        <v>79</v>
      </c>
      <c r="AA113" s="96">
        <f t="shared" si="31"/>
        <v>75</v>
      </c>
      <c r="AB113" s="97">
        <f t="shared" si="29"/>
        <v>16319.212162768301</v>
      </c>
      <c r="AC113" s="97">
        <f t="shared" ca="1" si="32"/>
        <v>1672.9650000000001</v>
      </c>
      <c r="AE113" s="96">
        <f t="shared" si="33"/>
        <v>75</v>
      </c>
      <c r="AF113" s="97">
        <f>IFERROR(VLOOKUP(AE113,[1]Cálculos_PRICE!$A$32:$K$212,10,0),"")</f>
        <v>16319.212162768301</v>
      </c>
      <c r="AG113" s="97">
        <f ca="1">IFERROR(VLOOKUP(AE113,Cálculos_Aquisição_SAC_Fixa!A111:K384,10,0),"")</f>
        <v>1672.9650000000001</v>
      </c>
      <c r="AH113" s="97">
        <f>IFERROR(VLOOKUP(AE113,[1]Cálculos_PRICE!$A$32:$K$212,6,0),"")</f>
        <v>3323.0659264966744</v>
      </c>
      <c r="AI113" s="97">
        <f>IFERROR(VLOOKUP(AE113,Cálculos_Aquisição_SAC_Fixa!A111:K384,6,0),"")</f>
        <v>694.44444444444446</v>
      </c>
      <c r="AJ113" s="97">
        <f>IFERROR(VLOOKUP(AE113,[1]Cálculos_PRICE!$A$32:$K$240,11,0),"")</f>
        <v>848753.23191560619</v>
      </c>
      <c r="AK113" s="97">
        <f>IFERROR(VLOOKUP(AE113,Cálculos_Aquisição_SAC_Fixa!A111:K384,11,0),"")</f>
        <v>72916.666666667152</v>
      </c>
      <c r="AW113" s="132"/>
    </row>
    <row r="114" spans="1:49" ht="15.5" x14ac:dyDescent="0.35">
      <c r="A114" s="98">
        <f t="shared" si="30"/>
        <v>77</v>
      </c>
      <c r="B114" s="99">
        <f t="shared" ca="1" si="23"/>
        <v>48400</v>
      </c>
      <c r="C114" s="100">
        <f t="shared" si="24"/>
        <v>72222.222222222714</v>
      </c>
      <c r="D114" s="100">
        <f t="shared" si="25"/>
        <v>931.67</v>
      </c>
      <c r="E114" s="100">
        <f t="shared" si="26"/>
        <v>73153.892222222712</v>
      </c>
      <c r="F114" s="100">
        <f t="shared" si="19"/>
        <v>694.44444444444446</v>
      </c>
      <c r="G114" s="100">
        <f t="shared" si="27"/>
        <v>1626.1144444444444</v>
      </c>
      <c r="H114" s="100">
        <f t="shared" ca="1" si="20"/>
        <v>16.611111111111224</v>
      </c>
      <c r="I114" s="100">
        <f t="shared" si="21"/>
        <v>12.000000000000002</v>
      </c>
      <c r="J114" s="100">
        <f t="shared" ca="1" si="22"/>
        <v>1654.7255555555557</v>
      </c>
      <c r="K114" s="101">
        <f t="shared" si="28"/>
        <v>71527.777777778276</v>
      </c>
      <c r="O114" s="118">
        <f t="shared" si="18"/>
        <v>20.833333333333332</v>
      </c>
      <c r="P114" s="119">
        <f t="shared" ca="1" si="34"/>
        <v>31</v>
      </c>
      <c r="Q114" s="120">
        <v>365</v>
      </c>
      <c r="S114" s="123">
        <v>43</v>
      </c>
      <c r="T114" s="123">
        <v>3.2539999999999999E-4</v>
      </c>
      <c r="U114" s="123" t="s">
        <v>79</v>
      </c>
      <c r="AA114" s="96">
        <f t="shared" si="31"/>
        <v>76</v>
      </c>
      <c r="AB114" s="97">
        <f t="shared" si="29"/>
        <v>16318.473112906247</v>
      </c>
      <c r="AC114" s="97">
        <f t="shared" ca="1" si="32"/>
        <v>1663.8452777777779</v>
      </c>
      <c r="AE114" s="96">
        <f t="shared" si="33"/>
        <v>76</v>
      </c>
      <c r="AF114" s="97">
        <f>IFERROR(VLOOKUP(AE114,[1]Cálculos_PRICE!$A$32:$K$212,10,0),"")</f>
        <v>16318.473112906247</v>
      </c>
      <c r="AG114" s="97">
        <f ca="1">IFERROR(VLOOKUP(AE114,Cálculos_Aquisição_SAC_Fixa!A112:K385,10,0),"")</f>
        <v>1663.8452777777779</v>
      </c>
      <c r="AH114" s="97">
        <f>IFERROR(VLOOKUP(AE114,[1]Cálculos_PRICE!$A$32:$K$212,6,0),"")</f>
        <v>3372.9119153941247</v>
      </c>
      <c r="AI114" s="97">
        <f>IFERROR(VLOOKUP(AE114,Cálculos_Aquisição_SAC_Fixa!A112:K385,6,0),"")</f>
        <v>694.44444444444446</v>
      </c>
      <c r="AJ114" s="97">
        <f>IFERROR(VLOOKUP(AE114,[1]Cálculos_PRICE!$A$32:$K$240,11,0),"")</f>
        <v>845380.32000021206</v>
      </c>
      <c r="AK114" s="97">
        <f>IFERROR(VLOOKUP(AE114,Cálculos_Aquisição_SAC_Fixa!A112:K385,11,0),"")</f>
        <v>72222.222222222714</v>
      </c>
      <c r="AW114" s="132"/>
    </row>
    <row r="115" spans="1:49" ht="15.5" x14ac:dyDescent="0.35">
      <c r="A115" s="98">
        <f t="shared" si="30"/>
        <v>78</v>
      </c>
      <c r="B115" s="99">
        <f t="shared" ca="1" si="23"/>
        <v>48431</v>
      </c>
      <c r="C115" s="100">
        <f t="shared" si="24"/>
        <v>71527.777777778276</v>
      </c>
      <c r="D115" s="100">
        <f t="shared" si="25"/>
        <v>922.71</v>
      </c>
      <c r="E115" s="100">
        <f t="shared" si="26"/>
        <v>72450.487777778282</v>
      </c>
      <c r="F115" s="100">
        <f t="shared" si="19"/>
        <v>694.44444444444446</v>
      </c>
      <c r="G115" s="100">
        <f t="shared" si="27"/>
        <v>1617.1544444444444</v>
      </c>
      <c r="H115" s="100">
        <f t="shared" ca="1" si="20"/>
        <v>16.451388888889003</v>
      </c>
      <c r="I115" s="100">
        <f t="shared" si="21"/>
        <v>12.000000000000002</v>
      </c>
      <c r="J115" s="100">
        <f t="shared" ca="1" si="22"/>
        <v>1645.6058333333333</v>
      </c>
      <c r="K115" s="101">
        <f t="shared" si="28"/>
        <v>70833.333333333838</v>
      </c>
      <c r="O115" s="118">
        <f t="shared" si="18"/>
        <v>20.833333333333332</v>
      </c>
      <c r="P115" s="119">
        <f t="shared" ca="1" si="34"/>
        <v>29</v>
      </c>
      <c r="Q115" s="120">
        <v>365</v>
      </c>
      <c r="S115" s="123">
        <v>44</v>
      </c>
      <c r="T115" s="123">
        <v>3.2539999999999999E-4</v>
      </c>
      <c r="U115" s="123" t="s">
        <v>79</v>
      </c>
      <c r="AA115" s="96">
        <f t="shared" si="31"/>
        <v>77</v>
      </c>
      <c r="AB115" s="97">
        <f t="shared" si="29"/>
        <v>16317.722977296264</v>
      </c>
      <c r="AC115" s="97">
        <f t="shared" ca="1" si="32"/>
        <v>1654.7255555555557</v>
      </c>
      <c r="AE115" s="96">
        <f t="shared" si="33"/>
        <v>77</v>
      </c>
      <c r="AF115" s="97">
        <f>IFERROR(VLOOKUP(AE115,[1]Cálculos_PRICE!$A$32:$K$212,10,0),"")</f>
        <v>16317.722977296264</v>
      </c>
      <c r="AG115" s="97">
        <f ca="1">IFERROR(VLOOKUP(AE115,Cálculos_Aquisição_SAC_Fixa!A113:K386,10,0),"")</f>
        <v>1654.7255555555557</v>
      </c>
      <c r="AH115" s="97">
        <f>IFERROR(VLOOKUP(AE115,[1]Cálculos_PRICE!$A$32:$K$212,6,0),"")</f>
        <v>3423.5055941250357</v>
      </c>
      <c r="AI115" s="97">
        <f>IFERROR(VLOOKUP(AE115,Cálculos_Aquisição_SAC_Fixa!A113:K386,6,0),"")</f>
        <v>694.44444444444446</v>
      </c>
      <c r="AJ115" s="97">
        <f>IFERROR(VLOOKUP(AE115,[1]Cálculos_PRICE!$A$32:$K$240,11,0),"")</f>
        <v>841956.81440608704</v>
      </c>
      <c r="AK115" s="97">
        <f>IFERROR(VLOOKUP(AE115,Cálculos_Aquisição_SAC_Fixa!A113:K386,11,0),"")</f>
        <v>71527.777777778276</v>
      </c>
      <c r="AW115" s="132"/>
    </row>
    <row r="116" spans="1:49" ht="15.5" x14ac:dyDescent="0.35">
      <c r="A116" s="98">
        <f t="shared" si="30"/>
        <v>79</v>
      </c>
      <c r="B116" s="99">
        <f t="shared" ca="1" si="23"/>
        <v>48462</v>
      </c>
      <c r="C116" s="100">
        <f t="shared" si="24"/>
        <v>70833.333333333838</v>
      </c>
      <c r="D116" s="100">
        <f t="shared" si="25"/>
        <v>913.76</v>
      </c>
      <c r="E116" s="100">
        <f t="shared" si="26"/>
        <v>71747.093333333833</v>
      </c>
      <c r="F116" s="100">
        <f t="shared" si="19"/>
        <v>694.44444444444446</v>
      </c>
      <c r="G116" s="100">
        <f t="shared" si="27"/>
        <v>1608.2044444444446</v>
      </c>
      <c r="H116" s="100">
        <f t="shared" ca="1" si="20"/>
        <v>16.291666666666782</v>
      </c>
      <c r="I116" s="100">
        <f t="shared" si="21"/>
        <v>12.000000000000002</v>
      </c>
      <c r="J116" s="100">
        <f t="shared" ca="1" si="22"/>
        <v>1636.4961111111113</v>
      </c>
      <c r="K116" s="101">
        <f t="shared" si="28"/>
        <v>70138.8888888894</v>
      </c>
      <c r="O116" s="118">
        <f t="shared" si="18"/>
        <v>20.833333333333332</v>
      </c>
      <c r="P116" s="119">
        <f t="shared" ca="1" si="34"/>
        <v>31</v>
      </c>
      <c r="Q116" s="120">
        <v>365</v>
      </c>
      <c r="S116" s="123">
        <v>45</v>
      </c>
      <c r="T116" s="123">
        <v>3.2539999999999999E-4</v>
      </c>
      <c r="U116" s="123" t="s">
        <v>79</v>
      </c>
      <c r="AA116" s="96">
        <f t="shared" si="31"/>
        <v>78</v>
      </c>
      <c r="AB116" s="97">
        <f t="shared" si="29"/>
        <v>16316.96158965213</v>
      </c>
      <c r="AC116" s="97">
        <f t="shared" ca="1" si="32"/>
        <v>1645.6058333333333</v>
      </c>
      <c r="AE116" s="96">
        <f t="shared" si="33"/>
        <v>78</v>
      </c>
      <c r="AF116" s="97">
        <f>IFERROR(VLOOKUP(AE116,[1]Cálculos_PRICE!$A$32:$K$212,10,0),"")</f>
        <v>16316.96158965213</v>
      </c>
      <c r="AG116" s="97">
        <f ca="1">IFERROR(VLOOKUP(AE116,Cálculos_Aquisição_SAC_Fixa!A114:K387,10,0),"")</f>
        <v>1645.6058333333333</v>
      </c>
      <c r="AH116" s="97">
        <f>IFERROR(VLOOKUP(AE116,[1]Cálculos_PRICE!$A$32:$K$212,6,0),"")</f>
        <v>3474.8581780369113</v>
      </c>
      <c r="AI116" s="97">
        <f>IFERROR(VLOOKUP(AE116,Cálculos_Aquisição_SAC_Fixa!A114:K387,6,0),"")</f>
        <v>694.44444444444446</v>
      </c>
      <c r="AJ116" s="97">
        <f>IFERROR(VLOOKUP(AE116,[1]Cálculos_PRICE!$A$32:$K$240,11,0),"")</f>
        <v>838481.95622805017</v>
      </c>
      <c r="AK116" s="97">
        <f>IFERROR(VLOOKUP(AE116,Cálculos_Aquisição_SAC_Fixa!A114:K387,11,0),"")</f>
        <v>70833.333333333838</v>
      </c>
      <c r="AW116" s="132"/>
    </row>
    <row r="117" spans="1:49" ht="15.5" x14ac:dyDescent="0.35">
      <c r="A117" s="98">
        <f t="shared" si="30"/>
        <v>80</v>
      </c>
      <c r="B117" s="99">
        <f t="shared" ca="1" si="23"/>
        <v>48492</v>
      </c>
      <c r="C117" s="100">
        <f t="shared" si="24"/>
        <v>70138.8888888894</v>
      </c>
      <c r="D117" s="100">
        <f t="shared" si="25"/>
        <v>904.8</v>
      </c>
      <c r="E117" s="100">
        <f t="shared" si="26"/>
        <v>71043.688888889403</v>
      </c>
      <c r="F117" s="100">
        <f t="shared" si="19"/>
        <v>694.44444444444446</v>
      </c>
      <c r="G117" s="100">
        <f t="shared" si="27"/>
        <v>1599.2444444444445</v>
      </c>
      <c r="H117" s="100">
        <f t="shared" ca="1" si="20"/>
        <v>16.131944444444564</v>
      </c>
      <c r="I117" s="100">
        <f t="shared" si="21"/>
        <v>12.000000000000002</v>
      </c>
      <c r="J117" s="100">
        <f t="shared" ca="1" si="22"/>
        <v>1627.3763888888891</v>
      </c>
      <c r="K117" s="101">
        <f t="shared" si="28"/>
        <v>69444.444444444962</v>
      </c>
      <c r="O117" s="118">
        <f t="shared" si="18"/>
        <v>20.833333333333332</v>
      </c>
      <c r="P117" s="119">
        <f t="shared" ca="1" si="34"/>
        <v>30</v>
      </c>
      <c r="Q117" s="120">
        <v>365</v>
      </c>
      <c r="S117" s="123">
        <v>46</v>
      </c>
      <c r="T117" s="123">
        <v>3.2539999999999999E-4</v>
      </c>
      <c r="U117" s="123" t="s">
        <v>79</v>
      </c>
      <c r="AA117" s="96">
        <f t="shared" si="31"/>
        <v>79</v>
      </c>
      <c r="AB117" s="97">
        <f t="shared" si="29"/>
        <v>16316.188781193336</v>
      </c>
      <c r="AC117" s="97">
        <f t="shared" ca="1" si="32"/>
        <v>1636.4961111111113</v>
      </c>
      <c r="AE117" s="96">
        <f t="shared" si="33"/>
        <v>79</v>
      </c>
      <c r="AF117" s="97">
        <f>IFERROR(VLOOKUP(AE117,[1]Cálculos_PRICE!$A$32:$K$212,10,0),"")</f>
        <v>16316.188781193336</v>
      </c>
      <c r="AG117" s="97">
        <f ca="1">IFERROR(VLOOKUP(AE117,Cálculos_Aquisição_SAC_Fixa!A115:K388,10,0),"")</f>
        <v>1636.4961111111113</v>
      </c>
      <c r="AH117" s="97">
        <f>IFERROR(VLOOKUP(AE117,[1]Cálculos_PRICE!$A$32:$K$212,6,0),"")</f>
        <v>3526.9810507074653</v>
      </c>
      <c r="AI117" s="97">
        <f>IFERROR(VLOOKUP(AE117,Cálculos_Aquisição_SAC_Fixa!A115:K388,6,0),"")</f>
        <v>694.44444444444446</v>
      </c>
      <c r="AJ117" s="97">
        <f>IFERROR(VLOOKUP(AE117,[1]Cálculos_PRICE!$A$32:$K$240,11,0),"")</f>
        <v>834954.97517734265</v>
      </c>
      <c r="AK117" s="97">
        <f>IFERROR(VLOOKUP(AE117,Cálculos_Aquisição_SAC_Fixa!A115:K388,11,0),"")</f>
        <v>70138.8888888894</v>
      </c>
      <c r="AW117" s="132"/>
    </row>
    <row r="118" spans="1:49" ht="15.5" x14ac:dyDescent="0.35">
      <c r="A118" s="98">
        <f t="shared" si="30"/>
        <v>81</v>
      </c>
      <c r="B118" s="99">
        <f t="shared" ca="1" si="23"/>
        <v>48523</v>
      </c>
      <c r="C118" s="100">
        <f t="shared" si="24"/>
        <v>69444.444444444962</v>
      </c>
      <c r="D118" s="100">
        <f t="shared" si="25"/>
        <v>895.84</v>
      </c>
      <c r="E118" s="100">
        <f t="shared" si="26"/>
        <v>70340.284444444958</v>
      </c>
      <c r="F118" s="100">
        <f t="shared" si="19"/>
        <v>694.44444444444446</v>
      </c>
      <c r="G118" s="100">
        <f t="shared" si="27"/>
        <v>1590.2844444444445</v>
      </c>
      <c r="H118" s="100">
        <f t="shared" ca="1" si="20"/>
        <v>15.972222222222342</v>
      </c>
      <c r="I118" s="100">
        <f t="shared" si="21"/>
        <v>12.000000000000002</v>
      </c>
      <c r="J118" s="100">
        <f t="shared" ca="1" si="22"/>
        <v>1618.2566666666669</v>
      </c>
      <c r="K118" s="101">
        <f t="shared" si="28"/>
        <v>68750.000000000524</v>
      </c>
      <c r="O118" s="118">
        <f t="shared" si="18"/>
        <v>20.833333333333332</v>
      </c>
      <c r="P118" s="119">
        <f t="shared" ca="1" si="34"/>
        <v>31</v>
      </c>
      <c r="Q118" s="120">
        <v>365</v>
      </c>
      <c r="S118" s="123">
        <v>47</v>
      </c>
      <c r="T118" s="123">
        <v>3.2539999999999999E-4</v>
      </c>
      <c r="U118" s="123" t="s">
        <v>79</v>
      </c>
      <c r="AA118" s="96">
        <f t="shared" si="31"/>
        <v>80</v>
      </c>
      <c r="AB118" s="97">
        <f t="shared" si="29"/>
        <v>16315.404380607657</v>
      </c>
      <c r="AC118" s="97">
        <f t="shared" ca="1" si="32"/>
        <v>1627.3763888888891</v>
      </c>
      <c r="AE118" s="96">
        <f t="shared" si="33"/>
        <v>80</v>
      </c>
      <c r="AF118" s="97">
        <f>IFERROR(VLOOKUP(AE118,[1]Cálculos_PRICE!$A$32:$K$212,10,0),"")</f>
        <v>16315.404380607657</v>
      </c>
      <c r="AG118" s="97">
        <f ca="1">IFERROR(VLOOKUP(AE118,Cálculos_Aquisição_SAC_Fixa!A116:K389,10,0),"")</f>
        <v>1627.3763888888891</v>
      </c>
      <c r="AH118" s="97">
        <f>IFERROR(VLOOKUP(AE118,[1]Cálculos_PRICE!$A$32:$K$212,6,0),"")</f>
        <v>3579.8857664680781</v>
      </c>
      <c r="AI118" s="97">
        <f>IFERROR(VLOOKUP(AE118,Cálculos_Aquisição_SAC_Fixa!A116:K389,6,0),"")</f>
        <v>694.44444444444446</v>
      </c>
      <c r="AJ118" s="97">
        <f>IFERROR(VLOOKUP(AE118,[1]Cálculos_PRICE!$A$32:$K$240,11,0),"")</f>
        <v>831375.08941087453</v>
      </c>
      <c r="AK118" s="97">
        <f>IFERROR(VLOOKUP(AE118,Cálculos_Aquisição_SAC_Fixa!A116:K389,11,0),"")</f>
        <v>69444.444444444962</v>
      </c>
      <c r="AW118" s="132"/>
    </row>
    <row r="119" spans="1:49" ht="15.5" x14ac:dyDescent="0.35">
      <c r="A119" s="98">
        <f t="shared" si="30"/>
        <v>82</v>
      </c>
      <c r="B119" s="99">
        <f t="shared" ca="1" si="23"/>
        <v>48553</v>
      </c>
      <c r="C119" s="100">
        <f t="shared" si="24"/>
        <v>68750.000000000524</v>
      </c>
      <c r="D119" s="100">
        <f t="shared" si="25"/>
        <v>886.88</v>
      </c>
      <c r="E119" s="100">
        <f t="shared" si="26"/>
        <v>69636.880000000529</v>
      </c>
      <c r="F119" s="100">
        <f t="shared" si="19"/>
        <v>694.44444444444446</v>
      </c>
      <c r="G119" s="100">
        <f t="shared" si="27"/>
        <v>1581.3244444444445</v>
      </c>
      <c r="H119" s="100">
        <f t="shared" ca="1" si="20"/>
        <v>15.812500000000121</v>
      </c>
      <c r="I119" s="100">
        <f t="shared" si="21"/>
        <v>12.000000000000002</v>
      </c>
      <c r="J119" s="100">
        <f t="shared" ca="1" si="22"/>
        <v>1609.1369444444447</v>
      </c>
      <c r="K119" s="101">
        <f t="shared" si="28"/>
        <v>68055.555555556086</v>
      </c>
      <c r="O119" s="118">
        <f t="shared" ref="O119:O182" si="35">IFERROR(F114*$O$39,0)</f>
        <v>20.833333333333332</v>
      </c>
      <c r="P119" s="119">
        <f t="shared" ca="1" si="34"/>
        <v>30</v>
      </c>
      <c r="Q119" s="120">
        <v>365</v>
      </c>
      <c r="S119" s="123">
        <v>48</v>
      </c>
      <c r="T119" s="123">
        <v>3.2539999999999999E-4</v>
      </c>
      <c r="U119" s="123" t="s">
        <v>79</v>
      </c>
      <c r="AA119" s="96">
        <f t="shared" si="31"/>
        <v>81</v>
      </c>
      <c r="AB119" s="97">
        <f t="shared" si="29"/>
        <v>16314.608214013195</v>
      </c>
      <c r="AC119" s="97">
        <f t="shared" ca="1" si="32"/>
        <v>1618.2566666666669</v>
      </c>
      <c r="AE119" s="96">
        <f t="shared" si="33"/>
        <v>81</v>
      </c>
      <c r="AF119" s="97">
        <f>IFERROR(VLOOKUP(AE119,[1]Cálculos_PRICE!$A$32:$K$212,10,0),"")</f>
        <v>16314.608214013195</v>
      </c>
      <c r="AG119" s="97">
        <f ca="1">IFERROR(VLOOKUP(AE119,Cálculos_Aquisição_SAC_Fixa!A117:K390,10,0),"")</f>
        <v>1618.2566666666669</v>
      </c>
      <c r="AH119" s="97">
        <f>IFERROR(VLOOKUP(AE119,[1]Cálculos_PRICE!$A$32:$K$212,6,0),"")</f>
        <v>3633.5840529650995</v>
      </c>
      <c r="AI119" s="97">
        <f>IFERROR(VLOOKUP(AE119,Cálculos_Aquisição_SAC_Fixa!A117:K390,6,0),"")</f>
        <v>694.44444444444446</v>
      </c>
      <c r="AJ119" s="97">
        <f>IFERROR(VLOOKUP(AE119,[1]Cálculos_PRICE!$A$32:$K$240,11,0),"")</f>
        <v>827741.50535790948</v>
      </c>
      <c r="AK119" s="97">
        <f>IFERROR(VLOOKUP(AE119,Cálculos_Aquisição_SAC_Fixa!A117:K390,11,0),"")</f>
        <v>68750.000000000524</v>
      </c>
      <c r="AW119" s="132"/>
    </row>
    <row r="120" spans="1:49" ht="15.5" x14ac:dyDescent="0.35">
      <c r="A120" s="98">
        <f t="shared" si="30"/>
        <v>83</v>
      </c>
      <c r="B120" s="99">
        <f t="shared" ca="1" si="23"/>
        <v>48584</v>
      </c>
      <c r="C120" s="100">
        <f t="shared" si="24"/>
        <v>68055.555555556086</v>
      </c>
      <c r="D120" s="100">
        <f t="shared" si="25"/>
        <v>877.92</v>
      </c>
      <c r="E120" s="100">
        <f t="shared" si="26"/>
        <v>68933.475555556084</v>
      </c>
      <c r="F120" s="100">
        <f t="shared" si="19"/>
        <v>694.44444444444446</v>
      </c>
      <c r="G120" s="100">
        <f t="shared" si="27"/>
        <v>1572.3644444444444</v>
      </c>
      <c r="H120" s="100">
        <f t="shared" ca="1" si="20"/>
        <v>15.652777777777899</v>
      </c>
      <c r="I120" s="100">
        <f t="shared" si="21"/>
        <v>12.000000000000002</v>
      </c>
      <c r="J120" s="100">
        <f t="shared" ca="1" si="22"/>
        <v>1600.0172222222222</v>
      </c>
      <c r="K120" s="101">
        <f t="shared" si="28"/>
        <v>67361.111111111648</v>
      </c>
      <c r="O120" s="118">
        <f t="shared" si="35"/>
        <v>20.833333333333332</v>
      </c>
      <c r="P120" s="119">
        <f t="shared" ca="1" si="34"/>
        <v>31</v>
      </c>
      <c r="Q120" s="120">
        <v>365</v>
      </c>
      <c r="S120" s="123">
        <v>49</v>
      </c>
      <c r="T120" s="123">
        <v>3.2539999999999999E-4</v>
      </c>
      <c r="U120" s="123" t="s">
        <v>79</v>
      </c>
      <c r="AA120" s="96">
        <f t="shared" si="31"/>
        <v>82</v>
      </c>
      <c r="AB120" s="97">
        <f t="shared" si="29"/>
        <v>16313.800104919816</v>
      </c>
      <c r="AC120" s="97">
        <f t="shared" ca="1" si="32"/>
        <v>1609.1369444444447</v>
      </c>
      <c r="AE120" s="96">
        <f t="shared" si="33"/>
        <v>82</v>
      </c>
      <c r="AF120" s="97">
        <f>IFERROR(VLOOKUP(AE120,[1]Cálculos_PRICE!$A$32:$K$212,10,0),"")</f>
        <v>16313.800104919816</v>
      </c>
      <c r="AG120" s="97">
        <f ca="1">IFERROR(VLOOKUP(AE120,Cálculos_Aquisição_SAC_Fixa!A118:K391,10,0),"")</f>
        <v>1609.1369444444447</v>
      </c>
      <c r="AH120" s="97">
        <f>IFERROR(VLOOKUP(AE120,[1]Cálculos_PRICE!$A$32:$K$212,6,0),"")</f>
        <v>3688.0878137595755</v>
      </c>
      <c r="AI120" s="97">
        <f>IFERROR(VLOOKUP(AE120,Cálculos_Aquisição_SAC_Fixa!A118:K391,6,0),"")</f>
        <v>694.44444444444446</v>
      </c>
      <c r="AJ120" s="97">
        <f>IFERROR(VLOOKUP(AE120,[1]Cálculos_PRICE!$A$32:$K$240,11,0),"")</f>
        <v>824053.41754414991</v>
      </c>
      <c r="AK120" s="97">
        <f>IFERROR(VLOOKUP(AE120,Cálculos_Aquisição_SAC_Fixa!A118:K391,11,0),"")</f>
        <v>68055.555555556086</v>
      </c>
      <c r="AW120" s="132"/>
    </row>
    <row r="121" spans="1:49" ht="15.5" x14ac:dyDescent="0.35">
      <c r="A121" s="98">
        <f t="shared" si="30"/>
        <v>84</v>
      </c>
      <c r="B121" s="99">
        <f t="shared" ca="1" si="23"/>
        <v>48615</v>
      </c>
      <c r="C121" s="100">
        <f t="shared" si="24"/>
        <v>67361.111111111648</v>
      </c>
      <c r="D121" s="100">
        <f t="shared" si="25"/>
        <v>868.96</v>
      </c>
      <c r="E121" s="100">
        <f t="shared" si="26"/>
        <v>68230.071111111654</v>
      </c>
      <c r="F121" s="100">
        <f t="shared" si="19"/>
        <v>694.44444444444446</v>
      </c>
      <c r="G121" s="100">
        <f t="shared" si="27"/>
        <v>1563.4044444444444</v>
      </c>
      <c r="H121" s="100">
        <f t="shared" ca="1" si="20"/>
        <v>15.49305555555568</v>
      </c>
      <c r="I121" s="100">
        <f t="shared" si="21"/>
        <v>12.000000000000002</v>
      </c>
      <c r="J121" s="100">
        <f t="shared" ca="1" si="22"/>
        <v>1590.8975</v>
      </c>
      <c r="K121" s="101">
        <f t="shared" si="28"/>
        <v>66666.66666666721</v>
      </c>
      <c r="O121" s="118">
        <f t="shared" si="35"/>
        <v>20.833333333333332</v>
      </c>
      <c r="P121" s="119">
        <f t="shared" ca="1" si="34"/>
        <v>31</v>
      </c>
      <c r="Q121" s="120">
        <v>365</v>
      </c>
      <c r="S121" s="123">
        <v>50</v>
      </c>
      <c r="T121" s="123">
        <v>3.2539999999999999E-4</v>
      </c>
      <c r="U121" s="123" t="s">
        <v>79</v>
      </c>
      <c r="AA121" s="96">
        <f t="shared" si="31"/>
        <v>83</v>
      </c>
      <c r="AB121" s="97">
        <f t="shared" si="29"/>
        <v>16312.979874190036</v>
      </c>
      <c r="AC121" s="97">
        <f t="shared" ca="1" si="32"/>
        <v>1600.0172222222222</v>
      </c>
      <c r="AE121" s="96">
        <f t="shared" si="33"/>
        <v>83</v>
      </c>
      <c r="AF121" s="97">
        <f>IFERROR(VLOOKUP(AE121,[1]Cálculos_PRICE!$A$32:$K$212,10,0),"")</f>
        <v>16312.979874190036</v>
      </c>
      <c r="AG121" s="97">
        <f ca="1">IFERROR(VLOOKUP(AE121,Cálculos_Aquisição_SAC_Fixa!A119:K392,10,0),"")</f>
        <v>1600.0172222222222</v>
      </c>
      <c r="AH121" s="97">
        <f>IFERROR(VLOOKUP(AE121,[1]Cálculos_PRICE!$A$32:$K$212,6,0),"")</f>
        <v>3743.4091309659689</v>
      </c>
      <c r="AI121" s="97">
        <f>IFERROR(VLOOKUP(AE121,Cálculos_Aquisição_SAC_Fixa!A119:K392,6,0),"")</f>
        <v>694.44444444444446</v>
      </c>
      <c r="AJ121" s="97">
        <f>IFERROR(VLOOKUP(AE121,[1]Cálculos_PRICE!$A$32:$K$240,11,0),"")</f>
        <v>820310.00841318397</v>
      </c>
      <c r="AK121" s="97">
        <f>IFERROR(VLOOKUP(AE121,Cálculos_Aquisição_SAC_Fixa!A119:K392,11,0),"")</f>
        <v>67361.111111111648</v>
      </c>
      <c r="AW121" s="132"/>
    </row>
    <row r="122" spans="1:49" ht="15.5" x14ac:dyDescent="0.35">
      <c r="A122" s="98">
        <f t="shared" si="30"/>
        <v>85</v>
      </c>
      <c r="B122" s="99">
        <f t="shared" ca="1" si="23"/>
        <v>48643</v>
      </c>
      <c r="C122" s="100">
        <f t="shared" si="24"/>
        <v>66666.66666666721</v>
      </c>
      <c r="D122" s="100">
        <f t="shared" si="25"/>
        <v>860.01</v>
      </c>
      <c r="E122" s="100">
        <f t="shared" si="26"/>
        <v>67526.676666667205</v>
      </c>
      <c r="F122" s="100">
        <f t="shared" si="19"/>
        <v>694.44444444444446</v>
      </c>
      <c r="G122" s="100">
        <f t="shared" si="27"/>
        <v>1554.4544444444446</v>
      </c>
      <c r="H122" s="100">
        <f t="shared" ca="1" si="20"/>
        <v>15.333333333333458</v>
      </c>
      <c r="I122" s="100">
        <f t="shared" si="21"/>
        <v>12.000000000000002</v>
      </c>
      <c r="J122" s="100">
        <f t="shared" ca="1" si="22"/>
        <v>1581.787777777778</v>
      </c>
      <c r="K122" s="101">
        <f t="shared" si="28"/>
        <v>65972.222222222772</v>
      </c>
      <c r="O122" s="118">
        <f t="shared" si="35"/>
        <v>20.833333333333332</v>
      </c>
      <c r="P122" s="119">
        <f t="shared" ca="1" si="34"/>
        <v>30</v>
      </c>
      <c r="Q122" s="120">
        <v>365</v>
      </c>
      <c r="S122" s="123">
        <v>51</v>
      </c>
      <c r="T122" s="123">
        <v>1.2905E-3</v>
      </c>
      <c r="U122" s="123" t="s">
        <v>80</v>
      </c>
      <c r="AA122" s="96">
        <f t="shared" si="31"/>
        <v>84</v>
      </c>
      <c r="AB122" s="97">
        <f t="shared" si="29"/>
        <v>16312.147339999308</v>
      </c>
      <c r="AC122" s="97">
        <f t="shared" ca="1" si="32"/>
        <v>1590.8975</v>
      </c>
      <c r="AE122" s="96">
        <f t="shared" si="33"/>
        <v>84</v>
      </c>
      <c r="AF122" s="97">
        <f>IFERROR(VLOOKUP(AE122,[1]Cálculos_PRICE!$A$32:$K$212,10,0),"")</f>
        <v>16312.147339999308</v>
      </c>
      <c r="AG122" s="97">
        <f ca="1">IFERROR(VLOOKUP(AE122,Cálculos_Aquisição_SAC_Fixa!A120:K393,10,0),"")</f>
        <v>1590.8975</v>
      </c>
      <c r="AH122" s="97">
        <f>IFERROR(VLOOKUP(AE122,[1]Cálculos_PRICE!$A$32:$K$212,6,0),"")</f>
        <v>3799.5602679304575</v>
      </c>
      <c r="AI122" s="97">
        <f>IFERROR(VLOOKUP(AE122,Cálculos_Aquisição_SAC_Fixa!A120:K393,6,0),"")</f>
        <v>694.44444444444446</v>
      </c>
      <c r="AJ122" s="97">
        <f>IFERROR(VLOOKUP(AE122,[1]Cálculos_PRICE!$A$32:$K$240,11,0),"")</f>
        <v>816510.44814525347</v>
      </c>
      <c r="AK122" s="97">
        <f>IFERROR(VLOOKUP(AE122,Cálculos_Aquisição_SAC_Fixa!A120:K393,11,0),"")</f>
        <v>66666.66666666721</v>
      </c>
      <c r="AW122" s="132"/>
    </row>
    <row r="123" spans="1:49" ht="15.5" x14ac:dyDescent="0.35">
      <c r="A123" s="98">
        <f t="shared" si="30"/>
        <v>86</v>
      </c>
      <c r="B123" s="99">
        <f t="shared" ca="1" si="23"/>
        <v>48674</v>
      </c>
      <c r="C123" s="100">
        <f t="shared" si="24"/>
        <v>65972.222222222772</v>
      </c>
      <c r="D123" s="100">
        <f t="shared" si="25"/>
        <v>851.05</v>
      </c>
      <c r="E123" s="100">
        <f t="shared" si="26"/>
        <v>66823.272222222775</v>
      </c>
      <c r="F123" s="100">
        <f t="shared" si="19"/>
        <v>694.44444444444446</v>
      </c>
      <c r="G123" s="100">
        <f t="shared" si="27"/>
        <v>1545.4944444444445</v>
      </c>
      <c r="H123" s="100">
        <f t="shared" ca="1" si="20"/>
        <v>15.173611111111239</v>
      </c>
      <c r="I123" s="100">
        <f t="shared" si="21"/>
        <v>12.000000000000002</v>
      </c>
      <c r="J123" s="100">
        <f t="shared" ca="1" si="22"/>
        <v>1572.6680555555558</v>
      </c>
      <c r="K123" s="101">
        <f t="shared" si="28"/>
        <v>65277.777777778327</v>
      </c>
      <c r="O123" s="118">
        <f t="shared" si="35"/>
        <v>20.833333333333332</v>
      </c>
      <c r="P123" s="119">
        <f t="shared" ca="1" si="34"/>
        <v>31</v>
      </c>
      <c r="Q123" s="120">
        <v>365</v>
      </c>
      <c r="S123" s="123">
        <v>52</v>
      </c>
      <c r="T123" s="123">
        <v>1.2905E-3</v>
      </c>
      <c r="U123" s="123" t="s">
        <v>80</v>
      </c>
      <c r="AA123" s="96">
        <f t="shared" si="31"/>
        <v>85</v>
      </c>
      <c r="AB123" s="97">
        <f t="shared" si="29"/>
        <v>16311.30231779572</v>
      </c>
      <c r="AC123" s="97">
        <f t="shared" ca="1" si="32"/>
        <v>1581.787777777778</v>
      </c>
      <c r="AE123" s="96">
        <f t="shared" si="33"/>
        <v>85</v>
      </c>
      <c r="AF123" s="97">
        <f>IFERROR(VLOOKUP(AE123,[1]Cálculos_PRICE!$A$32:$K$212,10,0),"")</f>
        <v>16311.30231779572</v>
      </c>
      <c r="AG123" s="97">
        <f ca="1">IFERROR(VLOOKUP(AE123,Cálculos_Aquisição_SAC_Fixa!A121:K394,10,0),"")</f>
        <v>1581.787777777778</v>
      </c>
      <c r="AH123" s="97">
        <f>IFERROR(VLOOKUP(AE123,[1]Cálculos_PRICE!$A$32:$K$212,6,0),"")</f>
        <v>3856.5536719494157</v>
      </c>
      <c r="AI123" s="97">
        <f>IFERROR(VLOOKUP(AE123,Cálculos_Aquisição_SAC_Fixa!A121:K394,6,0),"")</f>
        <v>694.44444444444446</v>
      </c>
      <c r="AJ123" s="97">
        <f>IFERROR(VLOOKUP(AE123,[1]Cálculos_PRICE!$A$32:$K$240,11,0),"")</f>
        <v>812653.89447330404</v>
      </c>
      <c r="AK123" s="97">
        <f>IFERROR(VLOOKUP(AE123,Cálculos_Aquisição_SAC_Fixa!A121:K394,11,0),"")</f>
        <v>65972.222222222772</v>
      </c>
      <c r="AW123" s="132"/>
    </row>
    <row r="124" spans="1:49" ht="15.5" x14ac:dyDescent="0.35">
      <c r="A124" s="98">
        <f t="shared" si="30"/>
        <v>87</v>
      </c>
      <c r="B124" s="99">
        <f t="shared" ca="1" si="23"/>
        <v>48704</v>
      </c>
      <c r="C124" s="100">
        <f t="shared" si="24"/>
        <v>65277.777777778327</v>
      </c>
      <c r="D124" s="100">
        <f t="shared" si="25"/>
        <v>842.09</v>
      </c>
      <c r="E124" s="100">
        <f t="shared" si="26"/>
        <v>66119.86777777833</v>
      </c>
      <c r="F124" s="100">
        <f t="shared" si="19"/>
        <v>694.44444444444446</v>
      </c>
      <c r="G124" s="100">
        <f t="shared" si="27"/>
        <v>1536.5344444444445</v>
      </c>
      <c r="H124" s="100">
        <f t="shared" ca="1" si="20"/>
        <v>15.013888888889015</v>
      </c>
      <c r="I124" s="100">
        <f t="shared" si="21"/>
        <v>12.000000000000002</v>
      </c>
      <c r="J124" s="100">
        <f t="shared" ca="1" si="22"/>
        <v>1563.5483333333334</v>
      </c>
      <c r="K124" s="101">
        <f t="shared" si="28"/>
        <v>64583.333333333881</v>
      </c>
      <c r="O124" s="118">
        <f t="shared" si="35"/>
        <v>20.833333333333332</v>
      </c>
      <c r="P124" s="119">
        <f t="shared" ca="1" si="34"/>
        <v>30</v>
      </c>
      <c r="Q124" s="120">
        <v>365</v>
      </c>
      <c r="S124" s="123">
        <v>53</v>
      </c>
      <c r="T124" s="123">
        <v>1.2905E-3</v>
      </c>
      <c r="U124" s="123" t="s">
        <v>80</v>
      </c>
      <c r="AA124" s="96">
        <f t="shared" si="31"/>
        <v>86</v>
      </c>
      <c r="AB124" s="97">
        <f t="shared" si="29"/>
        <v>16310.444620259079</v>
      </c>
      <c r="AC124" s="97">
        <f t="shared" ca="1" si="32"/>
        <v>1572.6680555555558</v>
      </c>
      <c r="AE124" s="96">
        <f t="shared" si="33"/>
        <v>86</v>
      </c>
      <c r="AF124" s="97">
        <f>IFERROR(VLOOKUP(AE124,[1]Cálculos_PRICE!$A$32:$K$212,10,0),"")</f>
        <v>16310.444620259079</v>
      </c>
      <c r="AG124" s="97">
        <f ca="1">IFERROR(VLOOKUP(AE124,Cálculos_Aquisição_SAC_Fixa!A122:K395,10,0),"")</f>
        <v>1572.6680555555558</v>
      </c>
      <c r="AH124" s="97">
        <f>IFERROR(VLOOKUP(AE124,[1]Cálculos_PRICE!$A$32:$K$212,6,0),"")</f>
        <v>3914.4019770286559</v>
      </c>
      <c r="AI124" s="97">
        <f>IFERROR(VLOOKUP(AE124,Cálculos_Aquisição_SAC_Fixa!A122:K395,6,0),"")</f>
        <v>694.44444444444446</v>
      </c>
      <c r="AJ124" s="97">
        <f>IFERROR(VLOOKUP(AE124,[1]Cálculos_PRICE!$A$32:$K$240,11,0),"")</f>
        <v>808739.49249627534</v>
      </c>
      <c r="AK124" s="97">
        <f>IFERROR(VLOOKUP(AE124,Cálculos_Aquisição_SAC_Fixa!A122:K395,11,0),"")</f>
        <v>65277.777777778327</v>
      </c>
      <c r="AW124" s="132"/>
    </row>
    <row r="125" spans="1:49" ht="15.5" x14ac:dyDescent="0.35">
      <c r="A125" s="98">
        <f t="shared" si="30"/>
        <v>88</v>
      </c>
      <c r="B125" s="99">
        <f t="shared" ca="1" si="23"/>
        <v>48735</v>
      </c>
      <c r="C125" s="100">
        <f t="shared" si="24"/>
        <v>64583.333333333881</v>
      </c>
      <c r="D125" s="100">
        <f t="shared" si="25"/>
        <v>833.13</v>
      </c>
      <c r="E125" s="100">
        <f t="shared" si="26"/>
        <v>65416.463333333879</v>
      </c>
      <c r="F125" s="100">
        <f t="shared" si="19"/>
        <v>694.44444444444446</v>
      </c>
      <c r="G125" s="100">
        <f t="shared" si="27"/>
        <v>1527.5744444444445</v>
      </c>
      <c r="H125" s="100">
        <f t="shared" ca="1" si="20"/>
        <v>14.854166666666794</v>
      </c>
      <c r="I125" s="100">
        <f t="shared" si="21"/>
        <v>12.000000000000002</v>
      </c>
      <c r="J125" s="100">
        <f t="shared" ca="1" si="22"/>
        <v>1554.4286111111112</v>
      </c>
      <c r="K125" s="101">
        <f t="shared" si="28"/>
        <v>63888.888888889436</v>
      </c>
      <c r="O125" s="118">
        <f t="shared" si="35"/>
        <v>20.833333333333332</v>
      </c>
      <c r="P125" s="119">
        <f t="shared" ca="1" si="34"/>
        <v>31</v>
      </c>
      <c r="Q125" s="120">
        <v>365</v>
      </c>
      <c r="S125" s="123">
        <v>54</v>
      </c>
      <c r="T125" s="123">
        <v>1.2905E-3</v>
      </c>
      <c r="U125" s="123" t="s">
        <v>80</v>
      </c>
      <c r="AA125" s="96">
        <f t="shared" si="31"/>
        <v>87</v>
      </c>
      <c r="AB125" s="97">
        <f t="shared" si="29"/>
        <v>16309.574057259388</v>
      </c>
      <c r="AC125" s="97">
        <f t="shared" ca="1" si="32"/>
        <v>1563.5483333333334</v>
      </c>
      <c r="AE125" s="96">
        <f t="shared" si="33"/>
        <v>87</v>
      </c>
      <c r="AF125" s="97">
        <f>IFERROR(VLOOKUP(AE125,[1]Cálculos_PRICE!$A$32:$K$212,10,0),"")</f>
        <v>16309.574057259388</v>
      </c>
      <c r="AG125" s="97">
        <f ca="1">IFERROR(VLOOKUP(AE125,Cálculos_Aquisição_SAC_Fixa!A123:K396,10,0),"")</f>
        <v>1563.5483333333334</v>
      </c>
      <c r="AH125" s="97">
        <f>IFERROR(VLOOKUP(AE125,[1]Cálculos_PRICE!$A$32:$K$212,6,0),"")</f>
        <v>3973.1180066840861</v>
      </c>
      <c r="AI125" s="97">
        <f>IFERROR(VLOOKUP(AE125,Cálculos_Aquisição_SAC_Fixa!A123:K396,6,0),"")</f>
        <v>694.44444444444446</v>
      </c>
      <c r="AJ125" s="97">
        <f>IFERROR(VLOOKUP(AE125,[1]Cálculos_PRICE!$A$32:$K$240,11,0),"")</f>
        <v>804766.37448959122</v>
      </c>
      <c r="AK125" s="97">
        <f>IFERROR(VLOOKUP(AE125,Cálculos_Aquisição_SAC_Fixa!A123:K396,11,0),"")</f>
        <v>64583.333333333881</v>
      </c>
      <c r="AW125" s="132"/>
    </row>
    <row r="126" spans="1:49" ht="15.5" x14ac:dyDescent="0.35">
      <c r="A126" s="98">
        <f t="shared" si="30"/>
        <v>89</v>
      </c>
      <c r="B126" s="99">
        <f t="shared" ca="1" si="23"/>
        <v>48765</v>
      </c>
      <c r="C126" s="100">
        <f t="shared" si="24"/>
        <v>63888.888888889436</v>
      </c>
      <c r="D126" s="100">
        <f t="shared" si="25"/>
        <v>824.17</v>
      </c>
      <c r="E126" s="100">
        <f t="shared" si="26"/>
        <v>64713.058888889434</v>
      </c>
      <c r="F126" s="100">
        <f t="shared" si="19"/>
        <v>694.44444444444446</v>
      </c>
      <c r="G126" s="100">
        <f t="shared" si="27"/>
        <v>1518.6144444444444</v>
      </c>
      <c r="H126" s="100">
        <f t="shared" ca="1" si="20"/>
        <v>14.694444444444571</v>
      </c>
      <c r="I126" s="100">
        <f t="shared" si="21"/>
        <v>12.000000000000002</v>
      </c>
      <c r="J126" s="100">
        <f t="shared" ca="1" si="22"/>
        <v>1545.308888888889</v>
      </c>
      <c r="K126" s="101">
        <f t="shared" si="28"/>
        <v>63194.444444444991</v>
      </c>
      <c r="O126" s="118">
        <f t="shared" si="35"/>
        <v>20.833333333333332</v>
      </c>
      <c r="P126" s="119">
        <f t="shared" ca="1" si="34"/>
        <v>31</v>
      </c>
      <c r="Q126" s="120">
        <v>365</v>
      </c>
      <c r="S126" s="123">
        <v>55</v>
      </c>
      <c r="T126" s="123">
        <v>1.2905E-3</v>
      </c>
      <c r="U126" s="123" t="s">
        <v>80</v>
      </c>
      <c r="AA126" s="96">
        <f t="shared" si="31"/>
        <v>88</v>
      </c>
      <c r="AB126" s="97">
        <f t="shared" si="29"/>
        <v>16308.690435814702</v>
      </c>
      <c r="AC126" s="97">
        <f t="shared" ca="1" si="32"/>
        <v>1554.4286111111112</v>
      </c>
      <c r="AE126" s="96">
        <f t="shared" si="33"/>
        <v>88</v>
      </c>
      <c r="AF126" s="97">
        <f>IFERROR(VLOOKUP(AE126,[1]Cálculos_PRICE!$A$32:$K$212,10,0),"")</f>
        <v>16308.690435814702</v>
      </c>
      <c r="AG126" s="97">
        <f ca="1">IFERROR(VLOOKUP(AE126,Cálculos_Aquisição_SAC_Fixa!A124:K397,10,0),"")</f>
        <v>1554.4286111111112</v>
      </c>
      <c r="AH126" s="97">
        <f>IFERROR(VLOOKUP(AE126,[1]Cálculos_PRICE!$A$32:$K$212,6,0),"")</f>
        <v>4032.7147767843489</v>
      </c>
      <c r="AI126" s="97">
        <f>IFERROR(VLOOKUP(AE126,Cálculos_Aquisição_SAC_Fixa!A124:K397,6,0),"")</f>
        <v>694.44444444444446</v>
      </c>
      <c r="AJ126" s="97">
        <f>IFERROR(VLOOKUP(AE126,[1]Cálculos_PRICE!$A$32:$K$240,11,0),"")</f>
        <v>800733.65971280693</v>
      </c>
      <c r="AK126" s="97">
        <f>IFERROR(VLOOKUP(AE126,Cálculos_Aquisição_SAC_Fixa!A124:K397,11,0),"")</f>
        <v>63888.888888889436</v>
      </c>
      <c r="AW126" s="132"/>
    </row>
    <row r="127" spans="1:49" ht="15.5" x14ac:dyDescent="0.35">
      <c r="A127" s="98">
        <f t="shared" si="30"/>
        <v>90</v>
      </c>
      <c r="B127" s="99">
        <f t="shared" ca="1" si="23"/>
        <v>48796</v>
      </c>
      <c r="C127" s="100">
        <f t="shared" si="24"/>
        <v>63194.444444444991</v>
      </c>
      <c r="D127" s="100">
        <f t="shared" si="25"/>
        <v>815.21</v>
      </c>
      <c r="E127" s="100">
        <f t="shared" si="26"/>
        <v>64009.65444444499</v>
      </c>
      <c r="F127" s="100">
        <f t="shared" si="19"/>
        <v>694.44444444444446</v>
      </c>
      <c r="G127" s="100">
        <f t="shared" si="27"/>
        <v>1509.6544444444444</v>
      </c>
      <c r="H127" s="100">
        <f t="shared" ca="1" si="20"/>
        <v>14.534722222222348</v>
      </c>
      <c r="I127" s="100">
        <f t="shared" si="21"/>
        <v>12.000000000000002</v>
      </c>
      <c r="J127" s="100">
        <f t="shared" ca="1" si="22"/>
        <v>1536.1891666666668</v>
      </c>
      <c r="K127" s="101">
        <f t="shared" si="28"/>
        <v>62500.000000000546</v>
      </c>
      <c r="O127" s="118">
        <f t="shared" si="35"/>
        <v>20.833333333333332</v>
      </c>
      <c r="P127" s="119">
        <f t="shared" ca="1" si="34"/>
        <v>28</v>
      </c>
      <c r="Q127" s="120">
        <v>365</v>
      </c>
      <c r="S127" s="123">
        <v>56</v>
      </c>
      <c r="T127" s="123">
        <v>1.2905E-3</v>
      </c>
      <c r="U127" s="123" t="s">
        <v>80</v>
      </c>
      <c r="AA127" s="96">
        <f t="shared" si="31"/>
        <v>89</v>
      </c>
      <c r="AB127" s="97">
        <f t="shared" si="29"/>
        <v>16307.793560048345</v>
      </c>
      <c r="AC127" s="97">
        <f t="shared" ca="1" si="32"/>
        <v>1545.308888888889</v>
      </c>
      <c r="AE127" s="96">
        <f t="shared" si="33"/>
        <v>89</v>
      </c>
      <c r="AF127" s="97">
        <f>IFERROR(VLOOKUP(AE127,[1]Cálculos_PRICE!$A$32:$K$212,10,0),"")</f>
        <v>16307.793560048345</v>
      </c>
      <c r="AG127" s="97">
        <f ca="1">IFERROR(VLOOKUP(AE127,Cálculos_Aquisição_SAC_Fixa!A125:K398,10,0),"")</f>
        <v>1545.308888888889</v>
      </c>
      <c r="AH127" s="97">
        <f>IFERROR(VLOOKUP(AE127,[1]Cálculos_PRICE!$A$32:$K$212,6,0),"")</f>
        <v>4093.205498436113</v>
      </c>
      <c r="AI127" s="97">
        <f>IFERROR(VLOOKUP(AE127,Cálculos_Aquisição_SAC_Fixa!A125:K398,6,0),"")</f>
        <v>694.44444444444446</v>
      </c>
      <c r="AJ127" s="97">
        <f>IFERROR(VLOOKUP(AE127,[1]Cálculos_PRICE!$A$32:$K$240,11,0),"")</f>
        <v>796640.45421437081</v>
      </c>
      <c r="AK127" s="97">
        <f>IFERROR(VLOOKUP(AE127,Cálculos_Aquisição_SAC_Fixa!A125:K398,11,0),"")</f>
        <v>63194.444444444991</v>
      </c>
      <c r="AW127" s="132"/>
    </row>
    <row r="128" spans="1:49" ht="15.5" x14ac:dyDescent="0.35">
      <c r="A128" s="98">
        <f t="shared" si="30"/>
        <v>91</v>
      </c>
      <c r="B128" s="99">
        <f t="shared" ca="1" si="23"/>
        <v>48827</v>
      </c>
      <c r="C128" s="100">
        <f t="shared" si="24"/>
        <v>62500.000000000546</v>
      </c>
      <c r="D128" s="100">
        <f t="shared" si="25"/>
        <v>806.26</v>
      </c>
      <c r="E128" s="100">
        <f t="shared" si="26"/>
        <v>63306.260000000548</v>
      </c>
      <c r="F128" s="100">
        <f t="shared" si="19"/>
        <v>694.44444444444446</v>
      </c>
      <c r="G128" s="100">
        <f t="shared" si="27"/>
        <v>1500.7044444444446</v>
      </c>
      <c r="H128" s="100">
        <f t="shared" ca="1" si="20"/>
        <v>14.375000000000126</v>
      </c>
      <c r="I128" s="100">
        <f t="shared" si="21"/>
        <v>12.000000000000002</v>
      </c>
      <c r="J128" s="100">
        <f t="shared" ca="1" si="22"/>
        <v>1527.0794444444448</v>
      </c>
      <c r="K128" s="101">
        <f t="shared" si="28"/>
        <v>61805.5555555561</v>
      </c>
      <c r="O128" s="118">
        <f t="shared" si="35"/>
        <v>20.833333333333332</v>
      </c>
      <c r="P128" s="119">
        <f t="shared" ca="1" si="34"/>
        <v>31</v>
      </c>
      <c r="Q128" s="120">
        <v>365</v>
      </c>
      <c r="S128" s="123">
        <v>57</v>
      </c>
      <c r="T128" s="123">
        <v>1.2905E-3</v>
      </c>
      <c r="U128" s="123" t="s">
        <v>80</v>
      </c>
      <c r="AA128" s="96">
        <f t="shared" si="31"/>
        <v>90</v>
      </c>
      <c r="AB128" s="97">
        <f t="shared" si="29"/>
        <v>16306.883231145493</v>
      </c>
      <c r="AC128" s="97">
        <f t="shared" ca="1" si="32"/>
        <v>1536.1891666666668</v>
      </c>
      <c r="AE128" s="96">
        <f t="shared" si="33"/>
        <v>90</v>
      </c>
      <c r="AF128" s="97">
        <f>IFERROR(VLOOKUP(AE128,[1]Cálculos_PRICE!$A$32:$K$212,10,0),"")</f>
        <v>16306.883231145493</v>
      </c>
      <c r="AG128" s="97">
        <f ca="1">IFERROR(VLOOKUP(AE128,Cálculos_Aquisição_SAC_Fixa!A126:K399,10,0),"")</f>
        <v>1536.1891666666668</v>
      </c>
      <c r="AH128" s="97">
        <f>IFERROR(VLOOKUP(AE128,[1]Cálculos_PRICE!$A$32:$K$212,6,0),"")</f>
        <v>4154.6035809126552</v>
      </c>
      <c r="AI128" s="97">
        <f>IFERROR(VLOOKUP(AE128,Cálculos_Aquisição_SAC_Fixa!A126:K399,6,0),"")</f>
        <v>694.44444444444446</v>
      </c>
      <c r="AJ128" s="97">
        <f>IFERROR(VLOOKUP(AE128,[1]Cálculos_PRICE!$A$32:$K$240,11,0),"")</f>
        <v>792485.85063345812</v>
      </c>
      <c r="AK128" s="97">
        <f>IFERROR(VLOOKUP(AE128,Cálculos_Aquisição_SAC_Fixa!A126:K399,11,0),"")</f>
        <v>62500.000000000546</v>
      </c>
      <c r="AW128" s="132"/>
    </row>
    <row r="129" spans="1:49" ht="15.5" x14ac:dyDescent="0.35">
      <c r="A129" s="98">
        <f t="shared" si="30"/>
        <v>92</v>
      </c>
      <c r="B129" s="99">
        <f t="shared" ca="1" si="23"/>
        <v>48857</v>
      </c>
      <c r="C129" s="100">
        <f t="shared" si="24"/>
        <v>61805.5555555561</v>
      </c>
      <c r="D129" s="100">
        <f t="shared" si="25"/>
        <v>797.3</v>
      </c>
      <c r="E129" s="100">
        <f t="shared" si="26"/>
        <v>62602.855555556103</v>
      </c>
      <c r="F129" s="100">
        <f t="shared" si="19"/>
        <v>694.44444444444446</v>
      </c>
      <c r="G129" s="100">
        <f t="shared" si="27"/>
        <v>1491.7444444444445</v>
      </c>
      <c r="H129" s="100">
        <f t="shared" ca="1" si="20"/>
        <v>14.215277777777903</v>
      </c>
      <c r="I129" s="100">
        <f t="shared" si="21"/>
        <v>12.000000000000002</v>
      </c>
      <c r="J129" s="100">
        <f t="shared" ca="1" si="22"/>
        <v>1517.9597222222224</v>
      </c>
      <c r="K129" s="101">
        <f t="shared" si="28"/>
        <v>61111.111111111655</v>
      </c>
      <c r="O129" s="118">
        <f t="shared" si="35"/>
        <v>20.833333333333332</v>
      </c>
      <c r="P129" s="119">
        <f t="shared" ca="1" si="34"/>
        <v>30</v>
      </c>
      <c r="Q129" s="120">
        <v>365</v>
      </c>
      <c r="S129" s="123">
        <v>58</v>
      </c>
      <c r="T129" s="123">
        <v>1.2905E-3</v>
      </c>
      <c r="U129" s="123" t="s">
        <v>80</v>
      </c>
      <c r="AA129" s="96">
        <f t="shared" si="31"/>
        <v>91</v>
      </c>
      <c r="AB129" s="97">
        <f t="shared" si="29"/>
        <v>16305.959247309098</v>
      </c>
      <c r="AC129" s="97">
        <f t="shared" ca="1" si="32"/>
        <v>1527.0794444444448</v>
      </c>
      <c r="AE129" s="96">
        <f t="shared" si="33"/>
        <v>91</v>
      </c>
      <c r="AF129" s="97">
        <f>IFERROR(VLOOKUP(AE129,[1]Cálculos_PRICE!$A$32:$K$212,10,0),"")</f>
        <v>16305.959247309098</v>
      </c>
      <c r="AG129" s="97">
        <f ca="1">IFERROR(VLOOKUP(AE129,Cálculos_Aquisição_SAC_Fixa!A127:K400,10,0),"")</f>
        <v>1527.0794444444448</v>
      </c>
      <c r="AH129" s="97">
        <f>IFERROR(VLOOKUP(AE129,[1]Cálculos_PRICE!$A$32:$K$212,6,0),"")</f>
        <v>4216.9226346263458</v>
      </c>
      <c r="AI129" s="97">
        <f>IFERROR(VLOOKUP(AE129,Cálculos_Aquisição_SAC_Fixa!A127:K400,6,0),"")</f>
        <v>694.44444444444446</v>
      </c>
      <c r="AJ129" s="97">
        <f>IFERROR(VLOOKUP(AE129,[1]Cálculos_PRICE!$A$32:$K$240,11,0),"")</f>
        <v>788268.92799883173</v>
      </c>
      <c r="AK129" s="97">
        <f>IFERROR(VLOOKUP(AE129,Cálculos_Aquisição_SAC_Fixa!A127:K400,11,0),"")</f>
        <v>61805.5555555561</v>
      </c>
      <c r="AW129" s="132"/>
    </row>
    <row r="130" spans="1:49" ht="15.5" x14ac:dyDescent="0.35">
      <c r="A130" s="98">
        <f t="shared" si="30"/>
        <v>93</v>
      </c>
      <c r="B130" s="99">
        <f t="shared" ca="1" si="23"/>
        <v>48888</v>
      </c>
      <c r="C130" s="100">
        <f t="shared" si="24"/>
        <v>61111.111111111655</v>
      </c>
      <c r="D130" s="100">
        <f t="shared" si="25"/>
        <v>788.34</v>
      </c>
      <c r="E130" s="100">
        <f t="shared" si="26"/>
        <v>61899.451111111652</v>
      </c>
      <c r="F130" s="100">
        <f t="shared" si="19"/>
        <v>694.44444444444446</v>
      </c>
      <c r="G130" s="100">
        <f t="shared" si="27"/>
        <v>1482.7844444444445</v>
      </c>
      <c r="H130" s="100">
        <f t="shared" ca="1" si="20"/>
        <v>14.055555555555681</v>
      </c>
      <c r="I130" s="100">
        <f t="shared" si="21"/>
        <v>12.000000000000002</v>
      </c>
      <c r="J130" s="100">
        <f t="shared" ca="1" si="22"/>
        <v>1508.8400000000001</v>
      </c>
      <c r="K130" s="101">
        <f t="shared" si="28"/>
        <v>60416.66666666721</v>
      </c>
      <c r="O130" s="118">
        <f t="shared" si="35"/>
        <v>20.833333333333332</v>
      </c>
      <c r="P130" s="119">
        <f t="shared" ca="1" si="34"/>
        <v>31</v>
      </c>
      <c r="Q130" s="120">
        <v>365</v>
      </c>
      <c r="S130" s="123">
        <v>59</v>
      </c>
      <c r="T130" s="123">
        <v>1.2905E-3</v>
      </c>
      <c r="U130" s="123" t="s">
        <v>80</v>
      </c>
      <c r="AA130" s="96">
        <f t="shared" si="31"/>
        <v>92</v>
      </c>
      <c r="AB130" s="97">
        <f t="shared" si="29"/>
        <v>16305.021403715156</v>
      </c>
      <c r="AC130" s="97">
        <f t="shared" ca="1" si="32"/>
        <v>1517.9597222222224</v>
      </c>
      <c r="AE130" s="96">
        <f t="shared" si="33"/>
        <v>92</v>
      </c>
      <c r="AF130" s="97">
        <f>IFERROR(VLOOKUP(AE130,[1]Cálculos_PRICE!$A$32:$K$212,10,0),"")</f>
        <v>16305.021403715156</v>
      </c>
      <c r="AG130" s="97">
        <f ca="1">IFERROR(VLOOKUP(AE130,Cálculos_Aquisição_SAC_Fixa!A128:K401,10,0),"")</f>
        <v>1517.9597222222224</v>
      </c>
      <c r="AH130" s="97">
        <f>IFERROR(VLOOKUP(AE130,[1]Cálculos_PRICE!$A$32:$K$212,6,0),"")</f>
        <v>4280.1764741457409</v>
      </c>
      <c r="AI130" s="97">
        <f>IFERROR(VLOOKUP(AE130,Cálculos_Aquisição_SAC_Fixa!A128:K401,6,0),"")</f>
        <v>694.44444444444446</v>
      </c>
      <c r="AJ130" s="97">
        <f>IFERROR(VLOOKUP(AE130,[1]Cálculos_PRICE!$A$32:$K$240,11,0),"")</f>
        <v>783988.751524686</v>
      </c>
      <c r="AK130" s="97">
        <f>IFERROR(VLOOKUP(AE130,Cálculos_Aquisição_SAC_Fixa!A128:K401,11,0),"")</f>
        <v>61111.111111111655</v>
      </c>
      <c r="AW130" s="132"/>
    </row>
    <row r="131" spans="1:49" ht="15.5" x14ac:dyDescent="0.35">
      <c r="A131" s="98">
        <f t="shared" si="30"/>
        <v>94</v>
      </c>
      <c r="B131" s="99">
        <f t="shared" ca="1" si="23"/>
        <v>48918</v>
      </c>
      <c r="C131" s="100">
        <f t="shared" si="24"/>
        <v>60416.66666666721</v>
      </c>
      <c r="D131" s="100">
        <f t="shared" si="25"/>
        <v>779.38</v>
      </c>
      <c r="E131" s="100">
        <f t="shared" si="26"/>
        <v>61196.046666667207</v>
      </c>
      <c r="F131" s="100">
        <f t="shared" si="19"/>
        <v>694.44444444444446</v>
      </c>
      <c r="G131" s="100">
        <f t="shared" si="27"/>
        <v>1473.8244444444445</v>
      </c>
      <c r="H131" s="100">
        <f t="shared" ca="1" si="20"/>
        <v>13.895833333333458</v>
      </c>
      <c r="I131" s="100">
        <f t="shared" si="21"/>
        <v>12.000000000000002</v>
      </c>
      <c r="J131" s="100">
        <f t="shared" ca="1" si="22"/>
        <v>1499.7202777777779</v>
      </c>
      <c r="K131" s="101">
        <f t="shared" si="28"/>
        <v>59722.222222222765</v>
      </c>
      <c r="O131" s="118">
        <f t="shared" si="35"/>
        <v>20.833333333333332</v>
      </c>
      <c r="P131" s="119">
        <f t="shared" ca="1" si="34"/>
        <v>30</v>
      </c>
      <c r="Q131" s="120">
        <v>365</v>
      </c>
      <c r="S131" s="123">
        <v>60</v>
      </c>
      <c r="T131" s="123">
        <v>1.2905E-3</v>
      </c>
      <c r="U131" s="123" t="s">
        <v>80</v>
      </c>
      <c r="AA131" s="96">
        <f t="shared" si="31"/>
        <v>93</v>
      </c>
      <c r="AB131" s="97">
        <f t="shared" si="29"/>
        <v>16304.069492467306</v>
      </c>
      <c r="AC131" s="97">
        <f t="shared" ca="1" si="32"/>
        <v>1508.8400000000001</v>
      </c>
      <c r="AE131" s="96">
        <f t="shared" si="33"/>
        <v>93</v>
      </c>
      <c r="AF131" s="97">
        <f>IFERROR(VLOOKUP(AE131,[1]Cálculos_PRICE!$A$32:$K$212,10,0),"")</f>
        <v>16304.069492467306</v>
      </c>
      <c r="AG131" s="97">
        <f ca="1">IFERROR(VLOOKUP(AE131,Cálculos_Aquisição_SAC_Fixa!A129:K402,10,0),"")</f>
        <v>1508.8400000000001</v>
      </c>
      <c r="AH131" s="97">
        <f>IFERROR(VLOOKUP(AE131,[1]Cálculos_PRICE!$A$32:$K$212,6,0),"")</f>
        <v>4344.3791212579272</v>
      </c>
      <c r="AI131" s="97">
        <f>IFERROR(VLOOKUP(AE131,Cálculos_Aquisição_SAC_Fixa!A129:K402,6,0),"")</f>
        <v>694.44444444444446</v>
      </c>
      <c r="AJ131" s="97">
        <f>IFERROR(VLOOKUP(AE131,[1]Cálculos_PRICE!$A$32:$K$240,11,0),"")</f>
        <v>779644.37240342807</v>
      </c>
      <c r="AK131" s="97">
        <f>IFERROR(VLOOKUP(AE131,Cálculos_Aquisição_SAC_Fixa!A129:K402,11,0),"")</f>
        <v>60416.66666666721</v>
      </c>
      <c r="AW131" s="132"/>
    </row>
    <row r="132" spans="1:49" ht="15.5" x14ac:dyDescent="0.35">
      <c r="A132" s="98">
        <f t="shared" si="30"/>
        <v>95</v>
      </c>
      <c r="B132" s="99">
        <f t="shared" ca="1" si="23"/>
        <v>48949</v>
      </c>
      <c r="C132" s="100">
        <f t="shared" si="24"/>
        <v>59722.222222222765</v>
      </c>
      <c r="D132" s="100">
        <f t="shared" si="25"/>
        <v>770.42</v>
      </c>
      <c r="E132" s="100">
        <f t="shared" si="26"/>
        <v>60492.642222222763</v>
      </c>
      <c r="F132" s="100">
        <f t="shared" si="19"/>
        <v>694.44444444444446</v>
      </c>
      <c r="G132" s="100">
        <f t="shared" si="27"/>
        <v>1464.8644444444444</v>
      </c>
      <c r="H132" s="100">
        <f t="shared" ca="1" si="20"/>
        <v>13.736111111111237</v>
      </c>
      <c r="I132" s="100">
        <f t="shared" si="21"/>
        <v>12.000000000000002</v>
      </c>
      <c r="J132" s="100">
        <f t="shared" ca="1" si="22"/>
        <v>1490.6005555555557</v>
      </c>
      <c r="K132" s="101">
        <f t="shared" si="28"/>
        <v>59027.777777778319</v>
      </c>
      <c r="O132" s="118">
        <f t="shared" si="35"/>
        <v>20.833333333333332</v>
      </c>
      <c r="P132" s="119">
        <f t="shared" ca="1" si="34"/>
        <v>31</v>
      </c>
      <c r="Q132" s="120">
        <v>365</v>
      </c>
      <c r="S132" s="123">
        <v>61</v>
      </c>
      <c r="T132" s="123">
        <v>3.8379999999999998E-3</v>
      </c>
      <c r="U132" s="123" t="s">
        <v>81</v>
      </c>
      <c r="AA132" s="96">
        <f t="shared" si="31"/>
        <v>94</v>
      </c>
      <c r="AB132" s="97">
        <f t="shared" si="29"/>
        <v>16303.103302550739</v>
      </c>
      <c r="AC132" s="97">
        <f t="shared" ca="1" si="32"/>
        <v>1499.7202777777779</v>
      </c>
      <c r="AE132" s="96">
        <f t="shared" si="33"/>
        <v>94</v>
      </c>
      <c r="AF132" s="97">
        <f>IFERROR(VLOOKUP(AE132,[1]Cálculos_PRICE!$A$32:$K$212,10,0),"")</f>
        <v>16303.103302550739</v>
      </c>
      <c r="AG132" s="97">
        <f ca="1">IFERROR(VLOOKUP(AE132,Cálculos_Aquisição_SAC_Fixa!A130:K403,10,0),"")</f>
        <v>1499.7202777777779</v>
      </c>
      <c r="AH132" s="97">
        <f>IFERROR(VLOOKUP(AE132,[1]Cálculos_PRICE!$A$32:$K$212,6,0),"")</f>
        <v>4409.5448080767965</v>
      </c>
      <c r="AI132" s="97">
        <f>IFERROR(VLOOKUP(AE132,Cálculos_Aquisição_SAC_Fixa!A130:K403,6,0),"")</f>
        <v>694.44444444444446</v>
      </c>
      <c r="AJ132" s="97">
        <f>IFERROR(VLOOKUP(AE132,[1]Cálculos_PRICE!$A$32:$K$240,11,0),"")</f>
        <v>775234.82759535126</v>
      </c>
      <c r="AK132" s="97">
        <f>IFERROR(VLOOKUP(AE132,Cálculos_Aquisição_SAC_Fixa!A130:K403,11,0),"")</f>
        <v>59722.222222222765</v>
      </c>
      <c r="AW132" s="132"/>
    </row>
    <row r="133" spans="1:49" ht="15.5" x14ac:dyDescent="0.35">
      <c r="A133" s="98">
        <f t="shared" si="30"/>
        <v>96</v>
      </c>
      <c r="B133" s="99">
        <f t="shared" ca="1" si="23"/>
        <v>48980</v>
      </c>
      <c r="C133" s="100">
        <f t="shared" si="24"/>
        <v>59027.777777778319</v>
      </c>
      <c r="D133" s="100">
        <f t="shared" si="25"/>
        <v>761.46</v>
      </c>
      <c r="E133" s="100">
        <f t="shared" si="26"/>
        <v>59789.237777778319</v>
      </c>
      <c r="F133" s="100">
        <f t="shared" si="19"/>
        <v>694.44444444444446</v>
      </c>
      <c r="G133" s="100">
        <f t="shared" si="27"/>
        <v>1455.9044444444444</v>
      </c>
      <c r="H133" s="100">
        <f t="shared" ca="1" si="20"/>
        <v>13.576388888889014</v>
      </c>
      <c r="I133" s="100">
        <f t="shared" si="21"/>
        <v>12.000000000000002</v>
      </c>
      <c r="J133" s="100">
        <f t="shared" ca="1" si="22"/>
        <v>1481.4808333333333</v>
      </c>
      <c r="K133" s="101">
        <f t="shared" si="28"/>
        <v>58333.333333333874</v>
      </c>
      <c r="O133" s="118">
        <f t="shared" si="35"/>
        <v>20.833333333333332</v>
      </c>
      <c r="P133" s="119">
        <f t="shared" ca="1" si="34"/>
        <v>31</v>
      </c>
      <c r="Q133" s="120">
        <v>365</v>
      </c>
      <c r="S133" s="123">
        <v>62</v>
      </c>
      <c r="T133" s="123">
        <v>3.8379999999999998E-3</v>
      </c>
      <c r="U133" s="123" t="s">
        <v>81</v>
      </c>
      <c r="AA133" s="96">
        <f t="shared" si="31"/>
        <v>95</v>
      </c>
      <c r="AB133" s="97">
        <f t="shared" si="29"/>
        <v>16302.122619785423</v>
      </c>
      <c r="AC133" s="97">
        <f t="shared" ca="1" si="32"/>
        <v>1490.6005555555557</v>
      </c>
      <c r="AE133" s="96">
        <f t="shared" si="33"/>
        <v>95</v>
      </c>
      <c r="AF133" s="97">
        <f>IFERROR(VLOOKUP(AE133,[1]Cálculos_PRICE!$A$32:$K$212,10,0),"")</f>
        <v>16302.122619785423</v>
      </c>
      <c r="AG133" s="97">
        <f ca="1">IFERROR(VLOOKUP(AE133,Cálculos_Aquisição_SAC_Fixa!A131:K404,10,0),"")</f>
        <v>1490.6005555555557</v>
      </c>
      <c r="AH133" s="97">
        <f>IFERROR(VLOOKUP(AE133,[1]Cálculos_PRICE!$A$32:$K$212,6,0),"")</f>
        <v>4475.6879801979485</v>
      </c>
      <c r="AI133" s="97">
        <f>IFERROR(VLOOKUP(AE133,Cálculos_Aquisição_SAC_Fixa!A131:K404,6,0),"")</f>
        <v>694.44444444444446</v>
      </c>
      <c r="AJ133" s="97">
        <f>IFERROR(VLOOKUP(AE133,[1]Cálculos_PRICE!$A$32:$K$240,11,0),"")</f>
        <v>770759.13961515331</v>
      </c>
      <c r="AK133" s="97">
        <f>IFERROR(VLOOKUP(AE133,Cálculos_Aquisição_SAC_Fixa!A131:K404,11,0),"")</f>
        <v>59027.777777778319</v>
      </c>
      <c r="AW133" s="132"/>
    </row>
    <row r="134" spans="1:49" ht="15.5" x14ac:dyDescent="0.35">
      <c r="A134" s="98">
        <f t="shared" si="30"/>
        <v>97</v>
      </c>
      <c r="B134" s="99">
        <f t="shared" ca="1" si="23"/>
        <v>49008</v>
      </c>
      <c r="C134" s="100">
        <f t="shared" si="24"/>
        <v>58333.333333333874</v>
      </c>
      <c r="D134" s="100">
        <f t="shared" si="25"/>
        <v>752.51</v>
      </c>
      <c r="E134" s="100">
        <f t="shared" si="26"/>
        <v>59085.843333333876</v>
      </c>
      <c r="F134" s="100">
        <f t="shared" si="19"/>
        <v>694.44444444444446</v>
      </c>
      <c r="G134" s="100">
        <f t="shared" si="27"/>
        <v>1446.9544444444446</v>
      </c>
      <c r="H134" s="100">
        <f t="shared" ca="1" si="20"/>
        <v>13.416666666666792</v>
      </c>
      <c r="I134" s="100">
        <f t="shared" si="21"/>
        <v>12.000000000000002</v>
      </c>
      <c r="J134" s="100">
        <f t="shared" ca="1" si="22"/>
        <v>1472.3711111111113</v>
      </c>
      <c r="K134" s="101">
        <f t="shared" si="28"/>
        <v>57638.888888889429</v>
      </c>
      <c r="O134" s="118">
        <f t="shared" si="35"/>
        <v>20.833333333333332</v>
      </c>
      <c r="P134" s="119">
        <f t="shared" ca="1" si="34"/>
        <v>30</v>
      </c>
      <c r="Q134" s="120">
        <v>365</v>
      </c>
      <c r="S134" s="123">
        <v>63</v>
      </c>
      <c r="T134" s="123">
        <v>3.8379999999999998E-3</v>
      </c>
      <c r="U134" s="123" t="s">
        <v>81</v>
      </c>
      <c r="AA134" s="96">
        <f t="shared" si="31"/>
        <v>96</v>
      </c>
      <c r="AB134" s="97">
        <f t="shared" si="29"/>
        <v>16301.127226778626</v>
      </c>
      <c r="AC134" s="97">
        <f t="shared" ca="1" si="32"/>
        <v>1481.4808333333333</v>
      </c>
      <c r="AE134" s="96">
        <f t="shared" si="33"/>
        <v>96</v>
      </c>
      <c r="AF134" s="97">
        <f>IFERROR(VLOOKUP(AE134,[1]Cálculos_PRICE!$A$32:$K$212,10,0),"")</f>
        <v>16301.127226778626</v>
      </c>
      <c r="AG134" s="97">
        <f ca="1">IFERROR(VLOOKUP(AE134,Cálculos_Aquisição_SAC_Fixa!A132:K405,10,0),"")</f>
        <v>1481.4808333333333</v>
      </c>
      <c r="AH134" s="97">
        <f>IFERROR(VLOOKUP(AE134,[1]Cálculos_PRICE!$A$32:$K$212,6,0),"")</f>
        <v>4542.8232999009178</v>
      </c>
      <c r="AI134" s="97">
        <f>IFERROR(VLOOKUP(AE134,Cálculos_Aquisição_SAC_Fixa!A132:K405,6,0),"")</f>
        <v>694.44444444444446</v>
      </c>
      <c r="AJ134" s="97">
        <f>IFERROR(VLOOKUP(AE134,[1]Cálculos_PRICE!$A$32:$K$240,11,0),"")</f>
        <v>766216.31631525245</v>
      </c>
      <c r="AK134" s="97">
        <f>IFERROR(VLOOKUP(AE134,Cálculos_Aquisição_SAC_Fixa!A132:K405,11,0),"")</f>
        <v>58333.333333333874</v>
      </c>
      <c r="AW134" s="132"/>
    </row>
    <row r="135" spans="1:49" ht="15.5" x14ac:dyDescent="0.35">
      <c r="A135" s="98">
        <f t="shared" si="30"/>
        <v>98</v>
      </c>
      <c r="B135" s="99">
        <f t="shared" ca="1" si="23"/>
        <v>49039</v>
      </c>
      <c r="C135" s="100">
        <f t="shared" si="24"/>
        <v>57638.888888889429</v>
      </c>
      <c r="D135" s="100">
        <f t="shared" si="25"/>
        <v>743.55</v>
      </c>
      <c r="E135" s="100">
        <f t="shared" si="26"/>
        <v>58382.438888889432</v>
      </c>
      <c r="F135" s="100">
        <f t="shared" si="19"/>
        <v>694.44444444444446</v>
      </c>
      <c r="G135" s="100">
        <f t="shared" si="27"/>
        <v>1437.9944444444445</v>
      </c>
      <c r="H135" s="100">
        <f t="shared" ca="1" si="20"/>
        <v>13.256944444444569</v>
      </c>
      <c r="I135" s="100">
        <f t="shared" si="21"/>
        <v>12.000000000000002</v>
      </c>
      <c r="J135" s="100">
        <f t="shared" ca="1" si="22"/>
        <v>1463.2513888888891</v>
      </c>
      <c r="K135" s="101">
        <f t="shared" si="28"/>
        <v>56944.444444444984</v>
      </c>
      <c r="O135" s="118">
        <f t="shared" si="35"/>
        <v>20.833333333333332</v>
      </c>
      <c r="P135" s="119">
        <f t="shared" ca="1" si="34"/>
        <v>31</v>
      </c>
      <c r="Q135" s="120">
        <v>365</v>
      </c>
      <c r="S135" s="123">
        <v>64</v>
      </c>
      <c r="T135" s="123">
        <v>3.8379999999999998E-3</v>
      </c>
      <c r="U135" s="123" t="s">
        <v>81</v>
      </c>
      <c r="AA135" s="96">
        <f t="shared" si="31"/>
        <v>97</v>
      </c>
      <c r="AB135" s="97">
        <f t="shared" si="29"/>
        <v>16300.116902876729</v>
      </c>
      <c r="AC135" s="97">
        <f t="shared" ca="1" si="32"/>
        <v>1472.3711111111113</v>
      </c>
      <c r="AE135" s="96">
        <f t="shared" si="33"/>
        <v>97</v>
      </c>
      <c r="AF135" s="97">
        <f>IFERROR(VLOOKUP(AE135,[1]Cálculos_PRICE!$A$32:$K$212,10,0),"")</f>
        <v>16300.116902876729</v>
      </c>
      <c r="AG135" s="97">
        <f ca="1">IFERROR(VLOOKUP(AE135,Cálculos_Aquisição_SAC_Fixa!A133:K406,10,0),"")</f>
        <v>1472.3711111111113</v>
      </c>
      <c r="AH135" s="97">
        <f>IFERROR(VLOOKUP(AE135,[1]Cálculos_PRICE!$A$32:$K$212,6,0),"")</f>
        <v>4610.9656493994298</v>
      </c>
      <c r="AI135" s="97">
        <f>IFERROR(VLOOKUP(AE135,Cálculos_Aquisição_SAC_Fixa!A133:K406,6,0),"")</f>
        <v>694.44444444444446</v>
      </c>
      <c r="AJ135" s="97">
        <f>IFERROR(VLOOKUP(AE135,[1]Cálculos_PRICE!$A$32:$K$240,11,0),"")</f>
        <v>761605.35066585301</v>
      </c>
      <c r="AK135" s="97">
        <f>IFERROR(VLOOKUP(AE135,Cálculos_Aquisição_SAC_Fixa!A133:K406,11,0),"")</f>
        <v>57638.888888889429</v>
      </c>
      <c r="AW135" s="132"/>
    </row>
    <row r="136" spans="1:49" ht="15.5" x14ac:dyDescent="0.35">
      <c r="A136" s="98">
        <f t="shared" si="30"/>
        <v>99</v>
      </c>
      <c r="B136" s="99">
        <f t="shared" ca="1" si="23"/>
        <v>49069</v>
      </c>
      <c r="C136" s="100">
        <f t="shared" si="24"/>
        <v>56944.444444444984</v>
      </c>
      <c r="D136" s="100">
        <f t="shared" si="25"/>
        <v>734.59</v>
      </c>
      <c r="E136" s="100">
        <f t="shared" si="26"/>
        <v>57679.03444444498</v>
      </c>
      <c r="F136" s="100">
        <f t="shared" si="19"/>
        <v>694.44444444444446</v>
      </c>
      <c r="G136" s="100">
        <f t="shared" si="27"/>
        <v>1429.0344444444445</v>
      </c>
      <c r="H136" s="100">
        <f t="shared" ca="1" si="20"/>
        <v>13.097222222222346</v>
      </c>
      <c r="I136" s="100">
        <f t="shared" si="21"/>
        <v>12.000000000000002</v>
      </c>
      <c r="J136" s="100">
        <f t="shared" ca="1" si="22"/>
        <v>1454.1316666666669</v>
      </c>
      <c r="K136" s="101">
        <f t="shared" si="28"/>
        <v>56250.000000000538</v>
      </c>
      <c r="O136" s="118">
        <f t="shared" si="35"/>
        <v>20.833333333333332</v>
      </c>
      <c r="P136" s="119">
        <f t="shared" ca="1" si="34"/>
        <v>30</v>
      </c>
      <c r="Q136" s="120">
        <v>365</v>
      </c>
      <c r="S136" s="123">
        <v>65</v>
      </c>
      <c r="T136" s="123">
        <v>3.8379999999999998E-3</v>
      </c>
      <c r="U136" s="123" t="s">
        <v>81</v>
      </c>
      <c r="AA136" s="96">
        <f t="shared" si="31"/>
        <v>98</v>
      </c>
      <c r="AB136" s="97">
        <f t="shared" si="29"/>
        <v>16299.091424116303</v>
      </c>
      <c r="AC136" s="97">
        <f t="shared" ca="1" si="32"/>
        <v>1463.2513888888891</v>
      </c>
      <c r="AE136" s="96">
        <f t="shared" si="33"/>
        <v>98</v>
      </c>
      <c r="AF136" s="97">
        <f>IFERROR(VLOOKUP(AE136,[1]Cálculos_PRICE!$A$32:$K$212,10,0),"")</f>
        <v>16299.091424116303</v>
      </c>
      <c r="AG136" s="97">
        <f ca="1">IFERROR(VLOOKUP(AE136,Cálculos_Aquisição_SAC_Fixa!A134:K407,10,0),"")</f>
        <v>1463.2513888888891</v>
      </c>
      <c r="AH136" s="97">
        <f>IFERROR(VLOOKUP(AE136,[1]Cálculos_PRICE!$A$32:$K$212,6,0),"")</f>
        <v>4680.1301341404214</v>
      </c>
      <c r="AI136" s="97">
        <f>IFERROR(VLOOKUP(AE136,Cálculos_Aquisição_SAC_Fixa!A134:K407,6,0),"")</f>
        <v>694.44444444444446</v>
      </c>
      <c r="AJ136" s="97">
        <f>IFERROR(VLOOKUP(AE136,[1]Cálculos_PRICE!$A$32:$K$240,11,0),"")</f>
        <v>756925.22053171264</v>
      </c>
      <c r="AK136" s="97">
        <f>IFERROR(VLOOKUP(AE136,Cálculos_Aquisição_SAC_Fixa!A134:K407,11,0),"")</f>
        <v>56944.444444444984</v>
      </c>
      <c r="AW136" s="132"/>
    </row>
    <row r="137" spans="1:49" ht="15.5" x14ac:dyDescent="0.35">
      <c r="A137" s="98">
        <f t="shared" si="30"/>
        <v>100</v>
      </c>
      <c r="B137" s="99">
        <f t="shared" ca="1" si="23"/>
        <v>49100</v>
      </c>
      <c r="C137" s="100">
        <f t="shared" si="24"/>
        <v>56250.000000000538</v>
      </c>
      <c r="D137" s="100">
        <f t="shared" si="25"/>
        <v>725.63</v>
      </c>
      <c r="E137" s="100">
        <f t="shared" si="26"/>
        <v>56975.630000000536</v>
      </c>
      <c r="F137" s="100">
        <f t="shared" si="19"/>
        <v>694.44444444444446</v>
      </c>
      <c r="G137" s="100">
        <f t="shared" si="27"/>
        <v>1420.0744444444445</v>
      </c>
      <c r="H137" s="100">
        <f t="shared" ca="1" si="20"/>
        <v>12.937500000000124</v>
      </c>
      <c r="I137" s="100">
        <f t="shared" si="21"/>
        <v>12.000000000000002</v>
      </c>
      <c r="J137" s="100">
        <f t="shared" ca="1" si="22"/>
        <v>1445.0119444444447</v>
      </c>
      <c r="K137" s="101">
        <f t="shared" si="28"/>
        <v>55555.555555556093</v>
      </c>
      <c r="O137" s="118">
        <f t="shared" si="35"/>
        <v>20.833333333333332</v>
      </c>
      <c r="P137" s="119">
        <f t="shared" ca="1" si="34"/>
        <v>31</v>
      </c>
      <c r="Q137" s="120">
        <v>365</v>
      </c>
      <c r="S137" s="123">
        <v>66</v>
      </c>
      <c r="T137" s="123">
        <v>3.8379999999999998E-3</v>
      </c>
      <c r="U137" s="123" t="s">
        <v>81</v>
      </c>
      <c r="AA137" s="96">
        <f t="shared" si="31"/>
        <v>99</v>
      </c>
      <c r="AB137" s="97">
        <f t="shared" si="29"/>
        <v>16298.050563174469</v>
      </c>
      <c r="AC137" s="97">
        <f t="shared" ca="1" si="32"/>
        <v>1454.1316666666669</v>
      </c>
      <c r="AE137" s="96">
        <f t="shared" si="33"/>
        <v>99</v>
      </c>
      <c r="AF137" s="97">
        <f>IFERROR(VLOOKUP(AE137,[1]Cálculos_PRICE!$A$32:$K$212,10,0),"")</f>
        <v>16298.050563174469</v>
      </c>
      <c r="AG137" s="97">
        <f ca="1">IFERROR(VLOOKUP(AE137,Cálculos_Aquisição_SAC_Fixa!A135:K408,10,0),"")</f>
        <v>1454.1316666666669</v>
      </c>
      <c r="AH137" s="97">
        <f>IFERROR(VLOOKUP(AE137,[1]Cálculos_PRICE!$A$32:$K$212,6,0),"")</f>
        <v>4750.3320861525281</v>
      </c>
      <c r="AI137" s="97">
        <f>IFERROR(VLOOKUP(AE137,Cálculos_Aquisição_SAC_Fixa!A135:K408,6,0),"")</f>
        <v>694.44444444444446</v>
      </c>
      <c r="AJ137" s="97">
        <f>IFERROR(VLOOKUP(AE137,[1]Cálculos_PRICE!$A$32:$K$240,11,0),"")</f>
        <v>752174.88844556012</v>
      </c>
      <c r="AK137" s="97">
        <f>IFERROR(VLOOKUP(AE137,Cálculos_Aquisição_SAC_Fixa!A135:K408,11,0),"")</f>
        <v>56250.000000000538</v>
      </c>
      <c r="AW137" s="132"/>
    </row>
    <row r="138" spans="1:49" ht="15.5" x14ac:dyDescent="0.35">
      <c r="A138" s="98">
        <f t="shared" si="30"/>
        <v>101</v>
      </c>
      <c r="B138" s="99">
        <f t="shared" ca="1" si="23"/>
        <v>49130</v>
      </c>
      <c r="C138" s="100">
        <f t="shared" si="24"/>
        <v>55555.555555556093</v>
      </c>
      <c r="D138" s="100">
        <f t="shared" si="25"/>
        <v>716.67</v>
      </c>
      <c r="E138" s="100">
        <f t="shared" si="26"/>
        <v>56272.225555556091</v>
      </c>
      <c r="F138" s="100">
        <f t="shared" si="19"/>
        <v>694.44444444444446</v>
      </c>
      <c r="G138" s="100">
        <f t="shared" si="27"/>
        <v>1411.1144444444444</v>
      </c>
      <c r="H138" s="100">
        <f t="shared" ca="1" si="20"/>
        <v>12.777777777777901</v>
      </c>
      <c r="I138" s="100">
        <f t="shared" si="21"/>
        <v>12.000000000000002</v>
      </c>
      <c r="J138" s="100">
        <f t="shared" ca="1" si="22"/>
        <v>1435.8922222222222</v>
      </c>
      <c r="K138" s="101">
        <f t="shared" si="28"/>
        <v>54861.111111111648</v>
      </c>
      <c r="O138" s="118">
        <f t="shared" si="35"/>
        <v>20.833333333333332</v>
      </c>
      <c r="P138" s="119">
        <f t="shared" ca="1" si="34"/>
        <v>31</v>
      </c>
      <c r="Q138" s="120">
        <v>365</v>
      </c>
      <c r="S138" s="123">
        <v>67</v>
      </c>
      <c r="T138" s="123">
        <v>3.8379999999999998E-3</v>
      </c>
      <c r="U138" s="123" t="s">
        <v>81</v>
      </c>
      <c r="AA138" s="96">
        <f t="shared" si="31"/>
        <v>100</v>
      </c>
      <c r="AB138" s="97">
        <f t="shared" si="29"/>
        <v>16296.994089318508</v>
      </c>
      <c r="AC138" s="97">
        <f t="shared" ca="1" si="32"/>
        <v>1445.0119444444447</v>
      </c>
      <c r="AE138" s="96">
        <f t="shared" si="33"/>
        <v>100</v>
      </c>
      <c r="AF138" s="97">
        <f>IFERROR(VLOOKUP(AE138,[1]Cálculos_PRICE!$A$32:$K$212,10,0),"")</f>
        <v>16296.994089318508</v>
      </c>
      <c r="AG138" s="97">
        <f ca="1">IFERROR(VLOOKUP(AE138,Cálculos_Aquisição_SAC_Fixa!A136:K409,10,0),"")</f>
        <v>1445.0119444444447</v>
      </c>
      <c r="AH138" s="97">
        <f>IFERROR(VLOOKUP(AE138,[1]Cálculos_PRICE!$A$32:$K$212,6,0),"")</f>
        <v>4821.5870674448161</v>
      </c>
      <c r="AI138" s="97">
        <f>IFERROR(VLOOKUP(AE138,Cálculos_Aquisição_SAC_Fixa!A136:K409,6,0),"")</f>
        <v>694.44444444444446</v>
      </c>
      <c r="AJ138" s="97">
        <f>IFERROR(VLOOKUP(AE138,[1]Cálculos_PRICE!$A$32:$K$240,11,0),"")</f>
        <v>747353.30137811531</v>
      </c>
      <c r="AK138" s="97">
        <f>IFERROR(VLOOKUP(AE138,Cálculos_Aquisição_SAC_Fixa!A136:K409,11,0),"")</f>
        <v>55555.555555556093</v>
      </c>
      <c r="AW138" s="132"/>
    </row>
    <row r="139" spans="1:49" ht="15.5" x14ac:dyDescent="0.35">
      <c r="A139" s="98">
        <f t="shared" si="30"/>
        <v>102</v>
      </c>
      <c r="B139" s="99">
        <f t="shared" ca="1" si="23"/>
        <v>49161</v>
      </c>
      <c r="C139" s="100">
        <f t="shared" si="24"/>
        <v>54861.111111111648</v>
      </c>
      <c r="D139" s="100">
        <f t="shared" si="25"/>
        <v>707.71</v>
      </c>
      <c r="E139" s="100">
        <f t="shared" si="26"/>
        <v>55568.821111111647</v>
      </c>
      <c r="F139" s="100">
        <f t="shared" si="19"/>
        <v>694.44444444444446</v>
      </c>
      <c r="G139" s="100">
        <f t="shared" si="27"/>
        <v>1402.1544444444444</v>
      </c>
      <c r="H139" s="100">
        <f t="shared" ca="1" si="20"/>
        <v>12.61805555555568</v>
      </c>
      <c r="I139" s="100">
        <f t="shared" si="21"/>
        <v>12.000000000000002</v>
      </c>
      <c r="J139" s="100">
        <f t="shared" ca="1" si="22"/>
        <v>1426.7725</v>
      </c>
      <c r="K139" s="101">
        <f t="shared" si="28"/>
        <v>54166.666666667203</v>
      </c>
      <c r="O139" s="118">
        <f t="shared" si="35"/>
        <v>20.833333333333332</v>
      </c>
      <c r="P139" s="119">
        <f t="shared" ca="1" si="34"/>
        <v>28</v>
      </c>
      <c r="Q139" s="120">
        <v>365</v>
      </c>
      <c r="S139" s="123">
        <v>68</v>
      </c>
      <c r="T139" s="123">
        <v>3.8379999999999998E-3</v>
      </c>
      <c r="U139" s="123" t="s">
        <v>81</v>
      </c>
      <c r="AA139" s="96">
        <f t="shared" si="31"/>
        <v>101</v>
      </c>
      <c r="AB139" s="97">
        <f t="shared" si="29"/>
        <v>16295.92176835471</v>
      </c>
      <c r="AC139" s="97">
        <f t="shared" ca="1" si="32"/>
        <v>1435.8922222222222</v>
      </c>
      <c r="AE139" s="96">
        <f t="shared" si="33"/>
        <v>101</v>
      </c>
      <c r="AF139" s="97">
        <f>IFERROR(VLOOKUP(AE139,[1]Cálculos_PRICE!$A$32:$K$212,10,0),"")</f>
        <v>16295.92176835471</v>
      </c>
      <c r="AG139" s="97">
        <f ca="1">IFERROR(VLOOKUP(AE139,Cálculos_Aquisição_SAC_Fixa!A137:K410,10,0),"")</f>
        <v>1435.8922222222222</v>
      </c>
      <c r="AH139" s="97">
        <f>IFERROR(VLOOKUP(AE139,[1]Cálculos_PRICE!$A$32:$K$212,6,0),"")</f>
        <v>4893.910873456487</v>
      </c>
      <c r="AI139" s="97">
        <f>IFERROR(VLOOKUP(AE139,Cálculos_Aquisição_SAC_Fixa!A137:K410,6,0),"")</f>
        <v>694.44444444444446</v>
      </c>
      <c r="AJ139" s="97">
        <f>IFERROR(VLOOKUP(AE139,[1]Cálculos_PRICE!$A$32:$K$240,11,0),"")</f>
        <v>742459.3905046588</v>
      </c>
      <c r="AK139" s="97">
        <f>IFERROR(VLOOKUP(AE139,Cálculos_Aquisição_SAC_Fixa!A137:K410,11,0),"")</f>
        <v>54861.111111111648</v>
      </c>
      <c r="AW139" s="132"/>
    </row>
    <row r="140" spans="1:49" ht="15.5" x14ac:dyDescent="0.35">
      <c r="A140" s="98">
        <f t="shared" si="30"/>
        <v>103</v>
      </c>
      <c r="B140" s="99">
        <f t="shared" ca="1" si="23"/>
        <v>49192</v>
      </c>
      <c r="C140" s="100">
        <f t="shared" si="24"/>
        <v>54166.666666667203</v>
      </c>
      <c r="D140" s="100">
        <f t="shared" si="25"/>
        <v>698.76</v>
      </c>
      <c r="E140" s="100">
        <f t="shared" si="26"/>
        <v>54865.426666667205</v>
      </c>
      <c r="F140" s="100">
        <f t="shared" si="19"/>
        <v>694.44444444444446</v>
      </c>
      <c r="G140" s="100">
        <f t="shared" si="27"/>
        <v>1393.2044444444446</v>
      </c>
      <c r="H140" s="100">
        <f t="shared" ca="1" si="20"/>
        <v>12.458333333333456</v>
      </c>
      <c r="I140" s="100">
        <f t="shared" si="21"/>
        <v>12.000000000000002</v>
      </c>
      <c r="J140" s="100">
        <f t="shared" ca="1" si="22"/>
        <v>1417.662777777778</v>
      </c>
      <c r="K140" s="101">
        <f t="shared" si="28"/>
        <v>53472.222222222757</v>
      </c>
      <c r="O140" s="118">
        <f t="shared" si="35"/>
        <v>20.833333333333332</v>
      </c>
      <c r="P140" s="119">
        <f t="shared" ca="1" si="34"/>
        <v>31</v>
      </c>
      <c r="Q140" s="120">
        <v>365</v>
      </c>
      <c r="S140" s="123">
        <v>69</v>
      </c>
      <c r="T140" s="123">
        <v>3.8379999999999998E-3</v>
      </c>
      <c r="U140" s="123" t="s">
        <v>81</v>
      </c>
      <c r="AA140" s="96">
        <f t="shared" si="31"/>
        <v>102</v>
      </c>
      <c r="AB140" s="97">
        <f t="shared" si="29"/>
        <v>16294.833362576454</v>
      </c>
      <c r="AC140" s="97">
        <f t="shared" ca="1" si="32"/>
        <v>1426.7725</v>
      </c>
      <c r="AE140" s="96">
        <f t="shared" si="33"/>
        <v>102</v>
      </c>
      <c r="AF140" s="97">
        <f>IFERROR(VLOOKUP(AE140,[1]Cálculos_PRICE!$A$32:$K$212,10,0),"")</f>
        <v>16294.833362576454</v>
      </c>
      <c r="AG140" s="97">
        <f ca="1">IFERROR(VLOOKUP(AE140,Cálculos_Aquisição_SAC_Fixa!A138:K411,10,0),"")</f>
        <v>1426.7725</v>
      </c>
      <c r="AH140" s="97">
        <f>IFERROR(VLOOKUP(AE140,[1]Cálculos_PRICE!$A$32:$K$212,6,0),"")</f>
        <v>4967.3195365583342</v>
      </c>
      <c r="AI140" s="97">
        <f>IFERROR(VLOOKUP(AE140,Cálculos_Aquisição_SAC_Fixa!A138:K411,6,0),"")</f>
        <v>694.44444444444446</v>
      </c>
      <c r="AJ140" s="97">
        <f>IFERROR(VLOOKUP(AE140,[1]Cálculos_PRICE!$A$32:$K$240,11,0),"")</f>
        <v>737492.07096810045</v>
      </c>
      <c r="AK140" s="97">
        <f>IFERROR(VLOOKUP(AE140,Cálculos_Aquisição_SAC_Fixa!A138:K411,11,0),"")</f>
        <v>54166.666666667203</v>
      </c>
      <c r="AW140" s="132"/>
    </row>
    <row r="141" spans="1:49" ht="15.5" x14ac:dyDescent="0.35">
      <c r="A141" s="98">
        <f t="shared" si="30"/>
        <v>104</v>
      </c>
      <c r="B141" s="99">
        <f t="shared" ca="1" si="23"/>
        <v>49222</v>
      </c>
      <c r="C141" s="100">
        <f t="shared" si="24"/>
        <v>53472.222222222757</v>
      </c>
      <c r="D141" s="100">
        <f t="shared" si="25"/>
        <v>689.8</v>
      </c>
      <c r="E141" s="100">
        <f t="shared" si="26"/>
        <v>54162.02222222276</v>
      </c>
      <c r="F141" s="100">
        <f t="shared" si="19"/>
        <v>694.44444444444446</v>
      </c>
      <c r="G141" s="100">
        <f t="shared" si="27"/>
        <v>1384.2444444444445</v>
      </c>
      <c r="H141" s="100">
        <f t="shared" ca="1" si="20"/>
        <v>12.298611111111235</v>
      </c>
      <c r="I141" s="100">
        <f t="shared" si="21"/>
        <v>12.000000000000002</v>
      </c>
      <c r="J141" s="100">
        <f t="shared" ca="1" si="22"/>
        <v>1408.5430555555558</v>
      </c>
      <c r="K141" s="101">
        <f t="shared" si="28"/>
        <v>52777.777777778312</v>
      </c>
      <c r="O141" s="118">
        <f t="shared" si="35"/>
        <v>20.833333333333332</v>
      </c>
      <c r="P141" s="119">
        <f t="shared" ca="1" si="34"/>
        <v>30</v>
      </c>
      <c r="Q141" s="120">
        <v>365</v>
      </c>
      <c r="S141" s="123">
        <v>70</v>
      </c>
      <c r="T141" s="123">
        <v>3.8379999999999998E-3</v>
      </c>
      <c r="U141" s="123" t="s">
        <v>81</v>
      </c>
      <c r="AA141" s="96">
        <f t="shared" si="31"/>
        <v>103</v>
      </c>
      <c r="AB141" s="97">
        <f t="shared" si="29"/>
        <v>16293.728630711523</v>
      </c>
      <c r="AC141" s="97">
        <f t="shared" ca="1" si="32"/>
        <v>1417.662777777778</v>
      </c>
      <c r="AE141" s="96">
        <f t="shared" si="33"/>
        <v>103</v>
      </c>
      <c r="AF141" s="97">
        <f>IFERROR(VLOOKUP(AE141,[1]Cálculos_PRICE!$A$32:$K$212,10,0),"")</f>
        <v>16293.728630711523</v>
      </c>
      <c r="AG141" s="97">
        <f ca="1">IFERROR(VLOOKUP(AE141,Cálculos_Aquisição_SAC_Fixa!A139:K412,10,0),"")</f>
        <v>1417.662777777778</v>
      </c>
      <c r="AH141" s="97">
        <f>IFERROR(VLOOKUP(AE141,[1]Cálculos_PRICE!$A$32:$K$212,6,0),"")</f>
        <v>5041.8293296067095</v>
      </c>
      <c r="AI141" s="97">
        <f>IFERROR(VLOOKUP(AE141,Cálculos_Aquisição_SAC_Fixa!A139:K412,6,0),"")</f>
        <v>694.44444444444446</v>
      </c>
      <c r="AJ141" s="97">
        <f>IFERROR(VLOOKUP(AE141,[1]Cálculos_PRICE!$A$32:$K$240,11,0),"")</f>
        <v>732450.24163849372</v>
      </c>
      <c r="AK141" s="97">
        <f>IFERROR(VLOOKUP(AE141,Cálculos_Aquisição_SAC_Fixa!A139:K412,11,0),"")</f>
        <v>53472.222222222757</v>
      </c>
      <c r="AW141" s="132"/>
    </row>
    <row r="142" spans="1:49" ht="15.5" x14ac:dyDescent="0.35">
      <c r="A142" s="98">
        <f t="shared" si="30"/>
        <v>105</v>
      </c>
      <c r="B142" s="99">
        <f t="shared" ca="1" si="23"/>
        <v>49253</v>
      </c>
      <c r="C142" s="100">
        <f t="shared" si="24"/>
        <v>52777.777777778312</v>
      </c>
      <c r="D142" s="100">
        <f t="shared" si="25"/>
        <v>680.84</v>
      </c>
      <c r="E142" s="100">
        <f t="shared" si="26"/>
        <v>53458.617777778309</v>
      </c>
      <c r="F142" s="100">
        <f t="shared" si="19"/>
        <v>694.44444444444446</v>
      </c>
      <c r="G142" s="100">
        <f t="shared" si="27"/>
        <v>1375.2844444444445</v>
      </c>
      <c r="H142" s="100">
        <f t="shared" ca="1" si="20"/>
        <v>12.138888888889012</v>
      </c>
      <c r="I142" s="100">
        <f t="shared" si="21"/>
        <v>12.000000000000002</v>
      </c>
      <c r="J142" s="100">
        <f t="shared" ca="1" si="22"/>
        <v>1399.4233333333334</v>
      </c>
      <c r="K142" s="101">
        <f t="shared" si="28"/>
        <v>52083.333333333867</v>
      </c>
      <c r="O142" s="118">
        <f t="shared" si="35"/>
        <v>20.833333333333332</v>
      </c>
      <c r="P142" s="119">
        <f t="shared" ca="1" si="34"/>
        <v>31</v>
      </c>
      <c r="Q142" s="120">
        <v>365</v>
      </c>
      <c r="S142" s="123">
        <v>71</v>
      </c>
      <c r="T142" s="123">
        <v>6.4554E-3</v>
      </c>
      <c r="U142" s="123" t="s">
        <v>82</v>
      </c>
      <c r="AA142" s="96">
        <f t="shared" si="31"/>
        <v>104</v>
      </c>
      <c r="AB142" s="97">
        <f t="shared" si="29"/>
        <v>16292.607327868618</v>
      </c>
      <c r="AC142" s="97">
        <f t="shared" ca="1" si="32"/>
        <v>1408.5430555555558</v>
      </c>
      <c r="AE142" s="96">
        <f t="shared" si="33"/>
        <v>104</v>
      </c>
      <c r="AF142" s="97">
        <f>IFERROR(VLOOKUP(AE142,[1]Cálculos_PRICE!$A$32:$K$212,10,0),"")</f>
        <v>16292.607327868618</v>
      </c>
      <c r="AG142" s="97">
        <f ca="1">IFERROR(VLOOKUP(AE142,Cálculos_Aquisição_SAC_Fixa!A140:K413,10,0),"")</f>
        <v>1408.5430555555558</v>
      </c>
      <c r="AH142" s="97">
        <f>IFERROR(VLOOKUP(AE142,[1]Cálculos_PRICE!$A$32:$K$212,6,0),"")</f>
        <v>5117.4567695508103</v>
      </c>
      <c r="AI142" s="97">
        <f>IFERROR(VLOOKUP(AE142,Cálculos_Aquisição_SAC_Fixa!A140:K413,6,0),"")</f>
        <v>694.44444444444446</v>
      </c>
      <c r="AJ142" s="97">
        <f>IFERROR(VLOOKUP(AE142,[1]Cálculos_PRICE!$A$32:$K$240,11,0),"")</f>
        <v>727332.78486894292</v>
      </c>
      <c r="AK142" s="97">
        <f>IFERROR(VLOOKUP(AE142,Cálculos_Aquisição_SAC_Fixa!A140:K413,11,0),"")</f>
        <v>52777.777777778312</v>
      </c>
      <c r="AW142" s="132"/>
    </row>
    <row r="143" spans="1:49" ht="15.5" x14ac:dyDescent="0.35">
      <c r="A143" s="98">
        <f t="shared" si="30"/>
        <v>106</v>
      </c>
      <c r="B143" s="99">
        <f t="shared" ca="1" si="23"/>
        <v>49283</v>
      </c>
      <c r="C143" s="100">
        <f t="shared" si="24"/>
        <v>52083.333333333867</v>
      </c>
      <c r="D143" s="100">
        <f t="shared" si="25"/>
        <v>671.88</v>
      </c>
      <c r="E143" s="100">
        <f t="shared" si="26"/>
        <v>52755.213333333864</v>
      </c>
      <c r="F143" s="100">
        <f t="shared" si="19"/>
        <v>694.44444444444446</v>
      </c>
      <c r="G143" s="100">
        <f t="shared" si="27"/>
        <v>1366.3244444444445</v>
      </c>
      <c r="H143" s="100">
        <f t="shared" ca="1" si="20"/>
        <v>11.97916666666679</v>
      </c>
      <c r="I143" s="100">
        <f t="shared" si="21"/>
        <v>12.000000000000002</v>
      </c>
      <c r="J143" s="100">
        <f t="shared" ca="1" si="22"/>
        <v>1390.3036111111112</v>
      </c>
      <c r="K143" s="101">
        <f t="shared" si="28"/>
        <v>51388.888888889422</v>
      </c>
      <c r="O143" s="118">
        <f t="shared" si="35"/>
        <v>20.833333333333332</v>
      </c>
      <c r="P143" s="119">
        <f t="shared" ca="1" si="34"/>
        <v>30</v>
      </c>
      <c r="Q143" s="120">
        <v>365</v>
      </c>
      <c r="S143" s="123">
        <v>72</v>
      </c>
      <c r="T143" s="123">
        <v>6.4554E-3</v>
      </c>
      <c r="U143" s="123" t="s">
        <v>82</v>
      </c>
      <c r="AA143" s="96">
        <f t="shared" si="31"/>
        <v>105</v>
      </c>
      <c r="AB143" s="97">
        <f t="shared" si="29"/>
        <v>16291.46920548307</v>
      </c>
      <c r="AC143" s="97">
        <f t="shared" ca="1" si="32"/>
        <v>1399.4233333333334</v>
      </c>
      <c r="AE143" s="96">
        <f t="shared" si="33"/>
        <v>105</v>
      </c>
      <c r="AF143" s="97">
        <f>IFERROR(VLOOKUP(AE143,[1]Cálculos_PRICE!$A$32:$K$212,10,0),"")</f>
        <v>16291.46920548307</v>
      </c>
      <c r="AG143" s="97">
        <f ca="1">IFERROR(VLOOKUP(AE143,Cálculos_Aquisição_SAC_Fixa!A141:K414,10,0),"")</f>
        <v>1399.4233333333334</v>
      </c>
      <c r="AH143" s="97">
        <f>IFERROR(VLOOKUP(AE143,[1]Cálculos_PRICE!$A$32:$K$212,6,0),"")</f>
        <v>5194.2186210940727</v>
      </c>
      <c r="AI143" s="97">
        <f>IFERROR(VLOOKUP(AE143,Cálculos_Aquisição_SAC_Fixa!A141:K414,6,0),"")</f>
        <v>694.44444444444446</v>
      </c>
      <c r="AJ143" s="97">
        <f>IFERROR(VLOOKUP(AE143,[1]Cálculos_PRICE!$A$32:$K$240,11,0),"")</f>
        <v>722138.56624784879</v>
      </c>
      <c r="AK143" s="97">
        <f>IFERROR(VLOOKUP(AE143,Cálculos_Aquisição_SAC_Fixa!A141:K414,11,0),"")</f>
        <v>52083.333333333867</v>
      </c>
      <c r="AW143" s="132"/>
    </row>
    <row r="144" spans="1:49" ht="15.5" x14ac:dyDescent="0.35">
      <c r="A144" s="98">
        <f t="shared" si="30"/>
        <v>107</v>
      </c>
      <c r="B144" s="99">
        <f t="shared" ca="1" si="23"/>
        <v>49314</v>
      </c>
      <c r="C144" s="100">
        <f t="shared" si="24"/>
        <v>51388.888888889422</v>
      </c>
      <c r="D144" s="100">
        <f t="shared" si="25"/>
        <v>662.92</v>
      </c>
      <c r="E144" s="100">
        <f t="shared" si="26"/>
        <v>52051.80888888942</v>
      </c>
      <c r="F144" s="100">
        <f t="shared" si="19"/>
        <v>694.44444444444446</v>
      </c>
      <c r="G144" s="100">
        <f t="shared" si="27"/>
        <v>1357.3644444444444</v>
      </c>
      <c r="H144" s="100">
        <f t="shared" ca="1" si="20"/>
        <v>11.819444444444567</v>
      </c>
      <c r="I144" s="100">
        <f t="shared" si="21"/>
        <v>12.000000000000002</v>
      </c>
      <c r="J144" s="100">
        <f t="shared" ca="1" si="22"/>
        <v>1381.183888888889</v>
      </c>
      <c r="K144" s="101">
        <f t="shared" si="28"/>
        <v>50694.444444444976</v>
      </c>
      <c r="O144" s="118">
        <f t="shared" si="35"/>
        <v>20.833333333333332</v>
      </c>
      <c r="P144" s="119">
        <f t="shared" ca="1" si="34"/>
        <v>31</v>
      </c>
      <c r="Q144" s="120">
        <v>365</v>
      </c>
      <c r="S144" s="123">
        <v>73</v>
      </c>
      <c r="T144" s="123">
        <v>6.4554E-3</v>
      </c>
      <c r="U144" s="123" t="s">
        <v>82</v>
      </c>
      <c r="AA144" s="96">
        <f t="shared" si="31"/>
        <v>106</v>
      </c>
      <c r="AB144" s="97">
        <f t="shared" si="29"/>
        <v>16290.314011261738</v>
      </c>
      <c r="AC144" s="97">
        <f t="shared" ca="1" si="32"/>
        <v>1390.3036111111112</v>
      </c>
      <c r="AE144" s="96">
        <f t="shared" si="33"/>
        <v>106</v>
      </c>
      <c r="AF144" s="97">
        <f>IFERROR(VLOOKUP(AE144,[1]Cálculos_PRICE!$A$32:$K$212,10,0),"")</f>
        <v>16290.314011261738</v>
      </c>
      <c r="AG144" s="97">
        <f ca="1">IFERROR(VLOOKUP(AE144,Cálculos_Aquisição_SAC_Fixa!A142:K415,10,0),"")</f>
        <v>1390.3036111111112</v>
      </c>
      <c r="AH144" s="97">
        <f>IFERROR(VLOOKUP(AE144,[1]Cálculos_PRICE!$A$32:$K$212,6,0),"")</f>
        <v>5272.1319004104844</v>
      </c>
      <c r="AI144" s="97">
        <f>IFERROR(VLOOKUP(AE144,Cálculos_Aquisição_SAC_Fixa!A142:K415,6,0),"")</f>
        <v>694.44444444444446</v>
      </c>
      <c r="AJ144" s="97">
        <f>IFERROR(VLOOKUP(AE144,[1]Cálculos_PRICE!$A$32:$K$240,11,0),"")</f>
        <v>716866.43434743828</v>
      </c>
      <c r="AK144" s="97">
        <f>IFERROR(VLOOKUP(AE144,Cálculos_Aquisição_SAC_Fixa!A142:K415,11,0),"")</f>
        <v>51388.888888889422</v>
      </c>
      <c r="AW144" s="132"/>
    </row>
    <row r="145" spans="1:49" ht="15.5" x14ac:dyDescent="0.35">
      <c r="A145" s="98">
        <f t="shared" si="30"/>
        <v>108</v>
      </c>
      <c r="B145" s="99">
        <f t="shared" ca="1" si="23"/>
        <v>49345</v>
      </c>
      <c r="C145" s="100">
        <f t="shared" si="24"/>
        <v>50694.444444444976</v>
      </c>
      <c r="D145" s="100">
        <f t="shared" si="25"/>
        <v>653.96</v>
      </c>
      <c r="E145" s="100">
        <f t="shared" si="26"/>
        <v>51348.404444444976</v>
      </c>
      <c r="F145" s="100">
        <f t="shared" si="19"/>
        <v>694.44444444444446</v>
      </c>
      <c r="G145" s="100">
        <f t="shared" si="27"/>
        <v>1348.4044444444444</v>
      </c>
      <c r="H145" s="100">
        <f t="shared" ca="1" si="20"/>
        <v>11.659722222222346</v>
      </c>
      <c r="I145" s="100">
        <f t="shared" si="21"/>
        <v>12.000000000000002</v>
      </c>
      <c r="J145" s="100">
        <f t="shared" ca="1" si="22"/>
        <v>1372.0641666666668</v>
      </c>
      <c r="K145" s="101">
        <f t="shared" si="28"/>
        <v>50000.000000000531</v>
      </c>
      <c r="O145" s="118">
        <f t="shared" si="35"/>
        <v>20.833333333333332</v>
      </c>
      <c r="P145" s="119">
        <f t="shared" ca="1" si="34"/>
        <v>31</v>
      </c>
      <c r="Q145" s="120">
        <v>365</v>
      </c>
      <c r="S145" s="123">
        <v>74</v>
      </c>
      <c r="T145" s="123">
        <v>6.4554E-3</v>
      </c>
      <c r="U145" s="123" t="s">
        <v>82</v>
      </c>
      <c r="AA145" s="96">
        <f t="shared" si="31"/>
        <v>107</v>
      </c>
      <c r="AB145" s="97">
        <f t="shared" si="29"/>
        <v>16289.141489127087</v>
      </c>
      <c r="AC145" s="97">
        <f t="shared" ca="1" si="32"/>
        <v>1381.183888888889</v>
      </c>
      <c r="AE145" s="96">
        <f t="shared" si="33"/>
        <v>107</v>
      </c>
      <c r="AF145" s="97">
        <f>IFERROR(VLOOKUP(AE145,[1]Cálculos_PRICE!$A$32:$K$212,10,0),"")</f>
        <v>16289.141489127087</v>
      </c>
      <c r="AG145" s="97">
        <f ca="1">IFERROR(VLOOKUP(AE145,Cálculos_Aquisição_SAC_Fixa!A143:K416,10,0),"")</f>
        <v>1381.183888888889</v>
      </c>
      <c r="AH145" s="97">
        <f>IFERROR(VLOOKUP(AE145,[1]Cálculos_PRICE!$A$32:$K$212,6,0),"")</f>
        <v>5351.213878916642</v>
      </c>
      <c r="AI145" s="97">
        <f>IFERROR(VLOOKUP(AE145,Cálculos_Aquisição_SAC_Fixa!A143:K416,6,0),"")</f>
        <v>694.44444444444446</v>
      </c>
      <c r="AJ145" s="97">
        <f>IFERROR(VLOOKUP(AE145,[1]Cálculos_PRICE!$A$32:$K$240,11,0),"")</f>
        <v>711515.22046852158</v>
      </c>
      <c r="AK145" s="97">
        <f>IFERROR(VLOOKUP(AE145,Cálculos_Aquisição_SAC_Fixa!A143:K416,11,0),"")</f>
        <v>50694.444444444976</v>
      </c>
      <c r="AW145" s="132"/>
    </row>
    <row r="146" spans="1:49" ht="15.5" x14ac:dyDescent="0.35">
      <c r="A146" s="98">
        <f t="shared" si="30"/>
        <v>109</v>
      </c>
      <c r="B146" s="99">
        <f t="shared" ca="1" si="23"/>
        <v>49373</v>
      </c>
      <c r="C146" s="100">
        <f t="shared" si="24"/>
        <v>50000.000000000531</v>
      </c>
      <c r="D146" s="100">
        <f t="shared" si="25"/>
        <v>645.01</v>
      </c>
      <c r="E146" s="100">
        <f t="shared" si="26"/>
        <v>50645.010000000533</v>
      </c>
      <c r="F146" s="100">
        <f t="shared" si="19"/>
        <v>694.44444444444446</v>
      </c>
      <c r="G146" s="100">
        <f t="shared" si="27"/>
        <v>1339.4544444444446</v>
      </c>
      <c r="H146" s="100">
        <f t="shared" ca="1" si="20"/>
        <v>11.500000000000123</v>
      </c>
      <c r="I146" s="100">
        <f t="shared" si="21"/>
        <v>12.000000000000002</v>
      </c>
      <c r="J146" s="100">
        <f t="shared" ca="1" si="22"/>
        <v>1362.9544444444448</v>
      </c>
      <c r="K146" s="101">
        <f t="shared" si="28"/>
        <v>49305.555555556086</v>
      </c>
      <c r="O146" s="118">
        <f t="shared" si="35"/>
        <v>20.833333333333332</v>
      </c>
      <c r="P146" s="119">
        <f t="shared" ca="1" si="34"/>
        <v>30</v>
      </c>
      <c r="Q146" s="120">
        <v>365</v>
      </c>
      <c r="S146" s="123">
        <v>75</v>
      </c>
      <c r="T146" s="123">
        <v>6.4554E-3</v>
      </c>
      <c r="U146" s="123" t="s">
        <v>82</v>
      </c>
      <c r="AA146" s="96">
        <f t="shared" si="31"/>
        <v>108</v>
      </c>
      <c r="AB146" s="97">
        <f t="shared" si="29"/>
        <v>16287.951379160415</v>
      </c>
      <c r="AC146" s="97">
        <f t="shared" ca="1" si="32"/>
        <v>1372.0641666666668</v>
      </c>
      <c r="AE146" s="96">
        <f t="shared" si="33"/>
        <v>108</v>
      </c>
      <c r="AF146" s="97">
        <f>IFERROR(VLOOKUP(AE146,[1]Cálculos_PRICE!$A$32:$K$212,10,0),"")</f>
        <v>16287.951379160415</v>
      </c>
      <c r="AG146" s="97">
        <f ca="1">IFERROR(VLOOKUP(AE146,Cálculos_Aquisição_SAC_Fixa!A144:K417,10,0),"")</f>
        <v>1372.0641666666668</v>
      </c>
      <c r="AH146" s="97">
        <f>IFERROR(VLOOKUP(AE146,[1]Cálculos_PRICE!$A$32:$K$212,6,0),"")</f>
        <v>5431.482087100394</v>
      </c>
      <c r="AI146" s="97">
        <f>IFERROR(VLOOKUP(AE146,Cálculos_Aquisição_SAC_Fixa!A144:K417,6,0),"")</f>
        <v>694.44444444444446</v>
      </c>
      <c r="AJ146" s="97">
        <f>IFERROR(VLOOKUP(AE146,[1]Cálculos_PRICE!$A$32:$K$240,11,0),"")</f>
        <v>706083.73838142119</v>
      </c>
      <c r="AK146" s="97">
        <f>IFERROR(VLOOKUP(AE146,Cálculos_Aquisição_SAC_Fixa!A144:K417,11,0),"")</f>
        <v>50000.000000000531</v>
      </c>
      <c r="AW146" s="132"/>
    </row>
    <row r="147" spans="1:49" ht="15.5" x14ac:dyDescent="0.35">
      <c r="A147" s="98">
        <f t="shared" si="30"/>
        <v>110</v>
      </c>
      <c r="B147" s="99">
        <f t="shared" ca="1" si="23"/>
        <v>49404</v>
      </c>
      <c r="C147" s="100">
        <f t="shared" si="24"/>
        <v>49305.555555556086</v>
      </c>
      <c r="D147" s="100">
        <f t="shared" si="25"/>
        <v>636.04999999999995</v>
      </c>
      <c r="E147" s="100">
        <f t="shared" si="26"/>
        <v>49941.605555556089</v>
      </c>
      <c r="F147" s="100">
        <f t="shared" si="19"/>
        <v>694.44444444444446</v>
      </c>
      <c r="G147" s="100">
        <f t="shared" si="27"/>
        <v>1330.4944444444445</v>
      </c>
      <c r="H147" s="100">
        <f t="shared" ca="1" si="20"/>
        <v>11.340277777777899</v>
      </c>
      <c r="I147" s="100">
        <f t="shared" si="21"/>
        <v>12.000000000000002</v>
      </c>
      <c r="J147" s="100">
        <f t="shared" ca="1" si="22"/>
        <v>1353.8347222222224</v>
      </c>
      <c r="K147" s="101">
        <f t="shared" si="28"/>
        <v>48611.111111111641</v>
      </c>
      <c r="O147" s="118">
        <f t="shared" si="35"/>
        <v>20.833333333333332</v>
      </c>
      <c r="P147" s="119">
        <f t="shared" ca="1" si="34"/>
        <v>31</v>
      </c>
      <c r="Q147" s="120">
        <v>365</v>
      </c>
      <c r="S147" s="123">
        <v>76</v>
      </c>
      <c r="T147" s="123">
        <v>1.1433E-2</v>
      </c>
      <c r="U147" s="123" t="s">
        <v>83</v>
      </c>
      <c r="AA147" s="96">
        <f t="shared" si="31"/>
        <v>109</v>
      </c>
      <c r="AB147" s="97">
        <f t="shared" si="29"/>
        <v>16286.743417544245</v>
      </c>
      <c r="AC147" s="97">
        <f t="shared" ca="1" si="32"/>
        <v>1362.9544444444448</v>
      </c>
      <c r="AE147" s="96">
        <f t="shared" si="33"/>
        <v>109</v>
      </c>
      <c r="AF147" s="97">
        <f>IFERROR(VLOOKUP(AE147,[1]Cálculos_PRICE!$A$32:$K$212,10,0),"")</f>
        <v>16286.743417544245</v>
      </c>
      <c r="AG147" s="97">
        <f ca="1">IFERROR(VLOOKUP(AE147,Cálculos_Aquisição_SAC_Fixa!A145:K418,10,0),"")</f>
        <v>1362.9544444444448</v>
      </c>
      <c r="AH147" s="97">
        <f>IFERROR(VLOOKUP(AE147,[1]Cálculos_PRICE!$A$32:$K$212,6,0),"")</f>
        <v>5512.9543184068989</v>
      </c>
      <c r="AI147" s="97">
        <f>IFERROR(VLOOKUP(AE147,Cálculos_Aquisição_SAC_Fixa!A145:K418,6,0),"")</f>
        <v>694.44444444444446</v>
      </c>
      <c r="AJ147" s="97">
        <f>IFERROR(VLOOKUP(AE147,[1]Cálculos_PRICE!$A$32:$K$240,11,0),"")</f>
        <v>700570.78406301432</v>
      </c>
      <c r="AK147" s="97">
        <f>IFERROR(VLOOKUP(AE147,Cálculos_Aquisição_SAC_Fixa!A145:K418,11,0),"")</f>
        <v>49305.555555556086</v>
      </c>
      <c r="AW147" s="132"/>
    </row>
    <row r="148" spans="1:49" ht="15.5" x14ac:dyDescent="0.35">
      <c r="A148" s="98">
        <f t="shared" si="30"/>
        <v>111</v>
      </c>
      <c r="B148" s="99">
        <f t="shared" ca="1" si="23"/>
        <v>49434</v>
      </c>
      <c r="C148" s="100">
        <f t="shared" si="24"/>
        <v>48611.111111111641</v>
      </c>
      <c r="D148" s="100">
        <f t="shared" si="25"/>
        <v>627.09</v>
      </c>
      <c r="E148" s="100">
        <f t="shared" si="26"/>
        <v>49238.201111111637</v>
      </c>
      <c r="F148" s="100">
        <f t="shared" si="19"/>
        <v>694.44444444444446</v>
      </c>
      <c r="G148" s="100">
        <f t="shared" si="27"/>
        <v>1321.5344444444445</v>
      </c>
      <c r="H148" s="100">
        <f t="shared" ca="1" si="20"/>
        <v>11.180555555555678</v>
      </c>
      <c r="I148" s="100">
        <f t="shared" si="21"/>
        <v>12.000000000000002</v>
      </c>
      <c r="J148" s="100">
        <f t="shared" ca="1" si="22"/>
        <v>1344.7150000000001</v>
      </c>
      <c r="K148" s="101">
        <f t="shared" si="28"/>
        <v>47916.666666667195</v>
      </c>
      <c r="O148" s="118">
        <f t="shared" si="35"/>
        <v>20.833333333333332</v>
      </c>
      <c r="P148" s="119">
        <f t="shared" ca="1" si="34"/>
        <v>30</v>
      </c>
      <c r="Q148" s="120">
        <v>365</v>
      </c>
      <c r="S148" s="123">
        <v>77</v>
      </c>
      <c r="T148" s="123">
        <v>1.1433E-2</v>
      </c>
      <c r="U148" s="123" t="s">
        <v>83</v>
      </c>
      <c r="AA148" s="96">
        <f t="shared" si="31"/>
        <v>110</v>
      </c>
      <c r="AB148" s="97">
        <f t="shared" si="29"/>
        <v>16285.517336503832</v>
      </c>
      <c r="AC148" s="97">
        <f t="shared" ca="1" si="32"/>
        <v>1353.8347222222224</v>
      </c>
      <c r="AE148" s="96">
        <f t="shared" si="33"/>
        <v>110</v>
      </c>
      <c r="AF148" s="97">
        <f>IFERROR(VLOOKUP(AE148,[1]Cálculos_PRICE!$A$32:$K$212,10,0),"")</f>
        <v>16285.517336503832</v>
      </c>
      <c r="AG148" s="97">
        <f ca="1">IFERROR(VLOOKUP(AE148,Cálculos_Aquisição_SAC_Fixa!A146:K419,10,0),"")</f>
        <v>1353.8347222222224</v>
      </c>
      <c r="AH148" s="97">
        <f>IFERROR(VLOOKUP(AE148,[1]Cálculos_PRICE!$A$32:$K$212,6,0),"")</f>
        <v>5595.6486331830019</v>
      </c>
      <c r="AI148" s="97">
        <f>IFERROR(VLOOKUP(AE148,Cálculos_Aquisição_SAC_Fixa!A146:K419,6,0),"")</f>
        <v>694.44444444444446</v>
      </c>
      <c r="AJ148" s="97">
        <f>IFERROR(VLOOKUP(AE148,[1]Cálculos_PRICE!$A$32:$K$240,11,0),"")</f>
        <v>694975.13542983134</v>
      </c>
      <c r="AK148" s="97">
        <f>IFERROR(VLOOKUP(AE148,Cálculos_Aquisição_SAC_Fixa!A146:K419,11,0),"")</f>
        <v>48611.111111111641</v>
      </c>
      <c r="AW148" s="132"/>
    </row>
    <row r="149" spans="1:49" ht="15.5" x14ac:dyDescent="0.35">
      <c r="A149" s="98">
        <f t="shared" si="30"/>
        <v>112</v>
      </c>
      <c r="B149" s="99">
        <f t="shared" ca="1" si="23"/>
        <v>49465</v>
      </c>
      <c r="C149" s="100">
        <f t="shared" si="24"/>
        <v>47916.666666667195</v>
      </c>
      <c r="D149" s="100">
        <f t="shared" si="25"/>
        <v>618.13</v>
      </c>
      <c r="E149" s="100">
        <f t="shared" si="26"/>
        <v>48534.796666667193</v>
      </c>
      <c r="F149" s="100">
        <f t="shared" si="19"/>
        <v>694.44444444444446</v>
      </c>
      <c r="G149" s="100">
        <f t="shared" si="27"/>
        <v>1312.5744444444445</v>
      </c>
      <c r="H149" s="100">
        <f t="shared" ca="1" si="20"/>
        <v>11.020833333333455</v>
      </c>
      <c r="I149" s="100">
        <f t="shared" si="21"/>
        <v>12.000000000000002</v>
      </c>
      <c r="J149" s="100">
        <f t="shared" ca="1" si="22"/>
        <v>1335.5952777777779</v>
      </c>
      <c r="K149" s="101">
        <f t="shared" si="28"/>
        <v>47222.22222222275</v>
      </c>
      <c r="O149" s="118">
        <f t="shared" si="35"/>
        <v>20.833333333333332</v>
      </c>
      <c r="P149" s="119">
        <f t="shared" ca="1" si="34"/>
        <v>31</v>
      </c>
      <c r="Q149" s="120">
        <v>365</v>
      </c>
      <c r="S149" s="123">
        <v>78</v>
      </c>
      <c r="T149" s="123">
        <v>1.1433E-2</v>
      </c>
      <c r="U149" s="123" t="s">
        <v>83</v>
      </c>
      <c r="AA149" s="96">
        <f t="shared" si="31"/>
        <v>111</v>
      </c>
      <c r="AB149" s="97">
        <f t="shared" si="29"/>
        <v>16284.272864247811</v>
      </c>
      <c r="AC149" s="97">
        <f t="shared" ca="1" si="32"/>
        <v>1344.7150000000001</v>
      </c>
      <c r="AE149" s="96">
        <f t="shared" si="33"/>
        <v>111</v>
      </c>
      <c r="AF149" s="97">
        <f>IFERROR(VLOOKUP(AE149,[1]Cálculos_PRICE!$A$32:$K$212,10,0),"")</f>
        <v>16284.272864247811</v>
      </c>
      <c r="AG149" s="97">
        <f ca="1">IFERROR(VLOOKUP(AE149,Cálculos_Aquisição_SAC_Fixa!A147:K420,10,0),"")</f>
        <v>1344.7150000000001</v>
      </c>
      <c r="AH149" s="97">
        <f>IFERROR(VLOOKUP(AE149,[1]Cálculos_PRICE!$A$32:$K$212,6,0),"")</f>
        <v>5679.5833626807471</v>
      </c>
      <c r="AI149" s="97">
        <f>IFERROR(VLOOKUP(AE149,Cálculos_Aquisição_SAC_Fixa!A147:K420,6,0),"")</f>
        <v>694.44444444444446</v>
      </c>
      <c r="AJ149" s="97">
        <f>IFERROR(VLOOKUP(AE149,[1]Cálculos_PRICE!$A$32:$K$240,11,0),"")</f>
        <v>689295.55206715059</v>
      </c>
      <c r="AK149" s="97">
        <f>IFERROR(VLOOKUP(AE149,Cálculos_Aquisição_SAC_Fixa!A147:K420,11,0),"")</f>
        <v>47916.666666667195</v>
      </c>
      <c r="AW149" s="132"/>
    </row>
    <row r="150" spans="1:49" ht="15.5" x14ac:dyDescent="0.35">
      <c r="A150" s="98">
        <f t="shared" si="30"/>
        <v>113</v>
      </c>
      <c r="B150" s="99">
        <f t="shared" ca="1" si="23"/>
        <v>49495</v>
      </c>
      <c r="C150" s="100">
        <f t="shared" si="24"/>
        <v>47222.22222222275</v>
      </c>
      <c r="D150" s="100">
        <f t="shared" si="25"/>
        <v>609.16999999999996</v>
      </c>
      <c r="E150" s="100">
        <f t="shared" si="26"/>
        <v>47831.392222222748</v>
      </c>
      <c r="F150" s="100">
        <f t="shared" si="19"/>
        <v>694.44444444444446</v>
      </c>
      <c r="G150" s="100">
        <f t="shared" si="27"/>
        <v>1303.6144444444444</v>
      </c>
      <c r="H150" s="100">
        <f t="shared" ca="1" si="20"/>
        <v>10.861111111111233</v>
      </c>
      <c r="I150" s="100">
        <f t="shared" si="21"/>
        <v>12.000000000000002</v>
      </c>
      <c r="J150" s="100">
        <f t="shared" ca="1" si="22"/>
        <v>1326.4755555555557</v>
      </c>
      <c r="K150" s="101">
        <f t="shared" si="28"/>
        <v>46527.777777778305</v>
      </c>
      <c r="O150" s="118">
        <f t="shared" si="35"/>
        <v>20.833333333333332</v>
      </c>
      <c r="P150" s="119">
        <f t="shared" ca="1" si="34"/>
        <v>31</v>
      </c>
      <c r="Q150" s="120">
        <v>365</v>
      </c>
      <c r="S150" s="123">
        <v>79</v>
      </c>
      <c r="T150" s="123">
        <v>1.1433E-2</v>
      </c>
      <c r="U150" s="123" t="s">
        <v>83</v>
      </c>
      <c r="AA150" s="96">
        <f t="shared" si="31"/>
        <v>112</v>
      </c>
      <c r="AB150" s="97">
        <f t="shared" si="29"/>
        <v>16283.009724907952</v>
      </c>
      <c r="AC150" s="97">
        <f t="shared" ca="1" si="32"/>
        <v>1335.5952777777779</v>
      </c>
      <c r="AE150" s="96">
        <f t="shared" si="33"/>
        <v>112</v>
      </c>
      <c r="AF150" s="97">
        <f>IFERROR(VLOOKUP(AE150,[1]Cálculos_PRICE!$A$32:$K$212,10,0),"")</f>
        <v>16283.009724907952</v>
      </c>
      <c r="AG150" s="97">
        <f ca="1">IFERROR(VLOOKUP(AE150,Cálculos_Aquisição_SAC_Fixa!A148:K421,10,0),"")</f>
        <v>1335.5952777777779</v>
      </c>
      <c r="AH150" s="97">
        <f>IFERROR(VLOOKUP(AE150,[1]Cálculos_PRICE!$A$32:$K$212,6,0),"")</f>
        <v>5764.7771131209574</v>
      </c>
      <c r="AI150" s="97">
        <f>IFERROR(VLOOKUP(AE150,Cálculos_Aquisição_SAC_Fixa!A148:K421,6,0),"")</f>
        <v>694.44444444444446</v>
      </c>
      <c r="AJ150" s="97">
        <f>IFERROR(VLOOKUP(AE150,[1]Cálculos_PRICE!$A$32:$K$240,11,0),"")</f>
        <v>683530.77495402959</v>
      </c>
      <c r="AK150" s="97">
        <f>IFERROR(VLOOKUP(AE150,Cálculos_Aquisição_SAC_Fixa!A148:K421,11,0),"")</f>
        <v>47222.22222222275</v>
      </c>
      <c r="AW150" s="132"/>
    </row>
    <row r="151" spans="1:49" ht="15.5" x14ac:dyDescent="0.35">
      <c r="A151" s="98">
        <f t="shared" si="30"/>
        <v>114</v>
      </c>
      <c r="B151" s="99">
        <f t="shared" ca="1" si="23"/>
        <v>49526</v>
      </c>
      <c r="C151" s="100">
        <f t="shared" si="24"/>
        <v>46527.777777778305</v>
      </c>
      <c r="D151" s="100">
        <f t="shared" si="25"/>
        <v>600.21</v>
      </c>
      <c r="E151" s="100">
        <f t="shared" si="26"/>
        <v>47127.987777778304</v>
      </c>
      <c r="F151" s="100">
        <f t="shared" si="19"/>
        <v>694.44444444444446</v>
      </c>
      <c r="G151" s="100">
        <f t="shared" si="27"/>
        <v>1294.6544444444444</v>
      </c>
      <c r="H151" s="100">
        <f t="shared" ca="1" si="20"/>
        <v>10.70138888888901</v>
      </c>
      <c r="I151" s="100">
        <f t="shared" si="21"/>
        <v>12.000000000000002</v>
      </c>
      <c r="J151" s="100">
        <f t="shared" ca="1" si="22"/>
        <v>1317.3558333333333</v>
      </c>
      <c r="K151" s="101">
        <f t="shared" si="28"/>
        <v>45833.33333333386</v>
      </c>
      <c r="O151" s="118">
        <f t="shared" si="35"/>
        <v>20.833333333333332</v>
      </c>
      <c r="P151" s="119">
        <f t="shared" ca="1" si="34"/>
        <v>28</v>
      </c>
      <c r="Q151" s="120">
        <v>365</v>
      </c>
      <c r="S151" s="123">
        <v>80</v>
      </c>
      <c r="T151" s="123">
        <v>1.1433E-2</v>
      </c>
      <c r="U151" s="123" t="s">
        <v>83</v>
      </c>
      <c r="AA151" s="96">
        <f t="shared" si="31"/>
        <v>113</v>
      </c>
      <c r="AB151" s="97">
        <f t="shared" si="29"/>
        <v>16281.727638477993</v>
      </c>
      <c r="AC151" s="97">
        <f t="shared" ca="1" si="32"/>
        <v>1326.4755555555557</v>
      </c>
      <c r="AE151" s="96">
        <f t="shared" si="33"/>
        <v>113</v>
      </c>
      <c r="AF151" s="97">
        <f>IFERROR(VLOOKUP(AE151,[1]Cálculos_PRICE!$A$32:$K$212,10,0),"")</f>
        <v>16281.727638477993</v>
      </c>
      <c r="AG151" s="97">
        <f ca="1">IFERROR(VLOOKUP(AE151,Cálculos_Aquisição_SAC_Fixa!A149:K422,10,0),"")</f>
        <v>1326.4755555555557</v>
      </c>
      <c r="AH151" s="97">
        <f>IFERROR(VLOOKUP(AE151,[1]Cálculos_PRICE!$A$32:$K$212,6,0),"")</f>
        <v>5851.2487698177738</v>
      </c>
      <c r="AI151" s="97">
        <f>IFERROR(VLOOKUP(AE151,Cálculos_Aquisição_SAC_Fixa!A149:K422,6,0),"")</f>
        <v>694.44444444444446</v>
      </c>
      <c r="AJ151" s="97">
        <f>IFERROR(VLOOKUP(AE151,[1]Cálculos_PRICE!$A$32:$K$240,11,0),"")</f>
        <v>677679.52618421183</v>
      </c>
      <c r="AK151" s="97">
        <f>IFERROR(VLOOKUP(AE151,Cálculos_Aquisição_SAC_Fixa!A149:K422,11,0),"")</f>
        <v>46527.777777778305</v>
      </c>
      <c r="AW151" s="132"/>
    </row>
    <row r="152" spans="1:49" ht="15.5" x14ac:dyDescent="0.35">
      <c r="A152" s="98">
        <f t="shared" si="30"/>
        <v>115</v>
      </c>
      <c r="B152" s="99">
        <f t="shared" ca="1" si="23"/>
        <v>49557</v>
      </c>
      <c r="C152" s="100">
        <f t="shared" si="24"/>
        <v>45833.33333333386</v>
      </c>
      <c r="D152" s="100">
        <f t="shared" si="25"/>
        <v>591.26</v>
      </c>
      <c r="E152" s="100">
        <f t="shared" si="26"/>
        <v>46424.593333333862</v>
      </c>
      <c r="F152" s="100">
        <f t="shared" si="19"/>
        <v>694.44444444444446</v>
      </c>
      <c r="G152" s="100">
        <f t="shared" si="27"/>
        <v>1285.7044444444446</v>
      </c>
      <c r="H152" s="100">
        <f t="shared" ca="1" si="20"/>
        <v>10.541666666666789</v>
      </c>
      <c r="I152" s="100">
        <f t="shared" si="21"/>
        <v>12.000000000000002</v>
      </c>
      <c r="J152" s="100">
        <f t="shared" ca="1" si="22"/>
        <v>1308.2461111111113</v>
      </c>
      <c r="K152" s="101">
        <f t="shared" si="28"/>
        <v>45138.888888889414</v>
      </c>
      <c r="O152" s="118">
        <f t="shared" si="35"/>
        <v>20.833333333333332</v>
      </c>
      <c r="P152" s="119">
        <f t="shared" ca="1" si="34"/>
        <v>31</v>
      </c>
      <c r="Q152" s="120">
        <v>365</v>
      </c>
      <c r="AA152" s="96">
        <f t="shared" si="31"/>
        <v>114</v>
      </c>
      <c r="AB152" s="97">
        <f t="shared" si="29"/>
        <v>16280.426320751585</v>
      </c>
      <c r="AC152" s="97">
        <f t="shared" ca="1" si="32"/>
        <v>1317.3558333333333</v>
      </c>
      <c r="AE152" s="96">
        <f t="shared" si="33"/>
        <v>114</v>
      </c>
      <c r="AF152" s="97">
        <f>IFERROR(VLOOKUP(AE152,[1]Cálculos_PRICE!$A$32:$K$212,10,0),"")</f>
        <v>16280.426320751585</v>
      </c>
      <c r="AG152" s="97">
        <f ca="1">IFERROR(VLOOKUP(AE152,Cálculos_Aquisição_SAC_Fixa!A150:K423,10,0),"")</f>
        <v>1317.3558333333333</v>
      </c>
      <c r="AH152" s="97">
        <f>IFERROR(VLOOKUP(AE152,[1]Cálculos_PRICE!$A$32:$K$212,6,0),"")</f>
        <v>5939.0175013650387</v>
      </c>
      <c r="AI152" s="97">
        <f>IFERROR(VLOOKUP(AE152,Cálculos_Aquisição_SAC_Fixa!A150:K423,6,0),"")</f>
        <v>694.44444444444446</v>
      </c>
      <c r="AJ152" s="97">
        <f>IFERROR(VLOOKUP(AE152,[1]Cálculos_PRICE!$A$32:$K$240,11,0),"")</f>
        <v>671740.50868284679</v>
      </c>
      <c r="AK152" s="97">
        <f>IFERROR(VLOOKUP(AE152,Cálculos_Aquisição_SAC_Fixa!A150:K423,11,0),"")</f>
        <v>45833.33333333386</v>
      </c>
      <c r="AW152" s="132"/>
    </row>
    <row r="153" spans="1:49" ht="15.5" x14ac:dyDescent="0.35">
      <c r="A153" s="98">
        <f t="shared" si="30"/>
        <v>116</v>
      </c>
      <c r="B153" s="99">
        <f t="shared" ca="1" si="23"/>
        <v>49587</v>
      </c>
      <c r="C153" s="100">
        <f t="shared" si="24"/>
        <v>45138.888888889414</v>
      </c>
      <c r="D153" s="100">
        <f t="shared" si="25"/>
        <v>582.29999999999995</v>
      </c>
      <c r="E153" s="100">
        <f t="shared" si="26"/>
        <v>45721.188888889417</v>
      </c>
      <c r="F153" s="100">
        <f t="shared" si="19"/>
        <v>694.44444444444446</v>
      </c>
      <c r="G153" s="100">
        <f t="shared" si="27"/>
        <v>1276.7444444444445</v>
      </c>
      <c r="H153" s="100">
        <f t="shared" ca="1" si="20"/>
        <v>10.381944444444565</v>
      </c>
      <c r="I153" s="100">
        <f t="shared" si="21"/>
        <v>12.000000000000002</v>
      </c>
      <c r="J153" s="100">
        <f t="shared" ca="1" si="22"/>
        <v>1299.1263888888891</v>
      </c>
      <c r="K153" s="101">
        <f t="shared" si="28"/>
        <v>44444.444444444969</v>
      </c>
      <c r="O153" s="118">
        <f t="shared" si="35"/>
        <v>20.833333333333332</v>
      </c>
      <c r="P153" s="119">
        <f t="shared" ca="1" si="34"/>
        <v>30</v>
      </c>
      <c r="Q153" s="120">
        <v>365</v>
      </c>
      <c r="AA153" s="96">
        <f t="shared" si="31"/>
        <v>115</v>
      </c>
      <c r="AB153" s="97">
        <f t="shared" si="29"/>
        <v>16279.105483259282</v>
      </c>
      <c r="AC153" s="97">
        <f t="shared" ca="1" si="32"/>
        <v>1308.2461111111113</v>
      </c>
      <c r="AE153" s="96">
        <f t="shared" si="33"/>
        <v>115</v>
      </c>
      <c r="AF153" s="97">
        <f>IFERROR(VLOOKUP(AE153,[1]Cálculos_PRICE!$A$32:$K$212,10,0),"")</f>
        <v>16279.105483259282</v>
      </c>
      <c r="AG153" s="97">
        <f ca="1">IFERROR(VLOOKUP(AE153,Cálculos_Aquisição_SAC_Fixa!A151:K424,10,0),"")</f>
        <v>1308.2461111111113</v>
      </c>
      <c r="AH153" s="97">
        <f>IFERROR(VLOOKUP(AE153,[1]Cálculos_PRICE!$A$32:$K$212,6,0),"")</f>
        <v>6028.1027638855157</v>
      </c>
      <c r="AI153" s="97">
        <f>IFERROR(VLOOKUP(AE153,Cálculos_Aquisição_SAC_Fixa!A151:K424,6,0),"")</f>
        <v>694.44444444444446</v>
      </c>
      <c r="AJ153" s="97">
        <f>IFERROR(VLOOKUP(AE153,[1]Cálculos_PRICE!$A$32:$K$240,11,0),"")</f>
        <v>665712.40591896127</v>
      </c>
      <c r="AK153" s="97">
        <f>IFERROR(VLOOKUP(AE153,Cálculos_Aquisição_SAC_Fixa!A151:K424,11,0),"")</f>
        <v>45138.888888889414</v>
      </c>
      <c r="AW153" s="132"/>
    </row>
    <row r="154" spans="1:49" ht="15.5" x14ac:dyDescent="0.35">
      <c r="A154" s="98">
        <f t="shared" si="30"/>
        <v>117</v>
      </c>
      <c r="B154" s="99">
        <f t="shared" ca="1" si="23"/>
        <v>49618</v>
      </c>
      <c r="C154" s="100">
        <f t="shared" si="24"/>
        <v>44444.444444444969</v>
      </c>
      <c r="D154" s="100">
        <f t="shared" si="25"/>
        <v>573.34</v>
      </c>
      <c r="E154" s="100">
        <f t="shared" si="26"/>
        <v>45017.784444444966</v>
      </c>
      <c r="F154" s="100">
        <f t="shared" si="19"/>
        <v>694.44444444444446</v>
      </c>
      <c r="G154" s="100">
        <f t="shared" si="27"/>
        <v>1267.7844444444445</v>
      </c>
      <c r="H154" s="100">
        <f t="shared" ca="1" si="20"/>
        <v>10.222222222222344</v>
      </c>
      <c r="I154" s="100">
        <f t="shared" si="21"/>
        <v>12.000000000000002</v>
      </c>
      <c r="J154" s="100">
        <f t="shared" ca="1" si="22"/>
        <v>1290.0066666666669</v>
      </c>
      <c r="K154" s="101">
        <f t="shared" si="28"/>
        <v>43750.000000000524</v>
      </c>
      <c r="O154" s="118">
        <f t="shared" si="35"/>
        <v>20.833333333333332</v>
      </c>
      <c r="P154" s="119">
        <f t="shared" ca="1" si="34"/>
        <v>31</v>
      </c>
      <c r="Q154" s="120">
        <v>365</v>
      </c>
      <c r="AA154" s="96">
        <f t="shared" si="31"/>
        <v>116</v>
      </c>
      <c r="AB154" s="97">
        <f t="shared" si="29"/>
        <v>16277.764833204594</v>
      </c>
      <c r="AC154" s="97">
        <f t="shared" ca="1" si="32"/>
        <v>1299.1263888888891</v>
      </c>
      <c r="AE154" s="96">
        <f t="shared" si="33"/>
        <v>116</v>
      </c>
      <c r="AF154" s="97">
        <f>IFERROR(VLOOKUP(AE154,[1]Cálculos_PRICE!$A$32:$K$212,10,0),"")</f>
        <v>16277.764833204594</v>
      </c>
      <c r="AG154" s="97">
        <f ca="1">IFERROR(VLOOKUP(AE154,Cálculos_Aquisição_SAC_Fixa!A152:K425,10,0),"")</f>
        <v>1299.1263888888891</v>
      </c>
      <c r="AH154" s="97">
        <f>IFERROR(VLOOKUP(AE154,[1]Cálculos_PRICE!$A$32:$K$212,6,0),"")</f>
        <v>6118.5243053437971</v>
      </c>
      <c r="AI154" s="97">
        <f>IFERROR(VLOOKUP(AE154,Cálculos_Aquisição_SAC_Fixa!A152:K425,6,0),"")</f>
        <v>694.44444444444446</v>
      </c>
      <c r="AJ154" s="97">
        <f>IFERROR(VLOOKUP(AE154,[1]Cálculos_PRICE!$A$32:$K$240,11,0),"")</f>
        <v>659593.88161361753</v>
      </c>
      <c r="AK154" s="97">
        <f>IFERROR(VLOOKUP(AE154,Cálculos_Aquisição_SAC_Fixa!A152:K425,11,0),"")</f>
        <v>44444.444444444969</v>
      </c>
      <c r="AW154" s="132"/>
    </row>
    <row r="155" spans="1:49" ht="15.5" x14ac:dyDescent="0.35">
      <c r="A155" s="98">
        <f t="shared" si="30"/>
        <v>118</v>
      </c>
      <c r="B155" s="99">
        <f t="shared" ca="1" si="23"/>
        <v>49648</v>
      </c>
      <c r="C155" s="100">
        <f t="shared" si="24"/>
        <v>43750.000000000524</v>
      </c>
      <c r="D155" s="100">
        <f t="shared" si="25"/>
        <v>564.38</v>
      </c>
      <c r="E155" s="100">
        <f t="shared" si="26"/>
        <v>44314.380000000521</v>
      </c>
      <c r="F155" s="100">
        <f t="shared" si="19"/>
        <v>694.44444444444446</v>
      </c>
      <c r="G155" s="100">
        <f t="shared" si="27"/>
        <v>1258.8244444444445</v>
      </c>
      <c r="H155" s="100">
        <f t="shared" ca="1" si="20"/>
        <v>10.062500000000121</v>
      </c>
      <c r="I155" s="100">
        <f t="shared" si="21"/>
        <v>12.000000000000002</v>
      </c>
      <c r="J155" s="100">
        <f t="shared" ca="1" si="22"/>
        <v>1280.8869444444447</v>
      </c>
      <c r="K155" s="101">
        <f t="shared" si="28"/>
        <v>43055.555555556079</v>
      </c>
      <c r="O155" s="118">
        <f t="shared" si="35"/>
        <v>20.833333333333332</v>
      </c>
      <c r="P155" s="119">
        <f t="shared" ca="1" si="34"/>
        <v>30</v>
      </c>
      <c r="Q155" s="120">
        <v>365</v>
      </c>
      <c r="AA155" s="96">
        <f t="shared" si="31"/>
        <v>117</v>
      </c>
      <c r="AB155" s="97">
        <f t="shared" si="29"/>
        <v>16276.404073399086</v>
      </c>
      <c r="AC155" s="97">
        <f t="shared" ca="1" si="32"/>
        <v>1290.0066666666669</v>
      </c>
      <c r="AE155" s="96">
        <f t="shared" si="33"/>
        <v>117</v>
      </c>
      <c r="AF155" s="97">
        <f>IFERROR(VLOOKUP(AE155,[1]Cálculos_PRICE!$A$32:$K$212,10,0),"")</f>
        <v>16276.404073399086</v>
      </c>
      <c r="AG155" s="97">
        <f ca="1">IFERROR(VLOOKUP(AE155,Cálculos_Aquisição_SAC_Fixa!A153:K426,10,0),"")</f>
        <v>1290.0066666666669</v>
      </c>
      <c r="AH155" s="97">
        <f>IFERROR(VLOOKUP(AE155,[1]Cálculos_PRICE!$A$32:$K$212,6,0),"")</f>
        <v>6210.3021699239544</v>
      </c>
      <c r="AI155" s="97">
        <f>IFERROR(VLOOKUP(AE155,Cálculos_Aquisição_SAC_Fixa!A153:K426,6,0),"")</f>
        <v>694.44444444444446</v>
      </c>
      <c r="AJ155" s="97">
        <f>IFERROR(VLOOKUP(AE155,[1]Cálculos_PRICE!$A$32:$K$240,11,0),"")</f>
        <v>653383.57944369363</v>
      </c>
      <c r="AK155" s="97">
        <f>IFERROR(VLOOKUP(AE155,Cálculos_Aquisição_SAC_Fixa!A153:K426,11,0),"")</f>
        <v>43750.000000000524</v>
      </c>
      <c r="AW155" s="132"/>
    </row>
    <row r="156" spans="1:49" ht="15.5" x14ac:dyDescent="0.35">
      <c r="A156" s="98">
        <f t="shared" si="30"/>
        <v>119</v>
      </c>
      <c r="B156" s="99">
        <f t="shared" ca="1" si="23"/>
        <v>49679</v>
      </c>
      <c r="C156" s="100">
        <f t="shared" si="24"/>
        <v>43055.555555556079</v>
      </c>
      <c r="D156" s="100">
        <f t="shared" si="25"/>
        <v>555.41999999999996</v>
      </c>
      <c r="E156" s="100">
        <f t="shared" si="26"/>
        <v>43610.975555556077</v>
      </c>
      <c r="F156" s="100">
        <f t="shared" si="19"/>
        <v>694.44444444444446</v>
      </c>
      <c r="G156" s="100">
        <f t="shared" si="27"/>
        <v>1249.8644444444444</v>
      </c>
      <c r="H156" s="100">
        <f t="shared" ca="1" si="20"/>
        <v>9.9027777777778976</v>
      </c>
      <c r="I156" s="100">
        <f t="shared" si="21"/>
        <v>12.000000000000002</v>
      </c>
      <c r="J156" s="100">
        <f t="shared" ca="1" si="22"/>
        <v>1271.7672222222222</v>
      </c>
      <c r="K156" s="101">
        <f t="shared" si="28"/>
        <v>42361.111111111633</v>
      </c>
      <c r="O156" s="118">
        <f t="shared" si="35"/>
        <v>20.833333333333332</v>
      </c>
      <c r="P156" s="119">
        <f t="shared" ca="1" si="34"/>
        <v>31</v>
      </c>
      <c r="Q156" s="120">
        <v>365</v>
      </c>
      <c r="AA156" s="96">
        <f t="shared" si="31"/>
        <v>118</v>
      </c>
      <c r="AB156" s="97">
        <f t="shared" si="29"/>
        <v>16275.022902196493</v>
      </c>
      <c r="AC156" s="97">
        <f t="shared" ca="1" si="32"/>
        <v>1280.8869444444447</v>
      </c>
      <c r="AE156" s="96">
        <f t="shared" si="33"/>
        <v>118</v>
      </c>
      <c r="AF156" s="97">
        <f>IFERROR(VLOOKUP(AE156,[1]Cálculos_PRICE!$A$32:$K$212,10,0),"")</f>
        <v>16275.022902196493</v>
      </c>
      <c r="AG156" s="97">
        <f ca="1">IFERROR(VLOOKUP(AE156,Cálculos_Aquisição_SAC_Fixa!A154:K427,10,0),"")</f>
        <v>1280.8869444444447</v>
      </c>
      <c r="AH156" s="97">
        <f>IFERROR(VLOOKUP(AE156,[1]Cálculos_PRICE!$A$32:$K$212,6,0),"")</f>
        <v>6303.456702472813</v>
      </c>
      <c r="AI156" s="97">
        <f>IFERROR(VLOOKUP(AE156,Cálculos_Aquisição_SAC_Fixa!A154:K427,6,0),"")</f>
        <v>694.44444444444446</v>
      </c>
      <c r="AJ156" s="97">
        <f>IFERROR(VLOOKUP(AE156,[1]Cálculos_PRICE!$A$32:$K$240,11,0),"")</f>
        <v>647080.12274122087</v>
      </c>
      <c r="AK156" s="97">
        <f>IFERROR(VLOOKUP(AE156,Cálculos_Aquisição_SAC_Fixa!A154:K427,11,0),"")</f>
        <v>43055.555555556079</v>
      </c>
      <c r="AW156" s="132"/>
    </row>
    <row r="157" spans="1:49" ht="15.5" x14ac:dyDescent="0.35">
      <c r="A157" s="98">
        <f t="shared" si="30"/>
        <v>120</v>
      </c>
      <c r="B157" s="99">
        <f t="shared" ca="1" si="23"/>
        <v>49710</v>
      </c>
      <c r="C157" s="100">
        <f t="shared" si="24"/>
        <v>42361.111111111633</v>
      </c>
      <c r="D157" s="100">
        <f t="shared" si="25"/>
        <v>546.46</v>
      </c>
      <c r="E157" s="100">
        <f t="shared" si="26"/>
        <v>42907.571111111632</v>
      </c>
      <c r="F157" s="100">
        <f t="shared" si="19"/>
        <v>694.44444444444446</v>
      </c>
      <c r="G157" s="100">
        <f t="shared" si="27"/>
        <v>1240.9044444444444</v>
      </c>
      <c r="H157" s="100">
        <f t="shared" ca="1" si="20"/>
        <v>9.7430555555556762</v>
      </c>
      <c r="I157" s="100">
        <f t="shared" si="21"/>
        <v>12.000000000000002</v>
      </c>
      <c r="J157" s="100">
        <f t="shared" ca="1" si="22"/>
        <v>1262.6475</v>
      </c>
      <c r="K157" s="101">
        <f t="shared" si="28"/>
        <v>41666.666666667188</v>
      </c>
      <c r="O157" s="118">
        <f t="shared" si="35"/>
        <v>20.833333333333332</v>
      </c>
      <c r="P157" s="119">
        <f t="shared" ca="1" si="34"/>
        <v>31</v>
      </c>
      <c r="Q157" s="120">
        <v>365</v>
      </c>
      <c r="AA157" s="96">
        <f t="shared" si="31"/>
        <v>119</v>
      </c>
      <c r="AB157" s="97">
        <f t="shared" si="29"/>
        <v>16273.621013425864</v>
      </c>
      <c r="AC157" s="97">
        <f t="shared" ca="1" si="32"/>
        <v>1271.7672222222222</v>
      </c>
      <c r="AE157" s="96">
        <f t="shared" si="33"/>
        <v>119</v>
      </c>
      <c r="AF157" s="97">
        <f>IFERROR(VLOOKUP(AE157,[1]Cálculos_PRICE!$A$32:$K$212,10,0),"")</f>
        <v>16273.621013425864</v>
      </c>
      <c r="AG157" s="97">
        <f ca="1">IFERROR(VLOOKUP(AE157,Cálculos_Aquisição_SAC_Fixa!A155:K428,10,0),"")</f>
        <v>1271.7672222222222</v>
      </c>
      <c r="AH157" s="97">
        <f>IFERROR(VLOOKUP(AE157,[1]Cálculos_PRICE!$A$32:$K$212,6,0),"")</f>
        <v>6398.0085530099041</v>
      </c>
      <c r="AI157" s="97">
        <f>IFERROR(VLOOKUP(AE157,Cálculos_Aquisição_SAC_Fixa!A155:K428,6,0),"")</f>
        <v>694.44444444444446</v>
      </c>
      <c r="AJ157" s="97">
        <f>IFERROR(VLOOKUP(AE157,[1]Cálculos_PRICE!$A$32:$K$240,11,0),"")</f>
        <v>640682.11418821092</v>
      </c>
      <c r="AK157" s="97">
        <f>IFERROR(VLOOKUP(AE157,Cálculos_Aquisição_SAC_Fixa!A155:K428,11,0),"")</f>
        <v>42361.111111111633</v>
      </c>
      <c r="AW157" s="132"/>
    </row>
    <row r="158" spans="1:49" ht="15.5" x14ac:dyDescent="0.35">
      <c r="A158" s="98">
        <f t="shared" si="30"/>
        <v>121</v>
      </c>
      <c r="B158" s="99">
        <f t="shared" ca="1" si="23"/>
        <v>49739</v>
      </c>
      <c r="C158" s="100">
        <f t="shared" si="24"/>
        <v>41666.666666667188</v>
      </c>
      <c r="D158" s="100">
        <f t="shared" si="25"/>
        <v>537.51</v>
      </c>
      <c r="E158" s="100">
        <f t="shared" si="26"/>
        <v>42204.17666666719</v>
      </c>
      <c r="F158" s="100">
        <f t="shared" si="19"/>
        <v>694.44444444444446</v>
      </c>
      <c r="G158" s="100">
        <f t="shared" si="27"/>
        <v>1231.9544444444446</v>
      </c>
      <c r="H158" s="100">
        <f t="shared" ca="1" si="20"/>
        <v>9.5833333333334529</v>
      </c>
      <c r="I158" s="100">
        <f t="shared" si="21"/>
        <v>12.000000000000002</v>
      </c>
      <c r="J158" s="100">
        <f t="shared" ca="1" si="22"/>
        <v>1253.537777777778</v>
      </c>
      <c r="K158" s="101">
        <f t="shared" si="28"/>
        <v>40972.222222222743</v>
      </c>
      <c r="O158" s="118">
        <f t="shared" si="35"/>
        <v>20.833333333333332</v>
      </c>
      <c r="P158" s="119">
        <f t="shared" ca="1" si="34"/>
        <v>30</v>
      </c>
      <c r="Q158" s="120">
        <v>365</v>
      </c>
      <c r="AA158" s="96">
        <f t="shared" si="31"/>
        <v>120</v>
      </c>
      <c r="AB158" s="97">
        <f t="shared" si="29"/>
        <v>16272.198096323675</v>
      </c>
      <c r="AC158" s="97">
        <f t="shared" ca="1" si="32"/>
        <v>1262.6475</v>
      </c>
      <c r="AE158" s="96">
        <f t="shared" si="33"/>
        <v>120</v>
      </c>
      <c r="AF158" s="97">
        <f>IFERROR(VLOOKUP(AE158,[1]Cálculos_PRICE!$A$32:$K$212,10,0),"")</f>
        <v>16272.198096323675</v>
      </c>
      <c r="AG158" s="97">
        <f ca="1">IFERROR(VLOOKUP(AE158,Cálculos_Aquisição_SAC_Fixa!A156:K429,10,0),"")</f>
        <v>1262.6475</v>
      </c>
      <c r="AH158" s="97">
        <f>IFERROR(VLOOKUP(AE158,[1]Cálculos_PRICE!$A$32:$K$212,6,0),"")</f>
        <v>6493.9786813050523</v>
      </c>
      <c r="AI158" s="97">
        <f>IFERROR(VLOOKUP(AE158,Cálculos_Aquisição_SAC_Fixa!A156:K429,6,0),"")</f>
        <v>694.44444444444446</v>
      </c>
      <c r="AJ158" s="97">
        <f>IFERROR(VLOOKUP(AE158,[1]Cálculos_PRICE!$A$32:$K$240,11,0),"")</f>
        <v>634188.13550690585</v>
      </c>
      <c r="AK158" s="97">
        <f>IFERROR(VLOOKUP(AE158,Cálculos_Aquisição_SAC_Fixa!A156:K429,11,0),"")</f>
        <v>41666.666666667188</v>
      </c>
      <c r="AW158" s="132"/>
    </row>
    <row r="159" spans="1:49" ht="15.5" x14ac:dyDescent="0.35">
      <c r="A159" s="98">
        <f t="shared" si="30"/>
        <v>122</v>
      </c>
      <c r="B159" s="99">
        <f t="shared" ca="1" si="23"/>
        <v>49770</v>
      </c>
      <c r="C159" s="100">
        <f t="shared" si="24"/>
        <v>40972.222222222743</v>
      </c>
      <c r="D159" s="100">
        <f t="shared" si="25"/>
        <v>528.54999999999995</v>
      </c>
      <c r="E159" s="100">
        <f t="shared" si="26"/>
        <v>41500.772222222746</v>
      </c>
      <c r="F159" s="100">
        <f t="shared" si="19"/>
        <v>694.44444444444446</v>
      </c>
      <c r="G159" s="100">
        <f t="shared" si="27"/>
        <v>1222.9944444444445</v>
      </c>
      <c r="H159" s="100">
        <f t="shared" ca="1" si="20"/>
        <v>9.4236111111112315</v>
      </c>
      <c r="I159" s="100">
        <f t="shared" si="21"/>
        <v>12.000000000000002</v>
      </c>
      <c r="J159" s="100">
        <f t="shared" ca="1" si="22"/>
        <v>1244.4180555555558</v>
      </c>
      <c r="K159" s="101">
        <f t="shared" si="28"/>
        <v>40277.777777778298</v>
      </c>
      <c r="O159" s="118">
        <f t="shared" si="35"/>
        <v>20.833333333333332</v>
      </c>
      <c r="P159" s="119">
        <f t="shared" ca="1" si="34"/>
        <v>31</v>
      </c>
      <c r="Q159" s="120">
        <v>365</v>
      </c>
      <c r="AA159" s="96">
        <f t="shared" si="31"/>
        <v>121</v>
      </c>
      <c r="AB159" s="97">
        <f t="shared" si="29"/>
        <v>16270.753835464953</v>
      </c>
      <c r="AC159" s="97">
        <f t="shared" ca="1" si="32"/>
        <v>1253.537777777778</v>
      </c>
      <c r="AE159" s="96">
        <f t="shared" si="33"/>
        <v>121</v>
      </c>
      <c r="AF159" s="97">
        <f>IFERROR(VLOOKUP(AE159,[1]Cálculos_PRICE!$A$32:$K$212,10,0),"")</f>
        <v>16270.753835464953</v>
      </c>
      <c r="AG159" s="97">
        <f ca="1">IFERROR(VLOOKUP(AE159,Cálculos_Aquisição_SAC_Fixa!A157:K430,10,0),"")</f>
        <v>1253.537777777778</v>
      </c>
      <c r="AH159" s="97">
        <f>IFERROR(VLOOKUP(AE159,[1]Cálculos_PRICE!$A$32:$K$212,6,0),"")</f>
        <v>6591.3883615246286</v>
      </c>
      <c r="AI159" s="97">
        <f>IFERROR(VLOOKUP(AE159,Cálculos_Aquisição_SAC_Fixa!A157:K430,6,0),"")</f>
        <v>694.44444444444446</v>
      </c>
      <c r="AJ159" s="97">
        <f>IFERROR(VLOOKUP(AE159,[1]Cálculos_PRICE!$A$32:$K$240,11,0),"")</f>
        <v>627596.74714538117</v>
      </c>
      <c r="AK159" s="97">
        <f>IFERROR(VLOOKUP(AE159,Cálculos_Aquisição_SAC_Fixa!A157:K430,11,0),"")</f>
        <v>40972.222222222743</v>
      </c>
      <c r="AW159" s="132"/>
    </row>
    <row r="160" spans="1:49" ht="15.5" x14ac:dyDescent="0.35">
      <c r="A160" s="98">
        <f t="shared" si="30"/>
        <v>123</v>
      </c>
      <c r="B160" s="99">
        <f t="shared" ca="1" si="23"/>
        <v>49800</v>
      </c>
      <c r="C160" s="100">
        <f t="shared" si="24"/>
        <v>40277.777777778298</v>
      </c>
      <c r="D160" s="100">
        <f t="shared" si="25"/>
        <v>519.59</v>
      </c>
      <c r="E160" s="100">
        <f t="shared" si="26"/>
        <v>40797.367777778294</v>
      </c>
      <c r="F160" s="100">
        <f t="shared" si="19"/>
        <v>694.44444444444446</v>
      </c>
      <c r="G160" s="100">
        <f t="shared" si="27"/>
        <v>1214.0344444444445</v>
      </c>
      <c r="H160" s="100">
        <f t="shared" ca="1" si="20"/>
        <v>9.2638888888890083</v>
      </c>
      <c r="I160" s="100">
        <f t="shared" si="21"/>
        <v>12.000000000000002</v>
      </c>
      <c r="J160" s="100">
        <f t="shared" ca="1" si="22"/>
        <v>1235.2983333333334</v>
      </c>
      <c r="K160" s="101">
        <f t="shared" si="28"/>
        <v>39583.333333333852</v>
      </c>
      <c r="O160" s="118">
        <f t="shared" si="35"/>
        <v>20.833333333333332</v>
      </c>
      <c r="P160" s="119">
        <f t="shared" ca="1" si="34"/>
        <v>30</v>
      </c>
      <c r="Q160" s="120">
        <v>365</v>
      </c>
      <c r="AA160" s="96">
        <f t="shared" si="31"/>
        <v>122</v>
      </c>
      <c r="AB160" s="97">
        <f t="shared" si="29"/>
        <v>16269.287910693349</v>
      </c>
      <c r="AC160" s="97">
        <f t="shared" ca="1" si="32"/>
        <v>1244.4180555555558</v>
      </c>
      <c r="AE160" s="96">
        <f t="shared" si="33"/>
        <v>122</v>
      </c>
      <c r="AF160" s="97">
        <f>IFERROR(VLOOKUP(AE160,[1]Cálculos_PRICE!$A$32:$K$212,10,0),"")</f>
        <v>16269.287910693349</v>
      </c>
      <c r="AG160" s="97">
        <f ca="1">IFERROR(VLOOKUP(AE160,Cálculos_Aquisição_SAC_Fixa!A158:K431,10,0),"")</f>
        <v>1244.4180555555558</v>
      </c>
      <c r="AH160" s="97">
        <f>IFERROR(VLOOKUP(AE160,[1]Cálculos_PRICE!$A$32:$K$212,6,0),"")</f>
        <v>6690.2591869475</v>
      </c>
      <c r="AI160" s="97">
        <f>IFERROR(VLOOKUP(AE160,Cálculos_Aquisição_SAC_Fixa!A158:K431,6,0),"")</f>
        <v>694.44444444444446</v>
      </c>
      <c r="AJ160" s="97">
        <f>IFERROR(VLOOKUP(AE160,[1]Cálculos_PRICE!$A$32:$K$240,11,0),"")</f>
        <v>620906.48795843369</v>
      </c>
      <c r="AK160" s="97">
        <f>IFERROR(VLOOKUP(AE160,Cálculos_Aquisição_SAC_Fixa!A158:K431,11,0),"")</f>
        <v>40277.777777778298</v>
      </c>
      <c r="AW160" s="132"/>
    </row>
    <row r="161" spans="1:49" ht="15.5" x14ac:dyDescent="0.35">
      <c r="A161" s="98">
        <f t="shared" si="30"/>
        <v>124</v>
      </c>
      <c r="B161" s="99">
        <f t="shared" ca="1" si="23"/>
        <v>49831</v>
      </c>
      <c r="C161" s="100">
        <f t="shared" si="24"/>
        <v>39583.333333333852</v>
      </c>
      <c r="D161" s="100">
        <f t="shared" si="25"/>
        <v>510.63</v>
      </c>
      <c r="E161" s="100">
        <f t="shared" si="26"/>
        <v>40093.96333333385</v>
      </c>
      <c r="F161" s="100">
        <f t="shared" si="19"/>
        <v>694.44444444444446</v>
      </c>
      <c r="G161" s="100">
        <f t="shared" si="27"/>
        <v>1205.0744444444445</v>
      </c>
      <c r="H161" s="100">
        <f t="shared" ca="1" si="20"/>
        <v>9.1041666666667869</v>
      </c>
      <c r="I161" s="100">
        <f t="shared" si="21"/>
        <v>12.000000000000002</v>
      </c>
      <c r="J161" s="100">
        <f t="shared" ca="1" si="22"/>
        <v>1226.1786111111112</v>
      </c>
      <c r="K161" s="101">
        <f t="shared" si="28"/>
        <v>38888.888888889407</v>
      </c>
      <c r="O161" s="118">
        <f t="shared" si="35"/>
        <v>20.833333333333332</v>
      </c>
      <c r="P161" s="119">
        <f t="shared" ca="1" si="34"/>
        <v>31</v>
      </c>
      <c r="Q161" s="120">
        <v>365</v>
      </c>
      <c r="AA161" s="96">
        <f t="shared" si="31"/>
        <v>123</v>
      </c>
      <c r="AB161" s="97">
        <f t="shared" si="29"/>
        <v>16267.799997050171</v>
      </c>
      <c r="AC161" s="97">
        <f t="shared" ca="1" si="32"/>
        <v>1235.2983333333334</v>
      </c>
      <c r="AE161" s="96">
        <f t="shared" si="33"/>
        <v>123</v>
      </c>
      <c r="AF161" s="97">
        <f>IFERROR(VLOOKUP(AE161,[1]Cálculos_PRICE!$A$32:$K$212,10,0),"")</f>
        <v>16267.799997050171</v>
      </c>
      <c r="AG161" s="97">
        <f ca="1">IFERROR(VLOOKUP(AE161,Cálculos_Aquisição_SAC_Fixa!A159:K432,10,0),"")</f>
        <v>1235.2983333333334</v>
      </c>
      <c r="AH161" s="97">
        <f>IFERROR(VLOOKUP(AE161,[1]Cálculos_PRICE!$A$32:$K$212,6,0),"")</f>
        <v>6790.6130747517109</v>
      </c>
      <c r="AI161" s="97">
        <f>IFERROR(VLOOKUP(AE161,Cálculos_Aquisição_SAC_Fixa!A159:K432,6,0),"")</f>
        <v>694.44444444444446</v>
      </c>
      <c r="AJ161" s="97">
        <f>IFERROR(VLOOKUP(AE161,[1]Cálculos_PRICE!$A$32:$K$240,11,0),"")</f>
        <v>614115.874883682</v>
      </c>
      <c r="AK161" s="97">
        <f>IFERROR(VLOOKUP(AE161,Cálculos_Aquisição_SAC_Fixa!A159:K432,11,0),"")</f>
        <v>39583.333333333852</v>
      </c>
      <c r="AW161" s="132"/>
    </row>
    <row r="162" spans="1:49" ht="15.5" x14ac:dyDescent="0.35">
      <c r="A162" s="98">
        <f t="shared" si="30"/>
        <v>125</v>
      </c>
      <c r="B162" s="99">
        <f t="shared" ca="1" si="23"/>
        <v>49861</v>
      </c>
      <c r="C162" s="100">
        <f t="shared" si="24"/>
        <v>38888.888888889407</v>
      </c>
      <c r="D162" s="100">
        <f t="shared" si="25"/>
        <v>501.67</v>
      </c>
      <c r="E162" s="100">
        <f t="shared" si="26"/>
        <v>39390.558888889405</v>
      </c>
      <c r="F162" s="100">
        <f t="shared" si="19"/>
        <v>694.44444444444446</v>
      </c>
      <c r="G162" s="100">
        <f t="shared" si="27"/>
        <v>1196.1144444444444</v>
      </c>
      <c r="H162" s="100">
        <f t="shared" ca="1" si="20"/>
        <v>8.9444444444445637</v>
      </c>
      <c r="I162" s="100">
        <f t="shared" si="21"/>
        <v>12.000000000000002</v>
      </c>
      <c r="J162" s="100">
        <f t="shared" ca="1" si="22"/>
        <v>1217.058888888889</v>
      </c>
      <c r="K162" s="101">
        <f t="shared" si="28"/>
        <v>38194.444444444962</v>
      </c>
      <c r="O162" s="118">
        <f t="shared" si="35"/>
        <v>20.833333333333332</v>
      </c>
      <c r="P162" s="119">
        <f t="shared" ca="1" si="34"/>
        <v>31</v>
      </c>
      <c r="Q162" s="120">
        <v>365</v>
      </c>
      <c r="AA162" s="96">
        <f t="shared" si="31"/>
        <v>124</v>
      </c>
      <c r="AB162" s="97">
        <f t="shared" si="29"/>
        <v>16266.289764702347</v>
      </c>
      <c r="AC162" s="97">
        <f t="shared" ca="1" si="32"/>
        <v>1226.1786111111112</v>
      </c>
      <c r="AE162" s="96">
        <f t="shared" si="33"/>
        <v>124</v>
      </c>
      <c r="AF162" s="97">
        <f>IFERROR(VLOOKUP(AE162,[1]Cálculos_PRICE!$A$32:$K$212,10,0),"")</f>
        <v>16266.289764702347</v>
      </c>
      <c r="AG162" s="97">
        <f ca="1">IFERROR(VLOOKUP(AE162,Cálculos_Aquisição_SAC_Fixa!A160:K433,10,0),"")</f>
        <v>1226.1786111111112</v>
      </c>
      <c r="AH162" s="97">
        <f>IFERROR(VLOOKUP(AE162,[1]Cálculos_PRICE!$A$32:$K$212,6,0),"")</f>
        <v>6892.4722708729878</v>
      </c>
      <c r="AI162" s="97">
        <f>IFERROR(VLOOKUP(AE162,Cálculos_Aquisição_SAC_Fixa!A160:K433,6,0),"")</f>
        <v>694.44444444444446</v>
      </c>
      <c r="AJ162" s="97">
        <f>IFERROR(VLOOKUP(AE162,[1]Cálculos_PRICE!$A$32:$K$240,11,0),"")</f>
        <v>607223.40261280898</v>
      </c>
      <c r="AK162" s="97">
        <f>IFERROR(VLOOKUP(AE162,Cálculos_Aquisição_SAC_Fixa!A160:K433,11,0),"")</f>
        <v>38888.888888889407</v>
      </c>
      <c r="AW162" s="132"/>
    </row>
    <row r="163" spans="1:49" ht="15.5" x14ac:dyDescent="0.35">
      <c r="A163" s="98">
        <f t="shared" si="30"/>
        <v>126</v>
      </c>
      <c r="B163" s="99">
        <f t="shared" ca="1" si="23"/>
        <v>49892</v>
      </c>
      <c r="C163" s="100">
        <f t="shared" si="24"/>
        <v>38194.444444444962</v>
      </c>
      <c r="D163" s="100">
        <f t="shared" si="25"/>
        <v>492.71</v>
      </c>
      <c r="E163" s="100">
        <f t="shared" si="26"/>
        <v>38687.154444444961</v>
      </c>
      <c r="F163" s="100">
        <f t="shared" si="19"/>
        <v>694.44444444444446</v>
      </c>
      <c r="G163" s="100">
        <f t="shared" si="27"/>
        <v>1187.1544444444444</v>
      </c>
      <c r="H163" s="100">
        <f t="shared" ca="1" si="20"/>
        <v>8.7847222222223422</v>
      </c>
      <c r="I163" s="100">
        <f t="shared" si="21"/>
        <v>12.000000000000002</v>
      </c>
      <c r="J163" s="100">
        <f t="shared" ca="1" si="22"/>
        <v>1207.9391666666668</v>
      </c>
      <c r="K163" s="101">
        <f t="shared" si="28"/>
        <v>37500.000000000517</v>
      </c>
      <c r="O163" s="118">
        <f t="shared" si="35"/>
        <v>20.833333333333332</v>
      </c>
      <c r="P163" s="119">
        <f t="shared" ca="1" si="34"/>
        <v>29</v>
      </c>
      <c r="Q163" s="120">
        <v>365</v>
      </c>
      <c r="AA163" s="96">
        <f t="shared" si="31"/>
        <v>125</v>
      </c>
      <c r="AB163" s="97">
        <f t="shared" si="29"/>
        <v>16264.756878869306</v>
      </c>
      <c r="AC163" s="97">
        <f t="shared" ca="1" si="32"/>
        <v>1217.058888888889</v>
      </c>
      <c r="AE163" s="96">
        <f t="shared" si="33"/>
        <v>125</v>
      </c>
      <c r="AF163" s="97">
        <f>IFERROR(VLOOKUP(AE163,[1]Cálculos_PRICE!$A$32:$K$212,10,0),"")</f>
        <v>16264.756878869306</v>
      </c>
      <c r="AG163" s="97">
        <f ca="1">IFERROR(VLOOKUP(AE163,Cálculos_Aquisição_SAC_Fixa!A161:K434,10,0),"")</f>
        <v>1217.058888888889</v>
      </c>
      <c r="AH163" s="97">
        <f>IFERROR(VLOOKUP(AE163,[1]Cálculos_PRICE!$A$32:$K$212,6,0),"")</f>
        <v>6995.859354936083</v>
      </c>
      <c r="AI163" s="97">
        <f>IFERROR(VLOOKUP(AE163,Cálculos_Aquisição_SAC_Fixa!A161:K434,6,0),"")</f>
        <v>694.44444444444446</v>
      </c>
      <c r="AJ163" s="97">
        <f>IFERROR(VLOOKUP(AE163,[1]Cálculos_PRICE!$A$32:$K$240,11,0),"")</f>
        <v>600227.54325787292</v>
      </c>
      <c r="AK163" s="97">
        <f>IFERROR(VLOOKUP(AE163,Cálculos_Aquisição_SAC_Fixa!A161:K434,11,0),"")</f>
        <v>38194.444444444962</v>
      </c>
      <c r="AW163" s="132"/>
    </row>
    <row r="164" spans="1:49" ht="15.5" x14ac:dyDescent="0.35">
      <c r="A164" s="98">
        <f t="shared" si="30"/>
        <v>127</v>
      </c>
      <c r="B164" s="99">
        <f t="shared" ca="1" si="23"/>
        <v>49923</v>
      </c>
      <c r="C164" s="100">
        <f t="shared" si="24"/>
        <v>37500.000000000517</v>
      </c>
      <c r="D164" s="100">
        <f t="shared" si="25"/>
        <v>483.76</v>
      </c>
      <c r="E164" s="100">
        <f t="shared" si="26"/>
        <v>37983.760000000519</v>
      </c>
      <c r="F164" s="100">
        <f t="shared" si="19"/>
        <v>694.44444444444446</v>
      </c>
      <c r="G164" s="100">
        <f t="shared" si="27"/>
        <v>1178.2044444444446</v>
      </c>
      <c r="H164" s="100">
        <f t="shared" ca="1" si="20"/>
        <v>8.625000000000119</v>
      </c>
      <c r="I164" s="100">
        <f t="shared" si="21"/>
        <v>12.000000000000002</v>
      </c>
      <c r="J164" s="100">
        <f t="shared" ca="1" si="22"/>
        <v>1198.8294444444448</v>
      </c>
      <c r="K164" s="101">
        <f t="shared" si="28"/>
        <v>36805.555555556071</v>
      </c>
      <c r="O164" s="118">
        <f t="shared" si="35"/>
        <v>20.833333333333332</v>
      </c>
      <c r="P164" s="119">
        <f t="shared" ca="1" si="34"/>
        <v>31</v>
      </c>
      <c r="Q164" s="120">
        <v>365</v>
      </c>
      <c r="AA164" s="96">
        <f t="shared" si="31"/>
        <v>126</v>
      </c>
      <c r="AB164" s="97">
        <f t="shared" si="29"/>
        <v>16263.200999748768</v>
      </c>
      <c r="AC164" s="97">
        <f t="shared" ca="1" si="32"/>
        <v>1207.9391666666668</v>
      </c>
      <c r="AE164" s="96">
        <f t="shared" si="33"/>
        <v>126</v>
      </c>
      <c r="AF164" s="97">
        <f>IFERROR(VLOOKUP(AE164,[1]Cálculos_PRICE!$A$32:$K$212,10,0),"")</f>
        <v>16263.200999748768</v>
      </c>
      <c r="AG164" s="97">
        <f ca="1">IFERROR(VLOOKUP(AE164,Cálculos_Aquisição_SAC_Fixa!A162:K435,10,0),"")</f>
        <v>1207.9391666666668</v>
      </c>
      <c r="AH164" s="97">
        <f>IFERROR(VLOOKUP(AE164,[1]Cálculos_PRICE!$A$32:$K$212,6,0),"")</f>
        <v>7100.7972452601225</v>
      </c>
      <c r="AI164" s="97">
        <f>IFERROR(VLOOKUP(AE164,Cálculos_Aquisição_SAC_Fixa!A162:K435,6,0),"")</f>
        <v>694.44444444444446</v>
      </c>
      <c r="AJ164" s="97">
        <f>IFERROR(VLOOKUP(AE164,[1]Cálculos_PRICE!$A$32:$K$240,11,0),"")</f>
        <v>593126.74601261283</v>
      </c>
      <c r="AK164" s="97">
        <f>IFERROR(VLOOKUP(AE164,Cálculos_Aquisição_SAC_Fixa!A162:K435,11,0),"")</f>
        <v>37500.000000000517</v>
      </c>
      <c r="AW164" s="132"/>
    </row>
    <row r="165" spans="1:49" ht="15.5" x14ac:dyDescent="0.35">
      <c r="A165" s="98">
        <f t="shared" si="30"/>
        <v>128</v>
      </c>
      <c r="B165" s="99">
        <f t="shared" ca="1" si="23"/>
        <v>49953</v>
      </c>
      <c r="C165" s="100">
        <f t="shared" si="24"/>
        <v>36805.555555556071</v>
      </c>
      <c r="D165" s="100">
        <f t="shared" si="25"/>
        <v>474.8</v>
      </c>
      <c r="E165" s="100">
        <f t="shared" si="26"/>
        <v>37280.355555556074</v>
      </c>
      <c r="F165" s="100">
        <f t="shared" si="19"/>
        <v>694.44444444444446</v>
      </c>
      <c r="G165" s="100">
        <f t="shared" si="27"/>
        <v>1169.2444444444445</v>
      </c>
      <c r="H165" s="100">
        <f t="shared" ca="1" si="20"/>
        <v>8.4652777777778958</v>
      </c>
      <c r="I165" s="100">
        <f t="shared" si="21"/>
        <v>12.000000000000002</v>
      </c>
      <c r="J165" s="100">
        <f t="shared" ca="1" si="22"/>
        <v>1189.7097222222224</v>
      </c>
      <c r="K165" s="101">
        <f t="shared" si="28"/>
        <v>36111.111111111626</v>
      </c>
      <c r="O165" s="118">
        <f t="shared" si="35"/>
        <v>20.833333333333332</v>
      </c>
      <c r="P165" s="119">
        <f t="shared" ca="1" si="34"/>
        <v>30</v>
      </c>
      <c r="Q165" s="120">
        <v>365</v>
      </c>
      <c r="AA165" s="96">
        <f t="shared" si="31"/>
        <v>127</v>
      </c>
      <c r="AB165" s="97">
        <f t="shared" si="29"/>
        <v>16261.621782441422</v>
      </c>
      <c r="AC165" s="97">
        <f t="shared" ca="1" si="32"/>
        <v>1198.8294444444448</v>
      </c>
      <c r="AE165" s="96">
        <f t="shared" si="33"/>
        <v>127</v>
      </c>
      <c r="AF165" s="97">
        <f>IFERROR(VLOOKUP(AE165,[1]Cálculos_PRICE!$A$32:$K$212,10,0),"")</f>
        <v>16261.621782441422</v>
      </c>
      <c r="AG165" s="97">
        <f ca="1">IFERROR(VLOOKUP(AE165,Cálculos_Aquisição_SAC_Fixa!A163:K436,10,0),"")</f>
        <v>1198.8294444444448</v>
      </c>
      <c r="AH165" s="97">
        <f>IFERROR(VLOOKUP(AE165,[1]Cálculos_PRICE!$A$32:$K$212,6,0),"")</f>
        <v>7207.3092039390249</v>
      </c>
      <c r="AI165" s="97">
        <f>IFERROR(VLOOKUP(AE165,Cálculos_Aquisição_SAC_Fixa!A163:K436,6,0),"")</f>
        <v>694.44444444444446</v>
      </c>
      <c r="AJ165" s="97">
        <f>IFERROR(VLOOKUP(AE165,[1]Cálculos_PRICE!$A$32:$K$240,11,0),"")</f>
        <v>585919.43680867378</v>
      </c>
      <c r="AK165" s="97">
        <f>IFERROR(VLOOKUP(AE165,Cálculos_Aquisição_SAC_Fixa!A163:K436,11,0),"")</f>
        <v>36805.555555556071</v>
      </c>
      <c r="AW165" s="132"/>
    </row>
    <row r="166" spans="1:49" ht="15.5" x14ac:dyDescent="0.35">
      <c r="A166" s="98">
        <f t="shared" si="30"/>
        <v>129</v>
      </c>
      <c r="B166" s="99">
        <f t="shared" ca="1" si="23"/>
        <v>49984</v>
      </c>
      <c r="C166" s="100">
        <f t="shared" si="24"/>
        <v>36111.111111111626</v>
      </c>
      <c r="D166" s="100">
        <f t="shared" si="25"/>
        <v>465.84</v>
      </c>
      <c r="E166" s="100">
        <f t="shared" si="26"/>
        <v>36576.951111111623</v>
      </c>
      <c r="F166" s="100">
        <f t="shared" ref="F166:F229" si="36">IF(A166="","",$C$38/$I$18)</f>
        <v>694.44444444444446</v>
      </c>
      <c r="G166" s="100">
        <f t="shared" si="27"/>
        <v>1160.2844444444445</v>
      </c>
      <c r="H166" s="100">
        <f t="shared" ref="H166:H229" ca="1" si="37">IFERROR($V$39*$C166,"")</f>
        <v>8.3055555555556744</v>
      </c>
      <c r="I166" s="100">
        <f t="shared" ref="I166:I229" si="38">IF(A166="","",IF(K165="","",IF(K165=0,"",$W$39*$I$14)))</f>
        <v>12.000000000000002</v>
      </c>
      <c r="J166" s="100">
        <f t="shared" ref="J166:J229" ca="1" si="39">IFERROR(SUM(I166+H166+G166),"")</f>
        <v>1180.5900000000001</v>
      </c>
      <c r="K166" s="101">
        <f t="shared" si="28"/>
        <v>35416.666666667181</v>
      </c>
      <c r="O166" s="118">
        <f t="shared" si="35"/>
        <v>20.833333333333332</v>
      </c>
      <c r="P166" s="119">
        <f t="shared" ca="1" si="34"/>
        <v>31</v>
      </c>
      <c r="Q166" s="120">
        <v>365</v>
      </c>
      <c r="AA166" s="96">
        <f t="shared" si="31"/>
        <v>128</v>
      </c>
      <c r="AB166" s="97">
        <f t="shared" si="29"/>
        <v>16260.018876874467</v>
      </c>
      <c r="AC166" s="97">
        <f t="shared" ca="1" si="32"/>
        <v>1189.7097222222224</v>
      </c>
      <c r="AE166" s="96">
        <f t="shared" si="33"/>
        <v>128</v>
      </c>
      <c r="AF166" s="97">
        <f>IFERROR(VLOOKUP(AE166,[1]Cálculos_PRICE!$A$32:$K$212,10,0),"")</f>
        <v>16260.018876874467</v>
      </c>
      <c r="AG166" s="97">
        <f ca="1">IFERROR(VLOOKUP(AE166,Cálculos_Aquisição_SAC_Fixa!A164:K437,10,0),"")</f>
        <v>1189.7097222222224</v>
      </c>
      <c r="AH166" s="97">
        <f>IFERROR(VLOOKUP(AE166,[1]Cálculos_PRICE!$A$32:$K$212,6,0),"")</f>
        <v>7315.418841998111</v>
      </c>
      <c r="AI166" s="97">
        <f>IFERROR(VLOOKUP(AE166,Cálculos_Aquisição_SAC_Fixa!A164:K437,6,0),"")</f>
        <v>694.44444444444446</v>
      </c>
      <c r="AJ166" s="97">
        <f>IFERROR(VLOOKUP(AE166,[1]Cálculos_PRICE!$A$32:$K$240,11,0),"")</f>
        <v>578604.01796667569</v>
      </c>
      <c r="AK166" s="97">
        <f>IFERROR(VLOOKUP(AE166,Cálculos_Aquisição_SAC_Fixa!A164:K437,11,0),"")</f>
        <v>36111.111111111626</v>
      </c>
      <c r="AW166" s="132"/>
    </row>
    <row r="167" spans="1:49" ht="15.5" x14ac:dyDescent="0.35">
      <c r="A167" s="98">
        <f t="shared" si="30"/>
        <v>130</v>
      </c>
      <c r="B167" s="99">
        <f t="shared" ref="B167:B230" ca="1" si="40">IFERROR(IF(A167&lt;=$I$18,DATE(YEAR($B$38),MONTH($B$38)+A166,DAY($B$38)),"-"),"")</f>
        <v>50014</v>
      </c>
      <c r="C167" s="100">
        <f t="shared" ref="C167:C230" si="41">IF(A167="","",K166)</f>
        <v>35416.666666667181</v>
      </c>
      <c r="D167" s="100">
        <f t="shared" ref="D167:D230" si="42">IFERROR(ROUNDUP(C167*$I$20,2),"")</f>
        <v>456.88</v>
      </c>
      <c r="E167" s="100">
        <f t="shared" ref="E167:E230" si="43">IFERROR(C167+D167,"")</f>
        <v>35873.546666667178</v>
      </c>
      <c r="F167" s="100">
        <f t="shared" si="36"/>
        <v>694.44444444444446</v>
      </c>
      <c r="G167" s="100">
        <f t="shared" ref="G167:G230" si="44">IF(A167="","",D167+F167)</f>
        <v>1151.3244444444445</v>
      </c>
      <c r="H167" s="100">
        <f t="shared" ca="1" si="37"/>
        <v>8.1458333333334512</v>
      </c>
      <c r="I167" s="100">
        <f t="shared" si="38"/>
        <v>12.000000000000002</v>
      </c>
      <c r="J167" s="100">
        <f t="shared" ca="1" si="39"/>
        <v>1171.4702777777779</v>
      </c>
      <c r="K167" s="101">
        <f t="shared" ref="K167:K230" si="45">IF(A167="","",C167-F167)</f>
        <v>34722.222222222736</v>
      </c>
      <c r="O167" s="118">
        <f t="shared" si="35"/>
        <v>20.833333333333332</v>
      </c>
      <c r="P167" s="119">
        <f t="shared" ca="1" si="34"/>
        <v>30</v>
      </c>
      <c r="Q167" s="120">
        <v>365</v>
      </c>
      <c r="AA167" s="96">
        <f t="shared" si="31"/>
        <v>129</v>
      </c>
      <c r="AB167" s="97">
        <f t="shared" ref="AB167:AB218" si="46">IF($AA$36=1,VLOOKUP(AA167,$AE$38:$AK$218,6,0),IF($AA$36=2,VLOOKUP(AA167,$AE$38:$AK$218,4,0),VLOOKUP(AA167,$AE$38:$AK$218,2,0)))</f>
        <v>16258.391927724006</v>
      </c>
      <c r="AC167" s="97">
        <f t="shared" ca="1" si="32"/>
        <v>1180.5900000000001</v>
      </c>
      <c r="AE167" s="96">
        <f t="shared" si="33"/>
        <v>129</v>
      </c>
      <c r="AF167" s="97">
        <f>IFERROR(VLOOKUP(AE167,[1]Cálculos_PRICE!$A$32:$K$212,10,0),"")</f>
        <v>16258.391927724006</v>
      </c>
      <c r="AG167" s="97">
        <f ca="1">IFERROR(VLOOKUP(AE167,Cálculos_Aquisição_SAC_Fixa!A165:K438,10,0),"")</f>
        <v>1180.5900000000001</v>
      </c>
      <c r="AH167" s="97">
        <f>IFERROR(VLOOKUP(AE167,[1]Cálculos_PRICE!$A$32:$K$212,6,0),"")</f>
        <v>7425.1501246280823</v>
      </c>
      <c r="AI167" s="97">
        <f>IFERROR(VLOOKUP(AE167,Cálculos_Aquisição_SAC_Fixa!A165:K438,6,0),"")</f>
        <v>694.44444444444446</v>
      </c>
      <c r="AJ167" s="97">
        <f>IFERROR(VLOOKUP(AE167,[1]Cálculos_PRICE!$A$32:$K$240,11,0),"")</f>
        <v>571178.86784204759</v>
      </c>
      <c r="AK167" s="97">
        <f>IFERROR(VLOOKUP(AE167,Cálculos_Aquisição_SAC_Fixa!A165:K438,11,0),"")</f>
        <v>35416.666666667181</v>
      </c>
      <c r="AW167" s="132"/>
    </row>
    <row r="168" spans="1:49" ht="15.5" x14ac:dyDescent="0.35">
      <c r="A168" s="98">
        <f t="shared" ref="A168:A231" si="47">IF(IF(AND(A167&gt;0,A167&lt;$I$18),A167+1,0)=0,"",IF(AND(A167&gt;0,A167&lt;$I$18),A167+1,0))</f>
        <v>131</v>
      </c>
      <c r="B168" s="99">
        <f t="shared" ca="1" si="40"/>
        <v>50045</v>
      </c>
      <c r="C168" s="100">
        <f t="shared" si="41"/>
        <v>34722.222222222736</v>
      </c>
      <c r="D168" s="100">
        <f t="shared" si="42"/>
        <v>447.92</v>
      </c>
      <c r="E168" s="100">
        <f t="shared" si="43"/>
        <v>35170.142222222734</v>
      </c>
      <c r="F168" s="100">
        <f t="shared" si="36"/>
        <v>694.44444444444446</v>
      </c>
      <c r="G168" s="100">
        <f t="shared" si="44"/>
        <v>1142.3644444444444</v>
      </c>
      <c r="H168" s="100">
        <f t="shared" ca="1" si="37"/>
        <v>7.9861111111112297</v>
      </c>
      <c r="I168" s="100">
        <f t="shared" si="38"/>
        <v>12.000000000000002</v>
      </c>
      <c r="J168" s="100">
        <f t="shared" ca="1" si="39"/>
        <v>1162.3505555555557</v>
      </c>
      <c r="K168" s="101">
        <f t="shared" si="45"/>
        <v>34027.77777777829</v>
      </c>
      <c r="O168" s="118">
        <f t="shared" si="35"/>
        <v>20.833333333333332</v>
      </c>
      <c r="P168" s="119">
        <f t="shared" ca="1" si="34"/>
        <v>31</v>
      </c>
      <c r="Q168" s="120">
        <v>365</v>
      </c>
      <c r="AA168" s="96">
        <f t="shared" ref="AA168:AA231" si="48">A167</f>
        <v>130</v>
      </c>
      <c r="AB168" s="97">
        <f t="shared" si="46"/>
        <v>16256.740574336289</v>
      </c>
      <c r="AC168" s="97">
        <f t="shared" ref="AC168:AC231" ca="1" si="49">IF($AA$36=1,VLOOKUP(AA168,$AE$38:$AK$278,7,0),IF($AA$36=2,VLOOKUP(AA168,$AE$38:$AK$278,5,0),VLOOKUP(AA168,$AE$38:$AK$278,3,0)))</f>
        <v>1171.4702777777779</v>
      </c>
      <c r="AE168" s="96">
        <f t="shared" ref="AE168:AE231" si="50">AA168</f>
        <v>130</v>
      </c>
      <c r="AF168" s="97">
        <f>IFERROR(VLOOKUP(AE168,[1]Cálculos_PRICE!$A$32:$K$212,10,0),"")</f>
        <v>16256.740574336289</v>
      </c>
      <c r="AG168" s="97">
        <f ca="1">IFERROR(VLOOKUP(AE168,Cálculos_Aquisição_SAC_Fixa!A166:K439,10,0),"")</f>
        <v>1171.4702777777779</v>
      </c>
      <c r="AH168" s="97">
        <f>IFERROR(VLOOKUP(AE168,[1]Cálculos_PRICE!$A$32:$K$212,6,0),"")</f>
        <v>7536.5273764975027</v>
      </c>
      <c r="AI168" s="97">
        <f>IFERROR(VLOOKUP(AE168,Cálculos_Aquisição_SAC_Fixa!A166:K439,6,0),"")</f>
        <v>694.44444444444446</v>
      </c>
      <c r="AJ168" s="97">
        <f>IFERROR(VLOOKUP(AE168,[1]Cálculos_PRICE!$A$32:$K$240,11,0),"")</f>
        <v>563642.34046555008</v>
      </c>
      <c r="AK168" s="97">
        <f>IFERROR(VLOOKUP(AE168,Cálculos_Aquisição_SAC_Fixa!A166:K439,11,0),"")</f>
        <v>34722.222222222736</v>
      </c>
      <c r="AW168" s="132"/>
    </row>
    <row r="169" spans="1:49" ht="15.5" x14ac:dyDescent="0.35">
      <c r="A169" s="98">
        <f t="shared" si="47"/>
        <v>132</v>
      </c>
      <c r="B169" s="99">
        <f t="shared" ca="1" si="40"/>
        <v>50076</v>
      </c>
      <c r="C169" s="100">
        <f t="shared" si="41"/>
        <v>34027.77777777829</v>
      </c>
      <c r="D169" s="100">
        <f t="shared" si="42"/>
        <v>438.96</v>
      </c>
      <c r="E169" s="100">
        <f t="shared" si="43"/>
        <v>34466.737777778289</v>
      </c>
      <c r="F169" s="100">
        <f t="shared" si="36"/>
        <v>694.44444444444446</v>
      </c>
      <c r="G169" s="100">
        <f t="shared" si="44"/>
        <v>1133.4044444444444</v>
      </c>
      <c r="H169" s="100">
        <f t="shared" ca="1" si="37"/>
        <v>7.8263888888890074</v>
      </c>
      <c r="I169" s="100">
        <f t="shared" si="38"/>
        <v>12.000000000000002</v>
      </c>
      <c r="J169" s="100">
        <f t="shared" ca="1" si="39"/>
        <v>1153.2308333333333</v>
      </c>
      <c r="K169" s="101">
        <f t="shared" si="45"/>
        <v>33333.333333333845</v>
      </c>
      <c r="O169" s="118">
        <f t="shared" si="35"/>
        <v>20.833333333333332</v>
      </c>
      <c r="P169" s="119">
        <f t="shared" ca="1" si="34"/>
        <v>31</v>
      </c>
      <c r="Q169" s="120">
        <v>365</v>
      </c>
      <c r="AA169" s="96">
        <f t="shared" si="48"/>
        <v>131</v>
      </c>
      <c r="AB169" s="97">
        <f t="shared" si="46"/>
        <v>16255.064450647755</v>
      </c>
      <c r="AC169" s="97">
        <f t="shared" ca="1" si="49"/>
        <v>1162.3505555555557</v>
      </c>
      <c r="AE169" s="96">
        <f t="shared" si="50"/>
        <v>131</v>
      </c>
      <c r="AF169" s="97">
        <f>IFERROR(VLOOKUP(AE169,[1]Cálculos_PRICE!$A$32:$K$212,10,0),"")</f>
        <v>16255.064450647755</v>
      </c>
      <c r="AG169" s="97">
        <f ca="1">IFERROR(VLOOKUP(AE169,Cálculos_Aquisição_SAC_Fixa!A167:K440,10,0),"")</f>
        <v>1162.3505555555557</v>
      </c>
      <c r="AH169" s="97">
        <f>IFERROR(VLOOKUP(AE169,[1]Cálculos_PRICE!$A$32:$K$212,6,0),"")</f>
        <v>7649.5752871449658</v>
      </c>
      <c r="AI169" s="97">
        <f>IFERROR(VLOOKUP(AE169,Cálculos_Aquisição_SAC_Fixa!A167:K440,6,0),"")</f>
        <v>694.44444444444446</v>
      </c>
      <c r="AJ169" s="97">
        <f>IFERROR(VLOOKUP(AE169,[1]Cálculos_PRICE!$A$32:$K$240,11,0),"")</f>
        <v>555992.7651784051</v>
      </c>
      <c r="AK169" s="97">
        <f>IFERROR(VLOOKUP(AE169,Cálculos_Aquisição_SAC_Fixa!A167:K440,11,0),"")</f>
        <v>34027.77777777829</v>
      </c>
      <c r="AW169" s="132"/>
    </row>
    <row r="170" spans="1:49" ht="15.5" x14ac:dyDescent="0.35">
      <c r="A170" s="98">
        <f t="shared" si="47"/>
        <v>133</v>
      </c>
      <c r="B170" s="99">
        <f t="shared" ca="1" si="40"/>
        <v>50104</v>
      </c>
      <c r="C170" s="100">
        <f t="shared" si="41"/>
        <v>33333.333333333845</v>
      </c>
      <c r="D170" s="100">
        <f t="shared" si="42"/>
        <v>430.01</v>
      </c>
      <c r="E170" s="100">
        <f t="shared" si="43"/>
        <v>33763.343333333847</v>
      </c>
      <c r="F170" s="100">
        <f t="shared" si="36"/>
        <v>694.44444444444446</v>
      </c>
      <c r="G170" s="100">
        <f t="shared" si="44"/>
        <v>1124.4544444444446</v>
      </c>
      <c r="H170" s="100">
        <f t="shared" ca="1" si="37"/>
        <v>7.6666666666667842</v>
      </c>
      <c r="I170" s="100">
        <f t="shared" si="38"/>
        <v>12.000000000000002</v>
      </c>
      <c r="J170" s="100">
        <f t="shared" ca="1" si="39"/>
        <v>1144.1211111111113</v>
      </c>
      <c r="K170" s="101">
        <f t="shared" si="45"/>
        <v>32638.8888888894</v>
      </c>
      <c r="O170" s="118">
        <f t="shared" si="35"/>
        <v>20.833333333333332</v>
      </c>
      <c r="P170" s="119">
        <f t="shared" ca="1" si="34"/>
        <v>30</v>
      </c>
      <c r="Q170" s="120">
        <v>365</v>
      </c>
      <c r="AA170" s="96">
        <f t="shared" si="48"/>
        <v>132</v>
      </c>
      <c r="AB170" s="97">
        <f t="shared" si="46"/>
        <v>16253.363185103894</v>
      </c>
      <c r="AC170" s="97">
        <f t="shared" ca="1" si="49"/>
        <v>1153.2308333333333</v>
      </c>
      <c r="AE170" s="96">
        <f t="shared" si="50"/>
        <v>132</v>
      </c>
      <c r="AF170" s="97">
        <f>IFERROR(VLOOKUP(AE170,[1]Cálculos_PRICE!$A$32:$K$212,10,0),"")</f>
        <v>16253.363185103894</v>
      </c>
      <c r="AG170" s="97">
        <f ca="1">IFERROR(VLOOKUP(AE170,Cálculos_Aquisição_SAC_Fixa!A168:K441,10,0),"")</f>
        <v>1153.2308333333333</v>
      </c>
      <c r="AH170" s="97">
        <f>IFERROR(VLOOKUP(AE170,[1]Cálculos_PRICE!$A$32:$K$212,6,0),"")</f>
        <v>7764.3189164521409</v>
      </c>
      <c r="AI170" s="97">
        <f>IFERROR(VLOOKUP(AE170,Cálculos_Aquisição_SAC_Fixa!A168:K441,6,0),"")</f>
        <v>694.44444444444446</v>
      </c>
      <c r="AJ170" s="97">
        <f>IFERROR(VLOOKUP(AE170,[1]Cálculos_PRICE!$A$32:$K$240,11,0),"")</f>
        <v>548228.44626195298</v>
      </c>
      <c r="AK170" s="97">
        <f>IFERROR(VLOOKUP(AE170,Cálculos_Aquisição_SAC_Fixa!A168:K441,11,0),"")</f>
        <v>33333.333333333845</v>
      </c>
      <c r="AW170" s="132"/>
    </row>
    <row r="171" spans="1:49" ht="15.5" x14ac:dyDescent="0.35">
      <c r="A171" s="98">
        <f t="shared" si="47"/>
        <v>134</v>
      </c>
      <c r="B171" s="99">
        <f t="shared" ca="1" si="40"/>
        <v>50135</v>
      </c>
      <c r="C171" s="100">
        <f t="shared" si="41"/>
        <v>32638.8888888894</v>
      </c>
      <c r="D171" s="100">
        <f t="shared" si="42"/>
        <v>421.05</v>
      </c>
      <c r="E171" s="100">
        <f t="shared" si="43"/>
        <v>33059.938888889403</v>
      </c>
      <c r="F171" s="100">
        <f t="shared" si="36"/>
        <v>694.44444444444446</v>
      </c>
      <c r="G171" s="100">
        <f t="shared" si="44"/>
        <v>1115.4944444444445</v>
      </c>
      <c r="H171" s="100">
        <f t="shared" ca="1" si="37"/>
        <v>7.5069444444445619</v>
      </c>
      <c r="I171" s="100">
        <f t="shared" si="38"/>
        <v>12.000000000000002</v>
      </c>
      <c r="J171" s="100">
        <f t="shared" ca="1" si="39"/>
        <v>1135.0013888888891</v>
      </c>
      <c r="K171" s="101">
        <f t="shared" si="45"/>
        <v>31944.444444444955</v>
      </c>
      <c r="O171" s="118">
        <f t="shared" si="35"/>
        <v>20.833333333333332</v>
      </c>
      <c r="P171" s="119">
        <f t="shared" ref="P171:P234" ca="1" si="51">IF($A166&lt;=$I$18,B166-B165,)</f>
        <v>31</v>
      </c>
      <c r="Q171" s="120">
        <v>365</v>
      </c>
      <c r="AA171" s="96">
        <f t="shared" si="48"/>
        <v>133</v>
      </c>
      <c r="AB171" s="97">
        <f t="shared" si="46"/>
        <v>16251.636400576876</v>
      </c>
      <c r="AC171" s="97">
        <f t="shared" ca="1" si="49"/>
        <v>1144.1211111111113</v>
      </c>
      <c r="AE171" s="96">
        <f t="shared" si="50"/>
        <v>133</v>
      </c>
      <c r="AF171" s="97">
        <f>IFERROR(VLOOKUP(AE171,[1]Cálculos_PRICE!$A$32:$K$212,10,0),"")</f>
        <v>16251.636400576876</v>
      </c>
      <c r="AG171" s="97">
        <f ca="1">IFERROR(VLOOKUP(AE171,Cálculos_Aquisição_SAC_Fixa!A169:K442,10,0),"")</f>
        <v>1144.1211111111113</v>
      </c>
      <c r="AH171" s="97">
        <f>IFERROR(VLOOKUP(AE171,[1]Cálculos_PRICE!$A$32:$K$212,6,0),"")</f>
        <v>7880.7837001989228</v>
      </c>
      <c r="AI171" s="97">
        <f>IFERROR(VLOOKUP(AE171,Cálculos_Aquisição_SAC_Fixa!A169:K442,6,0),"")</f>
        <v>694.44444444444446</v>
      </c>
      <c r="AJ171" s="97">
        <f>IFERROR(VLOOKUP(AE171,[1]Cálculos_PRICE!$A$32:$K$240,11,0),"")</f>
        <v>540347.66256175411</v>
      </c>
      <c r="AK171" s="97">
        <f>IFERROR(VLOOKUP(AE171,Cálculos_Aquisição_SAC_Fixa!A169:K442,11,0),"")</f>
        <v>32638.8888888894</v>
      </c>
      <c r="AW171" s="132"/>
    </row>
    <row r="172" spans="1:49" ht="15.5" x14ac:dyDescent="0.35">
      <c r="A172" s="98">
        <f t="shared" si="47"/>
        <v>135</v>
      </c>
      <c r="B172" s="99">
        <f t="shared" ca="1" si="40"/>
        <v>50165</v>
      </c>
      <c r="C172" s="100">
        <f t="shared" si="41"/>
        <v>31944.444444444955</v>
      </c>
      <c r="D172" s="100">
        <f t="shared" si="42"/>
        <v>412.09</v>
      </c>
      <c r="E172" s="100">
        <f t="shared" si="43"/>
        <v>32356.534444444955</v>
      </c>
      <c r="F172" s="100">
        <f t="shared" si="36"/>
        <v>694.44444444444446</v>
      </c>
      <c r="G172" s="100">
        <f t="shared" si="44"/>
        <v>1106.5344444444445</v>
      </c>
      <c r="H172" s="100">
        <f t="shared" ca="1" si="37"/>
        <v>7.3472222222223396</v>
      </c>
      <c r="I172" s="100">
        <f t="shared" si="38"/>
        <v>12.000000000000002</v>
      </c>
      <c r="J172" s="100">
        <f t="shared" ca="1" si="39"/>
        <v>1125.8816666666669</v>
      </c>
      <c r="K172" s="101">
        <f t="shared" si="45"/>
        <v>31250.000000000509</v>
      </c>
      <c r="O172" s="118">
        <f t="shared" si="35"/>
        <v>20.833333333333332</v>
      </c>
      <c r="P172" s="119">
        <f t="shared" ca="1" si="51"/>
        <v>30</v>
      </c>
      <c r="Q172" s="120">
        <v>365</v>
      </c>
      <c r="AA172" s="96">
        <f t="shared" si="48"/>
        <v>134</v>
      </c>
      <c r="AB172" s="97">
        <f t="shared" si="46"/>
        <v>16249.88371428195</v>
      </c>
      <c r="AC172" s="97">
        <f t="shared" ca="1" si="49"/>
        <v>1135.0013888888891</v>
      </c>
      <c r="AE172" s="96">
        <f t="shared" si="50"/>
        <v>134</v>
      </c>
      <c r="AF172" s="97">
        <f>IFERROR(VLOOKUP(AE172,[1]Cálculos_PRICE!$A$32:$K$212,10,0),"")</f>
        <v>16249.88371428195</v>
      </c>
      <c r="AG172" s="97">
        <f ca="1">IFERROR(VLOOKUP(AE172,Cálculos_Aquisição_SAC_Fixa!A170:K443,10,0),"")</f>
        <v>1135.0013888888891</v>
      </c>
      <c r="AH172" s="97">
        <f>IFERROR(VLOOKUP(AE172,[1]Cálculos_PRICE!$A$32:$K$212,6,0),"")</f>
        <v>7998.9954557019055</v>
      </c>
      <c r="AI172" s="97">
        <f>IFERROR(VLOOKUP(AE172,Cálculos_Aquisição_SAC_Fixa!A170:K443,6,0),"")</f>
        <v>694.44444444444446</v>
      </c>
      <c r="AJ172" s="97">
        <f>IFERROR(VLOOKUP(AE172,[1]Cálculos_PRICE!$A$32:$K$240,11,0),"")</f>
        <v>532348.66710605216</v>
      </c>
      <c r="AK172" s="97">
        <f>IFERROR(VLOOKUP(AE172,Cálculos_Aquisição_SAC_Fixa!A170:K443,11,0),"")</f>
        <v>31944.444444444955</v>
      </c>
      <c r="AW172" s="132"/>
    </row>
    <row r="173" spans="1:49" ht="15.5" x14ac:dyDescent="0.35">
      <c r="A173" s="98">
        <f t="shared" si="47"/>
        <v>136</v>
      </c>
      <c r="B173" s="99">
        <f t="shared" ca="1" si="40"/>
        <v>50196</v>
      </c>
      <c r="C173" s="100">
        <f t="shared" si="41"/>
        <v>31250.000000000509</v>
      </c>
      <c r="D173" s="100">
        <f t="shared" si="42"/>
        <v>403.13</v>
      </c>
      <c r="E173" s="100">
        <f t="shared" si="43"/>
        <v>31653.13000000051</v>
      </c>
      <c r="F173" s="100">
        <f t="shared" si="36"/>
        <v>694.44444444444446</v>
      </c>
      <c r="G173" s="100">
        <f t="shared" si="44"/>
        <v>1097.5744444444445</v>
      </c>
      <c r="H173" s="100">
        <f t="shared" ca="1" si="37"/>
        <v>7.1875000000001172</v>
      </c>
      <c r="I173" s="100">
        <f t="shared" si="38"/>
        <v>12.000000000000002</v>
      </c>
      <c r="J173" s="100">
        <f t="shared" ca="1" si="39"/>
        <v>1116.7619444444447</v>
      </c>
      <c r="K173" s="101">
        <f t="shared" si="45"/>
        <v>30555.555555556064</v>
      </c>
      <c r="O173" s="118">
        <f t="shared" si="35"/>
        <v>20.833333333333332</v>
      </c>
      <c r="P173" s="119">
        <f t="shared" ca="1" si="51"/>
        <v>31</v>
      </c>
      <c r="Q173" s="120">
        <v>365</v>
      </c>
      <c r="AA173" s="96">
        <f t="shared" si="48"/>
        <v>135</v>
      </c>
      <c r="AB173" s="97">
        <f t="shared" si="46"/>
        <v>16248.104737692604</v>
      </c>
      <c r="AC173" s="97">
        <f t="shared" ca="1" si="49"/>
        <v>1125.8816666666669</v>
      </c>
      <c r="AE173" s="96">
        <f t="shared" si="50"/>
        <v>135</v>
      </c>
      <c r="AF173" s="97">
        <f>IFERROR(VLOOKUP(AE173,[1]Cálculos_PRICE!$A$32:$K$212,10,0),"")</f>
        <v>16248.104737692604</v>
      </c>
      <c r="AG173" s="97">
        <f ca="1">IFERROR(VLOOKUP(AE173,Cálculos_Aquisição_SAC_Fixa!A171:K444,10,0),"")</f>
        <v>1125.8816666666669</v>
      </c>
      <c r="AH173" s="97">
        <f>IFERROR(VLOOKUP(AE173,[1]Cálculos_PRICE!$A$32:$K$212,6,0),"")</f>
        <v>8118.9803875374346</v>
      </c>
      <c r="AI173" s="97">
        <f>IFERROR(VLOOKUP(AE173,Cálculos_Aquisição_SAC_Fixa!A171:K444,6,0),"")</f>
        <v>694.44444444444446</v>
      </c>
      <c r="AJ173" s="97">
        <f>IFERROR(VLOOKUP(AE173,[1]Cálculos_PRICE!$A$32:$K$240,11,0),"")</f>
        <v>524229.68671851471</v>
      </c>
      <c r="AK173" s="97">
        <f>IFERROR(VLOOKUP(AE173,Cálculos_Aquisição_SAC_Fixa!A171:K444,11,0),"")</f>
        <v>31250.000000000509</v>
      </c>
      <c r="AW173" s="132"/>
    </row>
    <row r="174" spans="1:49" ht="15.5" x14ac:dyDescent="0.35">
      <c r="A174" s="98">
        <f t="shared" si="47"/>
        <v>137</v>
      </c>
      <c r="B174" s="99">
        <f t="shared" ca="1" si="40"/>
        <v>50226</v>
      </c>
      <c r="C174" s="100">
        <f t="shared" si="41"/>
        <v>30555.555555556064</v>
      </c>
      <c r="D174" s="100">
        <f t="shared" si="42"/>
        <v>394.17</v>
      </c>
      <c r="E174" s="100">
        <f t="shared" si="43"/>
        <v>30949.725555556062</v>
      </c>
      <c r="F174" s="100">
        <f t="shared" si="36"/>
        <v>694.44444444444446</v>
      </c>
      <c r="G174" s="100">
        <f t="shared" si="44"/>
        <v>1088.6144444444444</v>
      </c>
      <c r="H174" s="100">
        <f t="shared" ca="1" si="37"/>
        <v>7.0277777777778949</v>
      </c>
      <c r="I174" s="100">
        <f t="shared" si="38"/>
        <v>12.000000000000002</v>
      </c>
      <c r="J174" s="100">
        <f t="shared" ca="1" si="39"/>
        <v>1107.6422222222222</v>
      </c>
      <c r="K174" s="101">
        <f t="shared" si="45"/>
        <v>29861.111111111619</v>
      </c>
      <c r="O174" s="118">
        <f t="shared" si="35"/>
        <v>20.833333333333332</v>
      </c>
      <c r="P174" s="119">
        <f t="shared" ca="1" si="51"/>
        <v>31</v>
      </c>
      <c r="Q174" s="120">
        <v>365</v>
      </c>
      <c r="AA174" s="96">
        <f t="shared" si="48"/>
        <v>136</v>
      </c>
      <c r="AB174" s="97">
        <f t="shared" si="46"/>
        <v>16246.299076454414</v>
      </c>
      <c r="AC174" s="97">
        <f t="shared" ca="1" si="49"/>
        <v>1116.7619444444447</v>
      </c>
      <c r="AE174" s="96">
        <f t="shared" si="50"/>
        <v>136</v>
      </c>
      <c r="AF174" s="97">
        <f>IFERROR(VLOOKUP(AE174,[1]Cálculos_PRICE!$A$32:$K$212,10,0),"")</f>
        <v>16246.299076454414</v>
      </c>
      <c r="AG174" s="97">
        <f ca="1">IFERROR(VLOOKUP(AE174,Cálculos_Aquisição_SAC_Fixa!A172:K445,10,0),"")</f>
        <v>1116.7619444444447</v>
      </c>
      <c r="AH174" s="97">
        <f>IFERROR(VLOOKUP(AE174,[1]Cálculos_PRICE!$A$32:$K$212,6,0),"")</f>
        <v>8240.7650933504956</v>
      </c>
      <c r="AI174" s="97">
        <f>IFERROR(VLOOKUP(AE174,Cálculos_Aquisição_SAC_Fixa!A172:K445,6,0),"")</f>
        <v>694.44444444444446</v>
      </c>
      <c r="AJ174" s="97">
        <f>IFERROR(VLOOKUP(AE174,[1]Cálculos_PRICE!$A$32:$K$240,11,0),"")</f>
        <v>515988.92162516422</v>
      </c>
      <c r="AK174" s="97">
        <f>IFERROR(VLOOKUP(AE174,Cálculos_Aquisição_SAC_Fixa!A172:K445,11,0),"")</f>
        <v>30555.555555556064</v>
      </c>
      <c r="AW174" s="132"/>
    </row>
    <row r="175" spans="1:49" ht="15.5" x14ac:dyDescent="0.35">
      <c r="A175" s="98">
        <f t="shared" si="47"/>
        <v>138</v>
      </c>
      <c r="B175" s="99">
        <f t="shared" ca="1" si="40"/>
        <v>50257</v>
      </c>
      <c r="C175" s="100">
        <f t="shared" si="41"/>
        <v>29861.111111111619</v>
      </c>
      <c r="D175" s="100">
        <f t="shared" si="42"/>
        <v>385.21</v>
      </c>
      <c r="E175" s="100">
        <f t="shared" si="43"/>
        <v>30246.321111111618</v>
      </c>
      <c r="F175" s="100">
        <f t="shared" si="36"/>
        <v>694.44444444444446</v>
      </c>
      <c r="G175" s="100">
        <f t="shared" si="44"/>
        <v>1079.6544444444444</v>
      </c>
      <c r="H175" s="100">
        <f t="shared" ca="1" si="37"/>
        <v>6.8680555555556726</v>
      </c>
      <c r="I175" s="100">
        <f t="shared" si="38"/>
        <v>12.000000000000002</v>
      </c>
      <c r="J175" s="100">
        <f t="shared" ca="1" si="39"/>
        <v>1098.5225</v>
      </c>
      <c r="K175" s="101">
        <f t="shared" si="45"/>
        <v>29166.666666667174</v>
      </c>
      <c r="O175" s="118">
        <f t="shared" si="35"/>
        <v>20.833333333333332</v>
      </c>
      <c r="P175" s="119">
        <f t="shared" ca="1" si="51"/>
        <v>28</v>
      </c>
      <c r="Q175" s="120">
        <v>365</v>
      </c>
      <c r="AA175" s="96">
        <f t="shared" si="48"/>
        <v>137</v>
      </c>
      <c r="AB175" s="97">
        <f t="shared" si="46"/>
        <v>16244.466330297653</v>
      </c>
      <c r="AC175" s="97">
        <f t="shared" ca="1" si="49"/>
        <v>1107.6422222222222</v>
      </c>
      <c r="AE175" s="96">
        <f t="shared" si="50"/>
        <v>137</v>
      </c>
      <c r="AF175" s="97">
        <f>IFERROR(VLOOKUP(AE175,[1]Cálculos_PRICE!$A$32:$K$212,10,0),"")</f>
        <v>16244.466330297653</v>
      </c>
      <c r="AG175" s="97">
        <f ca="1">IFERROR(VLOOKUP(AE175,Cálculos_Aquisição_SAC_Fixa!A173:K446,10,0),"")</f>
        <v>1107.6422222222222</v>
      </c>
      <c r="AH175" s="97">
        <f>IFERROR(VLOOKUP(AE175,[1]Cálculos_PRICE!$A$32:$K$212,6,0),"")</f>
        <v>8364.3765697507533</v>
      </c>
      <c r="AI175" s="97">
        <f>IFERROR(VLOOKUP(AE175,Cálculos_Aquisição_SAC_Fixa!A173:K446,6,0),"")</f>
        <v>694.44444444444446</v>
      </c>
      <c r="AJ175" s="97">
        <f>IFERROR(VLOOKUP(AE175,[1]Cálculos_PRICE!$A$32:$K$240,11,0),"")</f>
        <v>507624.54505541344</v>
      </c>
      <c r="AK175" s="97">
        <f>IFERROR(VLOOKUP(AE175,Cálculos_Aquisição_SAC_Fixa!A173:K446,11,0),"")</f>
        <v>29861.111111111619</v>
      </c>
      <c r="AW175" s="132"/>
    </row>
    <row r="176" spans="1:49" ht="15.5" x14ac:dyDescent="0.35">
      <c r="A176" s="98">
        <f t="shared" si="47"/>
        <v>139</v>
      </c>
      <c r="B176" s="99">
        <f t="shared" ca="1" si="40"/>
        <v>50288</v>
      </c>
      <c r="C176" s="100">
        <f t="shared" si="41"/>
        <v>29166.666666667174</v>
      </c>
      <c r="D176" s="100">
        <f t="shared" si="42"/>
        <v>376.26</v>
      </c>
      <c r="E176" s="100">
        <f t="shared" si="43"/>
        <v>29542.926666667172</v>
      </c>
      <c r="F176" s="100">
        <f t="shared" si="36"/>
        <v>694.44444444444446</v>
      </c>
      <c r="G176" s="100">
        <f t="shared" si="44"/>
        <v>1070.7044444444446</v>
      </c>
      <c r="H176" s="100">
        <f t="shared" ca="1" si="37"/>
        <v>6.7083333333334503</v>
      </c>
      <c r="I176" s="100">
        <f t="shared" si="38"/>
        <v>12.000000000000002</v>
      </c>
      <c r="J176" s="100">
        <f t="shared" ca="1" si="39"/>
        <v>1089.412777777778</v>
      </c>
      <c r="K176" s="101">
        <f t="shared" si="45"/>
        <v>28472.222222222728</v>
      </c>
      <c r="O176" s="118">
        <f t="shared" si="35"/>
        <v>20.833333333333332</v>
      </c>
      <c r="P176" s="119">
        <f t="shared" ca="1" si="51"/>
        <v>31</v>
      </c>
      <c r="Q176" s="120">
        <v>365</v>
      </c>
      <c r="AA176" s="96">
        <f t="shared" si="48"/>
        <v>138</v>
      </c>
      <c r="AB176" s="97">
        <f t="shared" si="46"/>
        <v>16242.606092948541</v>
      </c>
      <c r="AC176" s="97">
        <f t="shared" ca="1" si="49"/>
        <v>1098.5225</v>
      </c>
      <c r="AE176" s="96">
        <f t="shared" si="50"/>
        <v>138</v>
      </c>
      <c r="AF176" s="97">
        <f>IFERROR(VLOOKUP(AE176,[1]Cálculos_PRICE!$A$32:$K$212,10,0),"")</f>
        <v>16242.606092948541</v>
      </c>
      <c r="AG176" s="97">
        <f ca="1">IFERROR(VLOOKUP(AE176,Cálculos_Aquisição_SAC_Fixa!A174:K447,10,0),"")</f>
        <v>1098.5225</v>
      </c>
      <c r="AH176" s="97">
        <f>IFERROR(VLOOKUP(AE176,[1]Cálculos_PRICE!$A$32:$K$212,6,0),"")</f>
        <v>8489.8422182970153</v>
      </c>
      <c r="AI176" s="97">
        <f>IFERROR(VLOOKUP(AE176,Cálculos_Aquisição_SAC_Fixa!A174:K447,6,0),"")</f>
        <v>694.44444444444446</v>
      </c>
      <c r="AJ176" s="97">
        <f>IFERROR(VLOOKUP(AE176,[1]Cálculos_PRICE!$A$32:$K$240,11,0),"")</f>
        <v>499134.70283711643</v>
      </c>
      <c r="AK176" s="97">
        <f>IFERROR(VLOOKUP(AE176,Cálculos_Aquisição_SAC_Fixa!A174:K447,11,0),"")</f>
        <v>29166.666666667174</v>
      </c>
      <c r="AW176" s="132"/>
    </row>
    <row r="177" spans="1:49" ht="15.5" x14ac:dyDescent="0.35">
      <c r="A177" s="98">
        <f t="shared" si="47"/>
        <v>140</v>
      </c>
      <c r="B177" s="99">
        <f t="shared" ca="1" si="40"/>
        <v>50318</v>
      </c>
      <c r="C177" s="100">
        <f t="shared" si="41"/>
        <v>28472.222222222728</v>
      </c>
      <c r="D177" s="100">
        <f t="shared" si="42"/>
        <v>367.3</v>
      </c>
      <c r="E177" s="100">
        <f t="shared" si="43"/>
        <v>28839.522222222728</v>
      </c>
      <c r="F177" s="100">
        <f t="shared" si="36"/>
        <v>694.44444444444446</v>
      </c>
      <c r="G177" s="100">
        <f t="shared" si="44"/>
        <v>1061.7444444444445</v>
      </c>
      <c r="H177" s="100">
        <f t="shared" ca="1" si="37"/>
        <v>6.548611111111228</v>
      </c>
      <c r="I177" s="100">
        <f t="shared" si="38"/>
        <v>12.000000000000002</v>
      </c>
      <c r="J177" s="100">
        <f t="shared" ca="1" si="39"/>
        <v>1080.2930555555558</v>
      </c>
      <c r="K177" s="101">
        <f t="shared" si="45"/>
        <v>27777.777777778283</v>
      </c>
      <c r="O177" s="118">
        <f t="shared" si="35"/>
        <v>20.833333333333332</v>
      </c>
      <c r="P177" s="119">
        <f t="shared" ca="1" si="51"/>
        <v>30</v>
      </c>
      <c r="Q177" s="120">
        <v>365</v>
      </c>
      <c r="AA177" s="96">
        <f t="shared" si="48"/>
        <v>139</v>
      </c>
      <c r="AB177" s="97">
        <f t="shared" si="46"/>
        <v>16240.717952039191</v>
      </c>
      <c r="AC177" s="97">
        <f t="shared" ca="1" si="49"/>
        <v>1089.412777777778</v>
      </c>
      <c r="AE177" s="96">
        <f t="shared" si="50"/>
        <v>139</v>
      </c>
      <c r="AF177" s="97">
        <f>IFERROR(VLOOKUP(AE177,[1]Cálculos_PRICE!$A$32:$K$212,10,0),"")</f>
        <v>16240.717952039191</v>
      </c>
      <c r="AG177" s="97">
        <f ca="1">IFERROR(VLOOKUP(AE177,Cálculos_Aquisição_SAC_Fixa!A175:K448,10,0),"")</f>
        <v>1089.412777777778</v>
      </c>
      <c r="AH177" s="97">
        <f>IFERROR(VLOOKUP(AE177,[1]Cálculos_PRICE!$A$32:$K$212,6,0),"")</f>
        <v>8617.1898515714711</v>
      </c>
      <c r="AI177" s="97">
        <f>IFERROR(VLOOKUP(AE177,Cálculos_Aquisição_SAC_Fixa!A175:K448,6,0),"")</f>
        <v>694.44444444444446</v>
      </c>
      <c r="AJ177" s="97">
        <f>IFERROR(VLOOKUP(AE177,[1]Cálculos_PRICE!$A$32:$K$240,11,0),"")</f>
        <v>490517.51298554498</v>
      </c>
      <c r="AK177" s="97">
        <f>IFERROR(VLOOKUP(AE177,Cálculos_Aquisição_SAC_Fixa!A175:K448,11,0),"")</f>
        <v>28472.222222222728</v>
      </c>
      <c r="AW177" s="132"/>
    </row>
    <row r="178" spans="1:49" ht="15.5" x14ac:dyDescent="0.35">
      <c r="A178" s="98">
        <f t="shared" si="47"/>
        <v>141</v>
      </c>
      <c r="B178" s="99">
        <f t="shared" ca="1" si="40"/>
        <v>50349</v>
      </c>
      <c r="C178" s="100">
        <f t="shared" si="41"/>
        <v>27777.777777778283</v>
      </c>
      <c r="D178" s="100">
        <f t="shared" si="42"/>
        <v>358.34</v>
      </c>
      <c r="E178" s="100">
        <f t="shared" si="43"/>
        <v>28136.117777778283</v>
      </c>
      <c r="F178" s="100">
        <f t="shared" si="36"/>
        <v>694.44444444444446</v>
      </c>
      <c r="G178" s="100">
        <f t="shared" si="44"/>
        <v>1052.7844444444445</v>
      </c>
      <c r="H178" s="100">
        <f t="shared" ca="1" si="37"/>
        <v>6.3888888888890056</v>
      </c>
      <c r="I178" s="100">
        <f t="shared" si="38"/>
        <v>12.000000000000002</v>
      </c>
      <c r="J178" s="100">
        <f t="shared" ca="1" si="39"/>
        <v>1071.1733333333334</v>
      </c>
      <c r="K178" s="101">
        <f t="shared" si="45"/>
        <v>27083.333333333838</v>
      </c>
      <c r="O178" s="118">
        <f t="shared" si="35"/>
        <v>20.833333333333332</v>
      </c>
      <c r="P178" s="119">
        <f t="shared" ca="1" si="51"/>
        <v>31</v>
      </c>
      <c r="Q178" s="120">
        <v>365</v>
      </c>
      <c r="AA178" s="96">
        <f t="shared" si="48"/>
        <v>140</v>
      </c>
      <c r="AB178" s="97">
        <f t="shared" si="46"/>
        <v>16238.801489016201</v>
      </c>
      <c r="AC178" s="97">
        <f t="shared" ca="1" si="49"/>
        <v>1080.2930555555558</v>
      </c>
      <c r="AE178" s="96">
        <f t="shared" si="50"/>
        <v>140</v>
      </c>
      <c r="AF178" s="97">
        <f>IFERROR(VLOOKUP(AE178,[1]Cálculos_PRICE!$A$32:$K$212,10,0),"")</f>
        <v>16238.801489016201</v>
      </c>
      <c r="AG178" s="97">
        <f ca="1">IFERROR(VLOOKUP(AE178,Cálculos_Aquisição_SAC_Fixa!A176:K449,10,0),"")</f>
        <v>1080.2930555555558</v>
      </c>
      <c r="AH178" s="97">
        <f>IFERROR(VLOOKUP(AE178,[1]Cálculos_PRICE!$A$32:$K$212,6,0),"")</f>
        <v>8746.4476993450426</v>
      </c>
      <c r="AI178" s="97">
        <f>IFERROR(VLOOKUP(AE178,Cálculos_Aquisição_SAC_Fixa!A176:K449,6,0),"")</f>
        <v>694.44444444444446</v>
      </c>
      <c r="AJ178" s="97">
        <f>IFERROR(VLOOKUP(AE178,[1]Cálculos_PRICE!$A$32:$K$240,11,0),"")</f>
        <v>481771.06528619991</v>
      </c>
      <c r="AK178" s="97">
        <f>IFERROR(VLOOKUP(AE178,Cálculos_Aquisição_SAC_Fixa!A176:K449,11,0),"")</f>
        <v>27777.777777778283</v>
      </c>
      <c r="AW178" s="132"/>
    </row>
    <row r="179" spans="1:49" ht="15.5" x14ac:dyDescent="0.35">
      <c r="A179" s="98">
        <f t="shared" si="47"/>
        <v>142</v>
      </c>
      <c r="B179" s="99">
        <f t="shared" ca="1" si="40"/>
        <v>50379</v>
      </c>
      <c r="C179" s="100">
        <f t="shared" si="41"/>
        <v>27083.333333333838</v>
      </c>
      <c r="D179" s="100">
        <f t="shared" si="42"/>
        <v>349.38</v>
      </c>
      <c r="E179" s="100">
        <f t="shared" si="43"/>
        <v>27432.713333333839</v>
      </c>
      <c r="F179" s="100">
        <f t="shared" si="36"/>
        <v>694.44444444444446</v>
      </c>
      <c r="G179" s="100">
        <f t="shared" si="44"/>
        <v>1043.8244444444445</v>
      </c>
      <c r="H179" s="100">
        <f t="shared" ca="1" si="37"/>
        <v>6.2291666666667833</v>
      </c>
      <c r="I179" s="100">
        <f t="shared" si="38"/>
        <v>12.000000000000002</v>
      </c>
      <c r="J179" s="100">
        <f t="shared" ca="1" si="39"/>
        <v>1062.0536111111112</v>
      </c>
      <c r="K179" s="101">
        <f t="shared" si="45"/>
        <v>26388.888888889393</v>
      </c>
      <c r="O179" s="118">
        <f t="shared" si="35"/>
        <v>20.833333333333332</v>
      </c>
      <c r="P179" s="119">
        <f t="shared" ca="1" si="51"/>
        <v>30</v>
      </c>
      <c r="Q179" s="120">
        <v>365</v>
      </c>
      <c r="AA179" s="96">
        <f t="shared" si="48"/>
        <v>141</v>
      </c>
      <c r="AB179" s="97">
        <f t="shared" si="46"/>
        <v>16236.856279047868</v>
      </c>
      <c r="AC179" s="97">
        <f t="shared" ca="1" si="49"/>
        <v>1071.1733333333334</v>
      </c>
      <c r="AE179" s="96">
        <f t="shared" si="50"/>
        <v>141</v>
      </c>
      <c r="AF179" s="97">
        <f>IFERROR(VLOOKUP(AE179,[1]Cálculos_PRICE!$A$32:$K$212,10,0),"")</f>
        <v>16236.856279047868</v>
      </c>
      <c r="AG179" s="97">
        <f ca="1">IFERROR(VLOOKUP(AE179,Cálculos_Aquisição_SAC_Fixa!A177:K450,10,0),"")</f>
        <v>1071.1733333333334</v>
      </c>
      <c r="AH179" s="97">
        <f>IFERROR(VLOOKUP(AE179,[1]Cálculos_PRICE!$A$32:$K$212,6,0),"")</f>
        <v>8877.6444148352184</v>
      </c>
      <c r="AI179" s="97">
        <f>IFERROR(VLOOKUP(AE179,Cálculos_Aquisição_SAC_Fixa!A177:K450,6,0),"")</f>
        <v>694.44444444444446</v>
      </c>
      <c r="AJ179" s="97">
        <f>IFERROR(VLOOKUP(AE179,[1]Cálculos_PRICE!$A$32:$K$240,11,0),"")</f>
        <v>472893.42087136471</v>
      </c>
      <c r="AK179" s="97">
        <f>IFERROR(VLOOKUP(AE179,Cálculos_Aquisição_SAC_Fixa!A177:K450,11,0),"")</f>
        <v>27083.333333333838</v>
      </c>
      <c r="AW179" s="132"/>
    </row>
    <row r="180" spans="1:49" ht="15.5" x14ac:dyDescent="0.35">
      <c r="A180" s="98">
        <f t="shared" si="47"/>
        <v>143</v>
      </c>
      <c r="B180" s="99">
        <f t="shared" ca="1" si="40"/>
        <v>50410</v>
      </c>
      <c r="C180" s="100">
        <f t="shared" si="41"/>
        <v>26388.888888889393</v>
      </c>
      <c r="D180" s="100">
        <f t="shared" si="42"/>
        <v>340.42</v>
      </c>
      <c r="E180" s="100">
        <f t="shared" si="43"/>
        <v>26729.308888889391</v>
      </c>
      <c r="F180" s="100">
        <f t="shared" si="36"/>
        <v>694.44444444444446</v>
      </c>
      <c r="G180" s="100">
        <f t="shared" si="44"/>
        <v>1034.8644444444444</v>
      </c>
      <c r="H180" s="100">
        <f t="shared" ca="1" si="37"/>
        <v>6.0694444444445601</v>
      </c>
      <c r="I180" s="100">
        <f t="shared" si="38"/>
        <v>12.000000000000002</v>
      </c>
      <c r="J180" s="100">
        <f t="shared" ca="1" si="39"/>
        <v>1052.933888888889</v>
      </c>
      <c r="K180" s="101">
        <f t="shared" si="45"/>
        <v>25694.444444444947</v>
      </c>
      <c r="O180" s="118">
        <f t="shared" si="35"/>
        <v>20.833333333333332</v>
      </c>
      <c r="P180" s="119">
        <f t="shared" ca="1" si="51"/>
        <v>31</v>
      </c>
      <c r="Q180" s="120">
        <v>365</v>
      </c>
      <c r="AA180" s="96">
        <f t="shared" si="48"/>
        <v>142</v>
      </c>
      <c r="AB180" s="97">
        <f t="shared" si="46"/>
        <v>16234.881890930008</v>
      </c>
      <c r="AC180" s="97">
        <f t="shared" ca="1" si="49"/>
        <v>1062.0536111111112</v>
      </c>
      <c r="AE180" s="96">
        <f t="shared" si="50"/>
        <v>142</v>
      </c>
      <c r="AF180" s="97">
        <f>IFERROR(VLOOKUP(AE180,[1]Cálculos_PRICE!$A$32:$K$212,10,0),"")</f>
        <v>16234.881890930008</v>
      </c>
      <c r="AG180" s="97">
        <f ca="1">IFERROR(VLOOKUP(AE180,Cálculos_Aquisição_SAC_Fixa!A178:K451,10,0),"")</f>
        <v>1062.0536111111112</v>
      </c>
      <c r="AH180" s="97">
        <f>IFERROR(VLOOKUP(AE180,[1]Cálculos_PRICE!$A$32:$K$212,6,0),"")</f>
        <v>9010.8090810577451</v>
      </c>
      <c r="AI180" s="97">
        <f>IFERROR(VLOOKUP(AE180,Cálculos_Aquisição_SAC_Fixa!A178:K451,6,0),"")</f>
        <v>694.44444444444446</v>
      </c>
      <c r="AJ180" s="97">
        <f>IFERROR(VLOOKUP(AE180,[1]Cálculos_PRICE!$A$32:$K$240,11,0),"")</f>
        <v>463882.61179030698</v>
      </c>
      <c r="AK180" s="97">
        <f>IFERROR(VLOOKUP(AE180,Cálculos_Aquisição_SAC_Fixa!A178:K451,11,0),"")</f>
        <v>26388.888888889393</v>
      </c>
      <c r="AW180" s="132"/>
    </row>
    <row r="181" spans="1:49" ht="15.5" x14ac:dyDescent="0.35">
      <c r="A181" s="98">
        <f t="shared" si="47"/>
        <v>144</v>
      </c>
      <c r="B181" s="99">
        <f t="shared" ca="1" si="40"/>
        <v>50441</v>
      </c>
      <c r="C181" s="100">
        <f t="shared" si="41"/>
        <v>25694.444444444947</v>
      </c>
      <c r="D181" s="100">
        <f t="shared" si="42"/>
        <v>331.46</v>
      </c>
      <c r="E181" s="100">
        <f t="shared" si="43"/>
        <v>26025.904444444946</v>
      </c>
      <c r="F181" s="100">
        <f t="shared" si="36"/>
        <v>694.44444444444446</v>
      </c>
      <c r="G181" s="100">
        <f t="shared" si="44"/>
        <v>1025.9044444444444</v>
      </c>
      <c r="H181" s="100">
        <f t="shared" ca="1" si="37"/>
        <v>5.9097222222223378</v>
      </c>
      <c r="I181" s="100">
        <f t="shared" si="38"/>
        <v>12.000000000000002</v>
      </c>
      <c r="J181" s="100">
        <f t="shared" ca="1" si="39"/>
        <v>1043.8141666666668</v>
      </c>
      <c r="K181" s="101">
        <f t="shared" si="45"/>
        <v>25000.000000000502</v>
      </c>
      <c r="O181" s="118">
        <f t="shared" si="35"/>
        <v>20.833333333333332</v>
      </c>
      <c r="P181" s="119">
        <f t="shared" ca="1" si="51"/>
        <v>31</v>
      </c>
      <c r="Q181" s="120">
        <v>365</v>
      </c>
      <c r="AA181" s="96">
        <f t="shared" si="48"/>
        <v>143</v>
      </c>
      <c r="AB181" s="97">
        <f t="shared" si="46"/>
        <v>16232.877886990382</v>
      </c>
      <c r="AC181" s="97">
        <f t="shared" ca="1" si="49"/>
        <v>1052.933888888889</v>
      </c>
      <c r="AE181" s="96">
        <f t="shared" si="50"/>
        <v>143</v>
      </c>
      <c r="AF181" s="97">
        <f>IFERROR(VLOOKUP(AE181,[1]Cálculos_PRICE!$A$32:$K$212,10,0),"")</f>
        <v>16232.877886990382</v>
      </c>
      <c r="AG181" s="97">
        <f ca="1">IFERROR(VLOOKUP(AE181,Cálculos_Aquisição_SAC_Fixa!A179:K452,10,0),"")</f>
        <v>1052.933888888889</v>
      </c>
      <c r="AH181" s="97">
        <f>IFERROR(VLOOKUP(AE181,[1]Cálculos_PRICE!$A$32:$K$212,6,0),"")</f>
        <v>9145.9712172736108</v>
      </c>
      <c r="AI181" s="97">
        <f>IFERROR(VLOOKUP(AE181,Cálculos_Aquisição_SAC_Fixa!A179:K452,6,0),"")</f>
        <v>694.44444444444446</v>
      </c>
      <c r="AJ181" s="97">
        <f>IFERROR(VLOOKUP(AE181,[1]Cálculos_PRICE!$A$32:$K$240,11,0),"")</f>
        <v>454736.64057303336</v>
      </c>
      <c r="AK181" s="97">
        <f>IFERROR(VLOOKUP(AE181,Cálculos_Aquisição_SAC_Fixa!A179:K452,11,0),"")</f>
        <v>25694.444444444947</v>
      </c>
      <c r="AW181" s="132"/>
    </row>
    <row r="182" spans="1:49" ht="15.5" x14ac:dyDescent="0.35">
      <c r="A182" s="98">
        <f t="shared" si="47"/>
        <v>145</v>
      </c>
      <c r="B182" s="99">
        <f t="shared" ca="1" si="40"/>
        <v>50469</v>
      </c>
      <c r="C182" s="100">
        <f t="shared" si="41"/>
        <v>25000.000000000502</v>
      </c>
      <c r="D182" s="100">
        <f t="shared" si="42"/>
        <v>322.51</v>
      </c>
      <c r="E182" s="100">
        <f t="shared" si="43"/>
        <v>25322.5100000005</v>
      </c>
      <c r="F182" s="100">
        <f t="shared" si="36"/>
        <v>694.44444444444446</v>
      </c>
      <c r="G182" s="100">
        <f t="shared" si="44"/>
        <v>1016.9544444444444</v>
      </c>
      <c r="H182" s="100">
        <f t="shared" ca="1" si="37"/>
        <v>5.7500000000001155</v>
      </c>
      <c r="I182" s="100">
        <f t="shared" si="38"/>
        <v>12.000000000000002</v>
      </c>
      <c r="J182" s="100">
        <f t="shared" ca="1" si="39"/>
        <v>1034.7044444444446</v>
      </c>
      <c r="K182" s="101">
        <f t="shared" si="45"/>
        <v>24305.555555556057</v>
      </c>
      <c r="O182" s="118">
        <f t="shared" si="35"/>
        <v>20.833333333333332</v>
      </c>
      <c r="P182" s="119">
        <f t="shared" ca="1" si="51"/>
        <v>30</v>
      </c>
      <c r="Q182" s="120">
        <v>365</v>
      </c>
      <c r="AA182" s="96">
        <f t="shared" si="48"/>
        <v>144</v>
      </c>
      <c r="AB182" s="97">
        <f t="shared" si="46"/>
        <v>16230.843822991659</v>
      </c>
      <c r="AC182" s="97">
        <f t="shared" ca="1" si="49"/>
        <v>1043.8141666666668</v>
      </c>
      <c r="AE182" s="96">
        <f t="shared" si="50"/>
        <v>144</v>
      </c>
      <c r="AF182" s="97">
        <f>IFERROR(VLOOKUP(AE182,[1]Cálculos_PRICE!$A$32:$K$212,10,0),"")</f>
        <v>16230.843822991659</v>
      </c>
      <c r="AG182" s="97">
        <f ca="1">IFERROR(VLOOKUP(AE182,Cálculos_Aquisição_SAC_Fixa!A180:K453,10,0),"")</f>
        <v>1043.8141666666668</v>
      </c>
      <c r="AH182" s="97">
        <f>IFERROR(VLOOKUP(AE182,[1]Cálculos_PRICE!$A$32:$K$212,6,0),"")</f>
        <v>9283.1607855327165</v>
      </c>
      <c r="AI182" s="97">
        <f>IFERROR(VLOOKUP(AE182,Cálculos_Aquisição_SAC_Fixa!A180:K453,6,0),"")</f>
        <v>694.44444444444446</v>
      </c>
      <c r="AJ182" s="97">
        <f>IFERROR(VLOOKUP(AE182,[1]Cálculos_PRICE!$A$32:$K$240,11,0),"")</f>
        <v>445453.47978750063</v>
      </c>
      <c r="AK182" s="97">
        <f>IFERROR(VLOOKUP(AE182,Cálculos_Aquisição_SAC_Fixa!A180:K453,11,0),"")</f>
        <v>25000.000000000502</v>
      </c>
      <c r="AW182" s="132"/>
    </row>
    <row r="183" spans="1:49" ht="15.5" x14ac:dyDescent="0.35">
      <c r="A183" s="98">
        <f t="shared" si="47"/>
        <v>146</v>
      </c>
      <c r="B183" s="99">
        <f t="shared" ca="1" si="40"/>
        <v>50500</v>
      </c>
      <c r="C183" s="100">
        <f t="shared" si="41"/>
        <v>24305.555555556057</v>
      </c>
      <c r="D183" s="100">
        <f t="shared" si="42"/>
        <v>313.55</v>
      </c>
      <c r="E183" s="100">
        <f t="shared" si="43"/>
        <v>24619.105555556056</v>
      </c>
      <c r="F183" s="100">
        <f t="shared" si="36"/>
        <v>694.44444444444446</v>
      </c>
      <c r="G183" s="100">
        <f t="shared" si="44"/>
        <v>1007.9944444444445</v>
      </c>
      <c r="H183" s="100">
        <f t="shared" ca="1" si="37"/>
        <v>5.5902777777778931</v>
      </c>
      <c r="I183" s="100">
        <f t="shared" si="38"/>
        <v>12.000000000000002</v>
      </c>
      <c r="J183" s="100">
        <f t="shared" ca="1" si="39"/>
        <v>1025.5847222222224</v>
      </c>
      <c r="K183" s="101">
        <f t="shared" si="45"/>
        <v>23611.111111111612</v>
      </c>
      <c r="O183" s="118">
        <f t="shared" ref="O183:O246" si="52">IFERROR(F178*$O$39,0)</f>
        <v>20.833333333333332</v>
      </c>
      <c r="P183" s="119">
        <f t="shared" ca="1" si="51"/>
        <v>31</v>
      </c>
      <c r="Q183" s="120">
        <v>365</v>
      </c>
      <c r="AA183" s="96">
        <f t="shared" si="48"/>
        <v>145</v>
      </c>
      <c r="AB183" s="97">
        <f t="shared" si="46"/>
        <v>16228.779248032957</v>
      </c>
      <c r="AC183" s="97">
        <f t="shared" ca="1" si="49"/>
        <v>1034.7044444444446</v>
      </c>
      <c r="AE183" s="96">
        <f t="shared" si="50"/>
        <v>145</v>
      </c>
      <c r="AF183" s="97">
        <f>IFERROR(VLOOKUP(AE183,[1]Cálculos_PRICE!$A$32:$K$212,10,0),"")</f>
        <v>16228.779248032957</v>
      </c>
      <c r="AG183" s="97">
        <f ca="1">IFERROR(VLOOKUP(AE183,Cálculos_Aquisição_SAC_Fixa!A181:K454,10,0),"")</f>
        <v>1034.7044444444446</v>
      </c>
      <c r="AH183" s="97">
        <f>IFERROR(VLOOKUP(AE183,[1]Cálculos_PRICE!$A$32:$K$212,6,0),"")</f>
        <v>9422.4081973157081</v>
      </c>
      <c r="AI183" s="97">
        <f>IFERROR(VLOOKUP(AE183,Cálculos_Aquisição_SAC_Fixa!A181:K454,6,0),"")</f>
        <v>694.44444444444446</v>
      </c>
      <c r="AJ183" s="97">
        <f>IFERROR(VLOOKUP(AE183,[1]Cálculos_PRICE!$A$32:$K$240,11,0),"")</f>
        <v>436031.07159018493</v>
      </c>
      <c r="AK183" s="97">
        <f>IFERROR(VLOOKUP(AE183,Cálculos_Aquisição_SAC_Fixa!A181:K454,11,0),"")</f>
        <v>24305.555555556057</v>
      </c>
      <c r="AW183" s="132"/>
    </row>
    <row r="184" spans="1:49" ht="15.5" x14ac:dyDescent="0.35">
      <c r="A184" s="98">
        <f t="shared" si="47"/>
        <v>147</v>
      </c>
      <c r="B184" s="99">
        <f t="shared" ca="1" si="40"/>
        <v>50530</v>
      </c>
      <c r="C184" s="100">
        <f t="shared" si="41"/>
        <v>23611.111111111612</v>
      </c>
      <c r="D184" s="100">
        <f t="shared" si="42"/>
        <v>304.58999999999997</v>
      </c>
      <c r="E184" s="100">
        <f t="shared" si="43"/>
        <v>23915.701111111612</v>
      </c>
      <c r="F184" s="100">
        <f t="shared" si="36"/>
        <v>694.44444444444446</v>
      </c>
      <c r="G184" s="100">
        <f t="shared" si="44"/>
        <v>999.03444444444449</v>
      </c>
      <c r="H184" s="100">
        <f t="shared" ca="1" si="37"/>
        <v>5.4305555555556708</v>
      </c>
      <c r="I184" s="100">
        <f t="shared" si="38"/>
        <v>12.000000000000002</v>
      </c>
      <c r="J184" s="100">
        <f t="shared" ca="1" si="39"/>
        <v>1016.4650000000001</v>
      </c>
      <c r="K184" s="101">
        <f t="shared" si="45"/>
        <v>22916.666666667166</v>
      </c>
      <c r="O184" s="118">
        <f t="shared" si="52"/>
        <v>20.833333333333332</v>
      </c>
      <c r="P184" s="119">
        <f t="shared" ca="1" si="51"/>
        <v>30</v>
      </c>
      <c r="Q184" s="120">
        <v>365</v>
      </c>
      <c r="AA184" s="96">
        <f t="shared" si="48"/>
        <v>146</v>
      </c>
      <c r="AB184" s="97">
        <f t="shared" si="46"/>
        <v>16226.683704449873</v>
      </c>
      <c r="AC184" s="97">
        <f t="shared" ca="1" si="49"/>
        <v>1025.5847222222224</v>
      </c>
      <c r="AE184" s="96">
        <f t="shared" si="50"/>
        <v>146</v>
      </c>
      <c r="AF184" s="97">
        <f>IFERROR(VLOOKUP(AE184,[1]Cálculos_PRICE!$A$32:$K$212,10,0),"")</f>
        <v>16226.683704449873</v>
      </c>
      <c r="AG184" s="97">
        <f ca="1">IFERROR(VLOOKUP(AE184,Cálculos_Aquisição_SAC_Fixa!A182:K455,10,0),"")</f>
        <v>1025.5847222222224</v>
      </c>
      <c r="AH184" s="97">
        <f>IFERROR(VLOOKUP(AE184,[1]Cálculos_PRICE!$A$32:$K$212,6,0),"")</f>
        <v>9563.7443202754439</v>
      </c>
      <c r="AI184" s="97">
        <f>IFERROR(VLOOKUP(AE184,Cálculos_Aquisição_SAC_Fixa!A182:K455,6,0),"")</f>
        <v>694.44444444444446</v>
      </c>
      <c r="AJ184" s="97">
        <f>IFERROR(VLOOKUP(AE184,[1]Cálculos_PRICE!$A$32:$K$240,11,0),"")</f>
        <v>426467.3272699095</v>
      </c>
      <c r="AK184" s="97">
        <f>IFERROR(VLOOKUP(AE184,Cálculos_Aquisição_SAC_Fixa!A182:K455,11,0),"")</f>
        <v>23611.111111111612</v>
      </c>
      <c r="AW184" s="132"/>
    </row>
    <row r="185" spans="1:49" ht="15.5" x14ac:dyDescent="0.35">
      <c r="A185" s="98">
        <f t="shared" si="47"/>
        <v>148</v>
      </c>
      <c r="B185" s="99">
        <f t="shared" ca="1" si="40"/>
        <v>50561</v>
      </c>
      <c r="C185" s="100">
        <f t="shared" si="41"/>
        <v>22916.666666667166</v>
      </c>
      <c r="D185" s="100">
        <f t="shared" si="42"/>
        <v>295.63</v>
      </c>
      <c r="E185" s="100">
        <f t="shared" si="43"/>
        <v>23212.296666667167</v>
      </c>
      <c r="F185" s="100">
        <f t="shared" si="36"/>
        <v>694.44444444444446</v>
      </c>
      <c r="G185" s="100">
        <f t="shared" si="44"/>
        <v>990.07444444444445</v>
      </c>
      <c r="H185" s="100">
        <f t="shared" ca="1" si="37"/>
        <v>5.2708333333334485</v>
      </c>
      <c r="I185" s="100">
        <f t="shared" si="38"/>
        <v>12.000000000000002</v>
      </c>
      <c r="J185" s="100">
        <f t="shared" ca="1" si="39"/>
        <v>1007.3452777777779</v>
      </c>
      <c r="K185" s="101">
        <f t="shared" si="45"/>
        <v>22222.222222222721</v>
      </c>
      <c r="O185" s="118">
        <f t="shared" si="52"/>
        <v>20.833333333333332</v>
      </c>
      <c r="P185" s="119">
        <f t="shared" ca="1" si="51"/>
        <v>31</v>
      </c>
      <c r="Q185" s="120">
        <v>365</v>
      </c>
      <c r="AA185" s="96">
        <f t="shared" si="48"/>
        <v>147</v>
      </c>
      <c r="AB185" s="97">
        <f t="shared" si="46"/>
        <v>16224.556727713045</v>
      </c>
      <c r="AC185" s="97">
        <f t="shared" ca="1" si="49"/>
        <v>1016.4650000000001</v>
      </c>
      <c r="AE185" s="96">
        <f t="shared" si="50"/>
        <v>147</v>
      </c>
      <c r="AF185" s="97">
        <f>IFERROR(VLOOKUP(AE185,[1]Cálculos_PRICE!$A$32:$K$212,10,0),"")</f>
        <v>16224.556727713045</v>
      </c>
      <c r="AG185" s="97">
        <f ca="1">IFERROR(VLOOKUP(AE185,Cálculos_Aquisição_SAC_Fixa!A183:K456,10,0),"")</f>
        <v>1016.4650000000001</v>
      </c>
      <c r="AH185" s="97">
        <f>IFERROR(VLOOKUP(AE185,[1]Cálculos_PRICE!$A$32:$K$212,6,0),"")</f>
        <v>9707.2004850795747</v>
      </c>
      <c r="AI185" s="97">
        <f>IFERROR(VLOOKUP(AE185,Cálculos_Aquisição_SAC_Fixa!A183:K456,6,0),"")</f>
        <v>694.44444444444446</v>
      </c>
      <c r="AJ185" s="97">
        <f>IFERROR(VLOOKUP(AE185,[1]Cálculos_PRICE!$A$32:$K$240,11,0),"")</f>
        <v>416760.12678482995</v>
      </c>
      <c r="AK185" s="97">
        <f>IFERROR(VLOOKUP(AE185,Cálculos_Aquisição_SAC_Fixa!A183:K456,11,0),"")</f>
        <v>22916.666666667166</v>
      </c>
      <c r="AW185" s="132"/>
    </row>
    <row r="186" spans="1:49" ht="15.5" x14ac:dyDescent="0.35">
      <c r="A186" s="98">
        <f t="shared" si="47"/>
        <v>149</v>
      </c>
      <c r="B186" s="99">
        <f t="shared" ca="1" si="40"/>
        <v>50591</v>
      </c>
      <c r="C186" s="100">
        <f t="shared" si="41"/>
        <v>22222.222222222721</v>
      </c>
      <c r="D186" s="100">
        <f t="shared" si="42"/>
        <v>286.67</v>
      </c>
      <c r="E186" s="100">
        <f t="shared" si="43"/>
        <v>22508.892222222719</v>
      </c>
      <c r="F186" s="100">
        <f t="shared" si="36"/>
        <v>694.44444444444446</v>
      </c>
      <c r="G186" s="100">
        <f t="shared" si="44"/>
        <v>981.11444444444442</v>
      </c>
      <c r="H186" s="100">
        <f t="shared" ca="1" si="37"/>
        <v>5.1111111111112262</v>
      </c>
      <c r="I186" s="100">
        <f t="shared" si="38"/>
        <v>12.000000000000002</v>
      </c>
      <c r="J186" s="100">
        <f t="shared" ca="1" si="39"/>
        <v>998.22555555555562</v>
      </c>
      <c r="K186" s="101">
        <f t="shared" si="45"/>
        <v>21527.777777778276</v>
      </c>
      <c r="O186" s="118">
        <f t="shared" si="52"/>
        <v>20.833333333333332</v>
      </c>
      <c r="P186" s="119">
        <f t="shared" ca="1" si="51"/>
        <v>31</v>
      </c>
      <c r="Q186" s="120">
        <v>365</v>
      </c>
      <c r="AA186" s="96">
        <f t="shared" si="48"/>
        <v>148</v>
      </c>
      <c r="AB186" s="97">
        <f t="shared" si="46"/>
        <v>16222.397846325162</v>
      </c>
      <c r="AC186" s="97">
        <f t="shared" ca="1" si="49"/>
        <v>1007.3452777777779</v>
      </c>
      <c r="AE186" s="96">
        <f t="shared" si="50"/>
        <v>148</v>
      </c>
      <c r="AF186" s="97">
        <f>IFERROR(VLOOKUP(AE186,[1]Cálculos_PRICE!$A$32:$K$212,10,0),"")</f>
        <v>16222.397846325162</v>
      </c>
      <c r="AG186" s="97">
        <f ca="1">IFERROR(VLOOKUP(AE186,Cálculos_Aquisição_SAC_Fixa!A184:K457,10,0),"")</f>
        <v>1007.3452777777779</v>
      </c>
      <c r="AH186" s="97">
        <f>IFERROR(VLOOKUP(AE186,[1]Cálculos_PRICE!$A$32:$K$212,6,0),"")</f>
        <v>9852.808492355769</v>
      </c>
      <c r="AI186" s="97">
        <f>IFERROR(VLOOKUP(AE186,Cálculos_Aquisição_SAC_Fixa!A184:K457,6,0),"")</f>
        <v>694.44444444444446</v>
      </c>
      <c r="AJ186" s="97">
        <f>IFERROR(VLOOKUP(AE186,[1]Cálculos_PRICE!$A$32:$K$240,11,0),"")</f>
        <v>406907.3182924742</v>
      </c>
      <c r="AK186" s="97">
        <f>IFERROR(VLOOKUP(AE186,Cálculos_Aquisição_SAC_Fixa!A184:K457,11,0),"")</f>
        <v>22222.222222222721</v>
      </c>
      <c r="AW186" s="132"/>
    </row>
    <row r="187" spans="1:49" ht="15.5" x14ac:dyDescent="0.35">
      <c r="A187" s="98">
        <f t="shared" si="47"/>
        <v>150</v>
      </c>
      <c r="B187" s="99">
        <f t="shared" ca="1" si="40"/>
        <v>50622</v>
      </c>
      <c r="C187" s="100">
        <f t="shared" si="41"/>
        <v>21527.777777778276</v>
      </c>
      <c r="D187" s="100">
        <f t="shared" si="42"/>
        <v>277.70999999999998</v>
      </c>
      <c r="E187" s="100">
        <f t="shared" si="43"/>
        <v>21805.487777778275</v>
      </c>
      <c r="F187" s="100">
        <f t="shared" si="36"/>
        <v>694.44444444444446</v>
      </c>
      <c r="G187" s="100">
        <f t="shared" si="44"/>
        <v>972.15444444444438</v>
      </c>
      <c r="H187" s="100">
        <f t="shared" ca="1" si="37"/>
        <v>4.9513888888890039</v>
      </c>
      <c r="I187" s="100">
        <f t="shared" si="38"/>
        <v>12.000000000000002</v>
      </c>
      <c r="J187" s="100">
        <f t="shared" ca="1" si="39"/>
        <v>989.10583333333341</v>
      </c>
      <c r="K187" s="101">
        <f t="shared" si="45"/>
        <v>20833.333333333831</v>
      </c>
      <c r="O187" s="118">
        <f t="shared" si="52"/>
        <v>20.833333333333332</v>
      </c>
      <c r="P187" s="119">
        <f t="shared" ca="1" si="51"/>
        <v>28</v>
      </c>
      <c r="Q187" s="120">
        <v>365</v>
      </c>
      <c r="AA187" s="96">
        <f t="shared" si="48"/>
        <v>149</v>
      </c>
      <c r="AB187" s="97">
        <f t="shared" si="46"/>
        <v>16220.206581716462</v>
      </c>
      <c r="AC187" s="97">
        <f t="shared" ca="1" si="49"/>
        <v>998.22555555555562</v>
      </c>
      <c r="AE187" s="96">
        <f t="shared" si="50"/>
        <v>149</v>
      </c>
      <c r="AF187" s="97">
        <f>IFERROR(VLOOKUP(AE187,[1]Cálculos_PRICE!$A$32:$K$212,10,0),"")</f>
        <v>16220.206581716462</v>
      </c>
      <c r="AG187" s="97">
        <f ca="1">IFERROR(VLOOKUP(AE187,Cálculos_Aquisição_SAC_Fixa!A185:K458,10,0),"")</f>
        <v>998.22555555555562</v>
      </c>
      <c r="AH187" s="97">
        <f>IFERROR(VLOOKUP(AE187,[1]Cálculos_PRICE!$A$32:$K$212,6,0),"")</f>
        <v>10000.600619741104</v>
      </c>
      <c r="AI187" s="97">
        <f>IFERROR(VLOOKUP(AE187,Cálculos_Aquisição_SAC_Fixa!A185:K458,6,0),"")</f>
        <v>694.44444444444446</v>
      </c>
      <c r="AJ187" s="97">
        <f>IFERROR(VLOOKUP(AE187,[1]Cálculos_PRICE!$A$32:$K$240,11,0),"")</f>
        <v>396906.71767273312</v>
      </c>
      <c r="AK187" s="97">
        <f>IFERROR(VLOOKUP(AE187,Cálculos_Aquisição_SAC_Fixa!A185:K458,11,0),"")</f>
        <v>21527.777777778276</v>
      </c>
      <c r="AW187" s="132"/>
    </row>
    <row r="188" spans="1:49" ht="15.5" x14ac:dyDescent="0.35">
      <c r="A188" s="98">
        <f t="shared" si="47"/>
        <v>151</v>
      </c>
      <c r="B188" s="99">
        <f t="shared" ca="1" si="40"/>
        <v>50653</v>
      </c>
      <c r="C188" s="100">
        <f t="shared" si="41"/>
        <v>20833.333333333831</v>
      </c>
      <c r="D188" s="100">
        <f t="shared" si="42"/>
        <v>268.76</v>
      </c>
      <c r="E188" s="100">
        <f t="shared" si="43"/>
        <v>21102.093333333829</v>
      </c>
      <c r="F188" s="100">
        <f t="shared" si="36"/>
        <v>694.44444444444446</v>
      </c>
      <c r="G188" s="100">
        <f t="shared" si="44"/>
        <v>963.20444444444445</v>
      </c>
      <c r="H188" s="100">
        <f t="shared" ca="1" si="37"/>
        <v>4.7916666666667815</v>
      </c>
      <c r="I188" s="100">
        <f t="shared" si="38"/>
        <v>12.000000000000002</v>
      </c>
      <c r="J188" s="100">
        <f t="shared" ca="1" si="39"/>
        <v>979.99611111111119</v>
      </c>
      <c r="K188" s="101">
        <f t="shared" si="45"/>
        <v>20138.888888889385</v>
      </c>
      <c r="O188" s="118">
        <f t="shared" si="52"/>
        <v>20.833333333333332</v>
      </c>
      <c r="P188" s="119">
        <f t="shared" ca="1" si="51"/>
        <v>31</v>
      </c>
      <c r="Q188" s="120">
        <v>365</v>
      </c>
      <c r="AA188" s="96">
        <f t="shared" si="48"/>
        <v>150</v>
      </c>
      <c r="AB188" s="97">
        <f t="shared" si="46"/>
        <v>16217.982448138633</v>
      </c>
      <c r="AC188" s="97">
        <f t="shared" ca="1" si="49"/>
        <v>989.10583333333341</v>
      </c>
      <c r="AE188" s="96">
        <f t="shared" si="50"/>
        <v>150</v>
      </c>
      <c r="AF188" s="97">
        <f>IFERROR(VLOOKUP(AE188,[1]Cálculos_PRICE!$A$32:$K$212,10,0),"")</f>
        <v>16217.982448138633</v>
      </c>
      <c r="AG188" s="97">
        <f ca="1">IFERROR(VLOOKUP(AE188,Cálculos_Aquisição_SAC_Fixa!A186:K459,10,0),"")</f>
        <v>989.10583333333341</v>
      </c>
      <c r="AH188" s="97">
        <f>IFERROR(VLOOKUP(AE188,[1]Cálculos_PRICE!$A$32:$K$212,6,0),"")</f>
        <v>10150.609629037219</v>
      </c>
      <c r="AI188" s="97">
        <f>IFERROR(VLOOKUP(AE188,Cálculos_Aquisição_SAC_Fixa!A186:K459,6,0),"")</f>
        <v>694.44444444444446</v>
      </c>
      <c r="AJ188" s="97">
        <f>IFERROR(VLOOKUP(AE188,[1]Cálculos_PRICE!$A$32:$K$240,11,0),"")</f>
        <v>386756.10804369592</v>
      </c>
      <c r="AK188" s="97">
        <f>IFERROR(VLOOKUP(AE188,Cálculos_Aquisição_SAC_Fixa!A186:K459,11,0),"")</f>
        <v>20833.333333333831</v>
      </c>
      <c r="AW188" s="132"/>
    </row>
    <row r="189" spans="1:49" ht="15.5" x14ac:dyDescent="0.35">
      <c r="A189" s="98">
        <f t="shared" si="47"/>
        <v>152</v>
      </c>
      <c r="B189" s="99">
        <f t="shared" ca="1" si="40"/>
        <v>50683</v>
      </c>
      <c r="C189" s="100">
        <f t="shared" si="41"/>
        <v>20138.888888889385</v>
      </c>
      <c r="D189" s="100">
        <f t="shared" si="42"/>
        <v>259.8</v>
      </c>
      <c r="E189" s="100">
        <f t="shared" si="43"/>
        <v>20398.688888889385</v>
      </c>
      <c r="F189" s="100">
        <f t="shared" si="36"/>
        <v>694.44444444444446</v>
      </c>
      <c r="G189" s="100">
        <f t="shared" si="44"/>
        <v>954.24444444444453</v>
      </c>
      <c r="H189" s="100">
        <f t="shared" ca="1" si="37"/>
        <v>4.6319444444445583</v>
      </c>
      <c r="I189" s="100">
        <f t="shared" si="38"/>
        <v>12.000000000000002</v>
      </c>
      <c r="J189" s="100">
        <f t="shared" ca="1" si="39"/>
        <v>970.8763888888891</v>
      </c>
      <c r="K189" s="101">
        <f t="shared" si="45"/>
        <v>19444.44444444494</v>
      </c>
      <c r="O189" s="118">
        <f t="shared" si="52"/>
        <v>20.833333333333332</v>
      </c>
      <c r="P189" s="119">
        <f t="shared" ca="1" si="51"/>
        <v>30</v>
      </c>
      <c r="Q189" s="120">
        <v>365</v>
      </c>
      <c r="AA189" s="96">
        <f t="shared" si="48"/>
        <v>151</v>
      </c>
      <c r="AB189" s="97">
        <f t="shared" si="46"/>
        <v>16215.724952557135</v>
      </c>
      <c r="AC189" s="97">
        <f t="shared" ca="1" si="49"/>
        <v>979.99611111111119</v>
      </c>
      <c r="AE189" s="96">
        <f t="shared" si="50"/>
        <v>151</v>
      </c>
      <c r="AF189" s="97">
        <f>IFERROR(VLOOKUP(AE189,[1]Cálculos_PRICE!$A$32:$K$212,10,0),"")</f>
        <v>16215.724952557135</v>
      </c>
      <c r="AG189" s="97">
        <f ca="1">IFERROR(VLOOKUP(AE189,Cálculos_Aquisição_SAC_Fixa!A187:K460,10,0),"")</f>
        <v>979.99611111111119</v>
      </c>
      <c r="AH189" s="97">
        <f>IFERROR(VLOOKUP(AE189,[1]Cálculos_PRICE!$A$32:$K$212,6,0),"")</f>
        <v>10302.868773472779</v>
      </c>
      <c r="AI189" s="97">
        <f>IFERROR(VLOOKUP(AE189,Cálculos_Aquisição_SAC_Fixa!A187:K460,6,0),"")</f>
        <v>694.44444444444446</v>
      </c>
      <c r="AJ189" s="97">
        <f>IFERROR(VLOOKUP(AE189,[1]Cálculos_PRICE!$A$32:$K$240,11,0),"")</f>
        <v>376453.23927022313</v>
      </c>
      <c r="AK189" s="97">
        <f>IFERROR(VLOOKUP(AE189,Cálculos_Aquisição_SAC_Fixa!A187:K460,11,0),"")</f>
        <v>20138.888888889385</v>
      </c>
      <c r="AW189" s="132"/>
    </row>
    <row r="190" spans="1:49" ht="15.5" x14ac:dyDescent="0.35">
      <c r="A190" s="98">
        <f t="shared" si="47"/>
        <v>153</v>
      </c>
      <c r="B190" s="99">
        <f t="shared" ca="1" si="40"/>
        <v>50714</v>
      </c>
      <c r="C190" s="100">
        <f t="shared" si="41"/>
        <v>19444.44444444494</v>
      </c>
      <c r="D190" s="100">
        <f t="shared" si="42"/>
        <v>250.84</v>
      </c>
      <c r="E190" s="100">
        <f t="shared" si="43"/>
        <v>19695.28444444494</v>
      </c>
      <c r="F190" s="100">
        <f t="shared" si="36"/>
        <v>694.44444444444446</v>
      </c>
      <c r="G190" s="100">
        <f t="shared" si="44"/>
        <v>945.28444444444449</v>
      </c>
      <c r="H190" s="100">
        <f t="shared" ca="1" si="37"/>
        <v>4.472222222222336</v>
      </c>
      <c r="I190" s="100">
        <f t="shared" si="38"/>
        <v>12.000000000000002</v>
      </c>
      <c r="J190" s="100">
        <f t="shared" ca="1" si="39"/>
        <v>961.75666666666677</v>
      </c>
      <c r="K190" s="101">
        <f t="shared" si="45"/>
        <v>18750.000000000495</v>
      </c>
      <c r="O190" s="118">
        <f t="shared" si="52"/>
        <v>20.833333333333332</v>
      </c>
      <c r="P190" s="119">
        <f t="shared" ca="1" si="51"/>
        <v>31</v>
      </c>
      <c r="Q190" s="120">
        <v>365</v>
      </c>
      <c r="AA190" s="96">
        <f t="shared" si="48"/>
        <v>152</v>
      </c>
      <c r="AB190" s="97">
        <f t="shared" si="46"/>
        <v>16213.433594541913</v>
      </c>
      <c r="AC190" s="97">
        <f t="shared" ca="1" si="49"/>
        <v>970.8763888888891</v>
      </c>
      <c r="AE190" s="96">
        <f t="shared" si="50"/>
        <v>152</v>
      </c>
      <c r="AF190" s="97">
        <f>IFERROR(VLOOKUP(AE190,[1]Cálculos_PRICE!$A$32:$K$212,10,0),"")</f>
        <v>16213.433594541913</v>
      </c>
      <c r="AG190" s="97">
        <f ca="1">IFERROR(VLOOKUP(AE190,Cálculos_Aquisição_SAC_Fixa!A188:K461,10,0),"")</f>
        <v>970.8763888888891</v>
      </c>
      <c r="AH190" s="97">
        <f>IFERROR(VLOOKUP(AE190,[1]Cálculos_PRICE!$A$32:$K$212,6,0),"")</f>
        <v>10457.411805074869</v>
      </c>
      <c r="AI190" s="97">
        <f>IFERROR(VLOOKUP(AE190,Cálculos_Aquisição_SAC_Fixa!A188:K461,6,0),"")</f>
        <v>694.44444444444446</v>
      </c>
      <c r="AJ190" s="97">
        <f>IFERROR(VLOOKUP(AE190,[1]Cálculos_PRICE!$A$32:$K$240,11,0),"")</f>
        <v>365995.82746514824</v>
      </c>
      <c r="AK190" s="97">
        <f>IFERROR(VLOOKUP(AE190,Cálculos_Aquisição_SAC_Fixa!A188:K461,11,0),"")</f>
        <v>19444.44444444494</v>
      </c>
      <c r="AW190" s="132"/>
    </row>
    <row r="191" spans="1:49" ht="15.5" x14ac:dyDescent="0.35">
      <c r="A191" s="98">
        <f t="shared" si="47"/>
        <v>154</v>
      </c>
      <c r="B191" s="99">
        <f t="shared" ca="1" si="40"/>
        <v>50744</v>
      </c>
      <c r="C191" s="100">
        <f t="shared" si="41"/>
        <v>18750.000000000495</v>
      </c>
      <c r="D191" s="100">
        <f t="shared" si="42"/>
        <v>241.88</v>
      </c>
      <c r="E191" s="100">
        <f t="shared" si="43"/>
        <v>18991.880000000496</v>
      </c>
      <c r="F191" s="100">
        <f t="shared" si="36"/>
        <v>694.44444444444446</v>
      </c>
      <c r="G191" s="100">
        <f t="shared" si="44"/>
        <v>936.32444444444445</v>
      </c>
      <c r="H191" s="100">
        <f t="shared" ca="1" si="37"/>
        <v>4.3125000000001137</v>
      </c>
      <c r="I191" s="100">
        <f t="shared" si="38"/>
        <v>12.000000000000002</v>
      </c>
      <c r="J191" s="100">
        <f t="shared" ca="1" si="39"/>
        <v>952.63694444444457</v>
      </c>
      <c r="K191" s="101">
        <f t="shared" si="45"/>
        <v>18055.55555555605</v>
      </c>
      <c r="O191" s="118">
        <f t="shared" si="52"/>
        <v>20.833333333333332</v>
      </c>
      <c r="P191" s="119">
        <f t="shared" ca="1" si="51"/>
        <v>30</v>
      </c>
      <c r="Q191" s="120">
        <v>365</v>
      </c>
      <c r="AA191" s="96">
        <f t="shared" si="48"/>
        <v>153</v>
      </c>
      <c r="AB191" s="97">
        <f t="shared" si="46"/>
        <v>16211.107866156466</v>
      </c>
      <c r="AC191" s="97">
        <f t="shared" ca="1" si="49"/>
        <v>961.75666666666677</v>
      </c>
      <c r="AE191" s="96">
        <f t="shared" si="50"/>
        <v>153</v>
      </c>
      <c r="AF191" s="97">
        <f>IFERROR(VLOOKUP(AE191,[1]Cálculos_PRICE!$A$32:$K$212,10,0),"")</f>
        <v>16211.107866156466</v>
      </c>
      <c r="AG191" s="97">
        <f ca="1">IFERROR(VLOOKUP(AE191,Cálculos_Aquisição_SAC_Fixa!A189:K462,10,0),"")</f>
        <v>961.75666666666677</v>
      </c>
      <c r="AH191" s="97">
        <f>IFERROR(VLOOKUP(AE191,[1]Cálculos_PRICE!$A$32:$K$212,6,0),"")</f>
        <v>10614.272982150993</v>
      </c>
      <c r="AI191" s="97">
        <f>IFERROR(VLOOKUP(AE191,Cálculos_Aquisição_SAC_Fixa!A189:K462,6,0),"")</f>
        <v>694.44444444444446</v>
      </c>
      <c r="AJ191" s="97">
        <f>IFERROR(VLOOKUP(AE191,[1]Cálculos_PRICE!$A$32:$K$240,11,0),"")</f>
        <v>355381.55448299722</v>
      </c>
      <c r="AK191" s="97">
        <f>IFERROR(VLOOKUP(AE191,Cálculos_Aquisição_SAC_Fixa!A189:K462,11,0),"")</f>
        <v>18750.000000000495</v>
      </c>
      <c r="AW191" s="132"/>
    </row>
    <row r="192" spans="1:49" ht="15.5" x14ac:dyDescent="0.35">
      <c r="A192" s="98">
        <f t="shared" si="47"/>
        <v>155</v>
      </c>
      <c r="B192" s="99">
        <f t="shared" ca="1" si="40"/>
        <v>50775</v>
      </c>
      <c r="C192" s="100">
        <f t="shared" si="41"/>
        <v>18055.55555555605</v>
      </c>
      <c r="D192" s="100">
        <f t="shared" si="42"/>
        <v>232.92</v>
      </c>
      <c r="E192" s="100">
        <f t="shared" si="43"/>
        <v>18288.475555556048</v>
      </c>
      <c r="F192" s="100">
        <f t="shared" si="36"/>
        <v>694.44444444444446</v>
      </c>
      <c r="G192" s="100">
        <f t="shared" si="44"/>
        <v>927.36444444444442</v>
      </c>
      <c r="H192" s="100">
        <f t="shared" ca="1" si="37"/>
        <v>4.1527777777778914</v>
      </c>
      <c r="I192" s="100">
        <f t="shared" si="38"/>
        <v>12.000000000000002</v>
      </c>
      <c r="J192" s="100">
        <f t="shared" ca="1" si="39"/>
        <v>943.51722222222236</v>
      </c>
      <c r="K192" s="101">
        <f t="shared" si="45"/>
        <v>17361.111111111604</v>
      </c>
      <c r="O192" s="118">
        <f t="shared" si="52"/>
        <v>20.833333333333332</v>
      </c>
      <c r="P192" s="119">
        <f t="shared" ca="1" si="51"/>
        <v>31</v>
      </c>
      <c r="Q192" s="120">
        <v>365</v>
      </c>
      <c r="AA192" s="96">
        <f t="shared" si="48"/>
        <v>154</v>
      </c>
      <c r="AB192" s="97">
        <f t="shared" si="46"/>
        <v>16208.747251845236</v>
      </c>
      <c r="AC192" s="97">
        <f t="shared" ca="1" si="49"/>
        <v>952.63694444444457</v>
      </c>
      <c r="AE192" s="96">
        <f t="shared" si="50"/>
        <v>154</v>
      </c>
      <c r="AF192" s="97">
        <f>IFERROR(VLOOKUP(AE192,[1]Cálculos_PRICE!$A$32:$K$212,10,0),"")</f>
        <v>16208.747251845236</v>
      </c>
      <c r="AG192" s="97">
        <f ca="1">IFERROR(VLOOKUP(AE192,Cálculos_Aquisição_SAC_Fixa!A190:K463,10,0),"")</f>
        <v>952.63694444444457</v>
      </c>
      <c r="AH192" s="97">
        <f>IFERROR(VLOOKUP(AE192,[1]Cálculos_PRICE!$A$32:$K$212,6,0),"")</f>
        <v>10773.487076883259</v>
      </c>
      <c r="AI192" s="97">
        <f>IFERROR(VLOOKUP(AE192,Cálculos_Aquisição_SAC_Fixa!A190:K463,6,0),"")</f>
        <v>694.44444444444446</v>
      </c>
      <c r="AJ192" s="97">
        <f>IFERROR(VLOOKUP(AE192,[1]Cálculos_PRICE!$A$32:$K$240,11,0),"")</f>
        <v>344608.06740611396</v>
      </c>
      <c r="AK192" s="97">
        <f>IFERROR(VLOOKUP(AE192,Cálculos_Aquisição_SAC_Fixa!A190:K463,11,0),"")</f>
        <v>18055.55555555605</v>
      </c>
      <c r="AW192" s="132"/>
    </row>
    <row r="193" spans="1:49" ht="15.5" x14ac:dyDescent="0.35">
      <c r="A193" s="98">
        <f t="shared" si="47"/>
        <v>156</v>
      </c>
      <c r="B193" s="99">
        <f t="shared" ca="1" si="40"/>
        <v>50806</v>
      </c>
      <c r="C193" s="100">
        <f t="shared" si="41"/>
        <v>17361.111111111604</v>
      </c>
      <c r="D193" s="100">
        <f t="shared" si="42"/>
        <v>223.95999999999998</v>
      </c>
      <c r="E193" s="100">
        <f t="shared" si="43"/>
        <v>17585.071111111603</v>
      </c>
      <c r="F193" s="100">
        <f t="shared" si="36"/>
        <v>694.44444444444446</v>
      </c>
      <c r="G193" s="100">
        <f t="shared" si="44"/>
        <v>918.40444444444438</v>
      </c>
      <c r="H193" s="100">
        <f t="shared" ca="1" si="37"/>
        <v>3.993055555555669</v>
      </c>
      <c r="I193" s="100">
        <f t="shared" si="38"/>
        <v>12.000000000000002</v>
      </c>
      <c r="J193" s="100">
        <f t="shared" ca="1" si="39"/>
        <v>934.39750000000004</v>
      </c>
      <c r="K193" s="101">
        <f t="shared" si="45"/>
        <v>16666.666666667159</v>
      </c>
      <c r="O193" s="118">
        <f t="shared" si="52"/>
        <v>20.833333333333332</v>
      </c>
      <c r="P193" s="119">
        <f t="shared" ca="1" si="51"/>
        <v>31</v>
      </c>
      <c r="Q193" s="120">
        <v>365</v>
      </c>
      <c r="AA193" s="96">
        <f t="shared" si="48"/>
        <v>155</v>
      </c>
      <c r="AB193" s="97">
        <f t="shared" si="46"/>
        <v>16206.351228319336</v>
      </c>
      <c r="AC193" s="97">
        <f t="shared" ca="1" si="49"/>
        <v>943.51722222222236</v>
      </c>
      <c r="AE193" s="96">
        <f t="shared" si="50"/>
        <v>155</v>
      </c>
      <c r="AF193" s="97">
        <f>IFERROR(VLOOKUP(AE193,[1]Cálculos_PRICE!$A$32:$K$212,10,0),"")</f>
        <v>16206.351228319336</v>
      </c>
      <c r="AG193" s="97">
        <f ca="1">IFERROR(VLOOKUP(AE193,Cálculos_Aquisição_SAC_Fixa!A191:K464,10,0),"")</f>
        <v>943.51722222222236</v>
      </c>
      <c r="AH193" s="97">
        <f>IFERROR(VLOOKUP(AE193,[1]Cálculos_PRICE!$A$32:$K$212,6,0),"")</f>
        <v>10935.089383036508</v>
      </c>
      <c r="AI193" s="97">
        <f>IFERROR(VLOOKUP(AE193,Cálculos_Aquisição_SAC_Fixa!A191:K464,6,0),"")</f>
        <v>694.44444444444446</v>
      </c>
      <c r="AJ193" s="97">
        <f>IFERROR(VLOOKUP(AE193,[1]Cálculos_PRICE!$A$32:$K$240,11,0),"")</f>
        <v>333672.97802307748</v>
      </c>
      <c r="AK193" s="97">
        <f>IFERROR(VLOOKUP(AE193,Cálculos_Aquisição_SAC_Fixa!A191:K464,11,0),"")</f>
        <v>17361.111111111604</v>
      </c>
      <c r="AW193" s="132"/>
    </row>
    <row r="194" spans="1:49" ht="15.5" x14ac:dyDescent="0.35">
      <c r="A194" s="98">
        <f t="shared" si="47"/>
        <v>157</v>
      </c>
      <c r="B194" s="99">
        <f t="shared" ca="1" si="40"/>
        <v>50834</v>
      </c>
      <c r="C194" s="100">
        <f t="shared" si="41"/>
        <v>16666.666666667159</v>
      </c>
      <c r="D194" s="100">
        <f t="shared" si="42"/>
        <v>215.01</v>
      </c>
      <c r="E194" s="100">
        <f t="shared" si="43"/>
        <v>16881.676666667157</v>
      </c>
      <c r="F194" s="100">
        <f t="shared" si="36"/>
        <v>694.44444444444446</v>
      </c>
      <c r="G194" s="100">
        <f t="shared" si="44"/>
        <v>909.45444444444445</v>
      </c>
      <c r="H194" s="100">
        <f t="shared" ca="1" si="37"/>
        <v>3.8333333333334467</v>
      </c>
      <c r="I194" s="100">
        <f t="shared" si="38"/>
        <v>12.000000000000002</v>
      </c>
      <c r="J194" s="100">
        <f t="shared" ca="1" si="39"/>
        <v>925.28777777777793</v>
      </c>
      <c r="K194" s="101">
        <f t="shared" si="45"/>
        <v>15972.222222222714</v>
      </c>
      <c r="O194" s="118">
        <f t="shared" si="52"/>
        <v>20.833333333333332</v>
      </c>
      <c r="P194" s="119">
        <f t="shared" ca="1" si="51"/>
        <v>30</v>
      </c>
      <c r="Q194" s="120">
        <v>365</v>
      </c>
      <c r="AA194" s="96">
        <f t="shared" si="48"/>
        <v>156</v>
      </c>
      <c r="AB194" s="97">
        <f t="shared" si="46"/>
        <v>16203.919264440548</v>
      </c>
      <c r="AC194" s="97">
        <f t="shared" ca="1" si="49"/>
        <v>934.39750000000004</v>
      </c>
      <c r="AE194" s="96">
        <f t="shared" si="50"/>
        <v>156</v>
      </c>
      <c r="AF194" s="97">
        <f>IFERROR(VLOOKUP(AE194,[1]Cálculos_PRICE!$A$32:$K$212,10,0),"")</f>
        <v>16203.919264440548</v>
      </c>
      <c r="AG194" s="97">
        <f ca="1">IFERROR(VLOOKUP(AE194,Cálculos_Aquisição_SAC_Fixa!A192:K465,10,0),"")</f>
        <v>934.39750000000004</v>
      </c>
      <c r="AH194" s="97">
        <f>IFERROR(VLOOKUP(AE194,[1]Cálculos_PRICE!$A$32:$K$212,6,0),"")</f>
        <v>11099.115723782055</v>
      </c>
      <c r="AI194" s="97">
        <f>IFERROR(VLOOKUP(AE194,Cálculos_Aquisição_SAC_Fixa!A192:K465,6,0),"")</f>
        <v>694.44444444444446</v>
      </c>
      <c r="AJ194" s="97">
        <f>IFERROR(VLOOKUP(AE194,[1]Cálculos_PRICE!$A$32:$K$240,11,0),"")</f>
        <v>322573.86229929543</v>
      </c>
      <c r="AK194" s="97">
        <f>IFERROR(VLOOKUP(AE194,Cálculos_Aquisição_SAC_Fixa!A192:K465,11,0),"")</f>
        <v>16666.666666667159</v>
      </c>
      <c r="AW194" s="132"/>
    </row>
    <row r="195" spans="1:49" ht="15.5" x14ac:dyDescent="0.35">
      <c r="A195" s="98">
        <f t="shared" si="47"/>
        <v>158</v>
      </c>
      <c r="B195" s="99">
        <f t="shared" ca="1" si="40"/>
        <v>50865</v>
      </c>
      <c r="C195" s="100">
        <f t="shared" si="41"/>
        <v>15972.222222222714</v>
      </c>
      <c r="D195" s="100">
        <f t="shared" si="42"/>
        <v>206.04999999999998</v>
      </c>
      <c r="E195" s="100">
        <f t="shared" si="43"/>
        <v>16178.272222222713</v>
      </c>
      <c r="F195" s="100">
        <f t="shared" si="36"/>
        <v>694.44444444444446</v>
      </c>
      <c r="G195" s="100">
        <f t="shared" si="44"/>
        <v>900.49444444444441</v>
      </c>
      <c r="H195" s="100">
        <f t="shared" ca="1" si="37"/>
        <v>3.6736111111112244</v>
      </c>
      <c r="I195" s="100">
        <f t="shared" si="38"/>
        <v>12.000000000000002</v>
      </c>
      <c r="J195" s="100">
        <f t="shared" ca="1" si="39"/>
        <v>916.16805555555561</v>
      </c>
      <c r="K195" s="101">
        <f t="shared" si="45"/>
        <v>15277.777777778269</v>
      </c>
      <c r="O195" s="118">
        <f t="shared" si="52"/>
        <v>20.833333333333332</v>
      </c>
      <c r="P195" s="119">
        <f t="shared" ca="1" si="51"/>
        <v>31</v>
      </c>
      <c r="Q195" s="120">
        <v>365</v>
      </c>
      <c r="AA195" s="96">
        <f t="shared" si="48"/>
        <v>157</v>
      </c>
      <c r="AB195" s="97">
        <f t="shared" si="46"/>
        <v>16201.450821103579</v>
      </c>
      <c r="AC195" s="97">
        <f t="shared" ca="1" si="49"/>
        <v>925.28777777777793</v>
      </c>
      <c r="AE195" s="96">
        <f t="shared" si="50"/>
        <v>157</v>
      </c>
      <c r="AF195" s="97">
        <f>IFERROR(VLOOKUP(AE195,[1]Cálculos_PRICE!$A$32:$K$212,10,0),"")</f>
        <v>16201.450821103579</v>
      </c>
      <c r="AG195" s="97">
        <f ca="1">IFERROR(VLOOKUP(AE195,Cálculos_Aquisição_SAC_Fixa!A193:K466,10,0),"")</f>
        <v>925.28777777777793</v>
      </c>
      <c r="AH195" s="97">
        <f>IFERROR(VLOOKUP(AE195,[1]Cálculos_PRICE!$A$32:$K$212,6,0),"")</f>
        <v>11265.602459638785</v>
      </c>
      <c r="AI195" s="97">
        <f>IFERROR(VLOOKUP(AE195,Cálculos_Aquisição_SAC_Fixa!A193:K466,6,0),"")</f>
        <v>694.44444444444446</v>
      </c>
      <c r="AJ195" s="97">
        <f>IFERROR(VLOOKUP(AE195,[1]Cálculos_PRICE!$A$32:$K$240,11,0),"")</f>
        <v>311308.25983965665</v>
      </c>
      <c r="AK195" s="97">
        <f>IFERROR(VLOOKUP(AE195,Cálculos_Aquisição_SAC_Fixa!A193:K466,11,0),"")</f>
        <v>15972.222222222714</v>
      </c>
      <c r="AW195" s="132"/>
    </row>
    <row r="196" spans="1:49" ht="15.5" x14ac:dyDescent="0.35">
      <c r="A196" s="98">
        <f t="shared" si="47"/>
        <v>159</v>
      </c>
      <c r="B196" s="99">
        <f t="shared" ca="1" si="40"/>
        <v>50895</v>
      </c>
      <c r="C196" s="100">
        <f t="shared" si="41"/>
        <v>15277.777777778269</v>
      </c>
      <c r="D196" s="100">
        <f t="shared" si="42"/>
        <v>197.09</v>
      </c>
      <c r="E196" s="100">
        <f t="shared" si="43"/>
        <v>15474.867777778269</v>
      </c>
      <c r="F196" s="100">
        <f t="shared" si="36"/>
        <v>694.44444444444446</v>
      </c>
      <c r="G196" s="100">
        <f t="shared" si="44"/>
        <v>891.53444444444449</v>
      </c>
      <c r="H196" s="100">
        <f t="shared" ca="1" si="37"/>
        <v>3.5138888888890021</v>
      </c>
      <c r="I196" s="100">
        <f t="shared" si="38"/>
        <v>12.000000000000002</v>
      </c>
      <c r="J196" s="100">
        <f t="shared" ca="1" si="39"/>
        <v>907.04833333333352</v>
      </c>
      <c r="K196" s="101">
        <f t="shared" si="45"/>
        <v>14583.333333333823</v>
      </c>
      <c r="O196" s="118">
        <f t="shared" si="52"/>
        <v>20.833333333333332</v>
      </c>
      <c r="P196" s="119">
        <f t="shared" ca="1" si="51"/>
        <v>30</v>
      </c>
      <c r="Q196" s="120">
        <v>365</v>
      </c>
      <c r="AA196" s="96">
        <f t="shared" si="48"/>
        <v>158</v>
      </c>
      <c r="AB196" s="97">
        <f t="shared" si="46"/>
        <v>16198.945351116556</v>
      </c>
      <c r="AC196" s="97">
        <f t="shared" ca="1" si="49"/>
        <v>916.16805555555561</v>
      </c>
      <c r="AE196" s="96">
        <f t="shared" si="50"/>
        <v>158</v>
      </c>
      <c r="AF196" s="97">
        <f>IFERROR(VLOOKUP(AE196,[1]Cálculos_PRICE!$A$32:$K$212,10,0),"")</f>
        <v>16198.945351116556</v>
      </c>
      <c r="AG196" s="97">
        <f ca="1">IFERROR(VLOOKUP(AE196,Cálculos_Aquisição_SAC_Fixa!A194:K467,10,0),"")</f>
        <v>916.16805555555561</v>
      </c>
      <c r="AH196" s="97">
        <f>IFERROR(VLOOKUP(AE196,[1]Cálculos_PRICE!$A$32:$K$212,6,0),"")</f>
        <v>11434.586496533368</v>
      </c>
      <c r="AI196" s="97">
        <f>IFERROR(VLOOKUP(AE196,Cálculos_Aquisição_SAC_Fixa!A194:K467,6,0),"")</f>
        <v>694.44444444444446</v>
      </c>
      <c r="AJ196" s="97">
        <f>IFERROR(VLOOKUP(AE196,[1]Cálculos_PRICE!$A$32:$K$240,11,0),"")</f>
        <v>299873.67334312329</v>
      </c>
      <c r="AK196" s="97">
        <f>IFERROR(VLOOKUP(AE196,Cálculos_Aquisição_SAC_Fixa!A194:K467,11,0),"")</f>
        <v>15277.777777778269</v>
      </c>
      <c r="AW196" s="132"/>
    </row>
    <row r="197" spans="1:49" ht="15.5" x14ac:dyDescent="0.35">
      <c r="A197" s="98">
        <f t="shared" si="47"/>
        <v>160</v>
      </c>
      <c r="B197" s="99">
        <f t="shared" ca="1" si="40"/>
        <v>50926</v>
      </c>
      <c r="C197" s="100">
        <f t="shared" si="41"/>
        <v>14583.333333333823</v>
      </c>
      <c r="D197" s="100">
        <f t="shared" si="42"/>
        <v>188.13</v>
      </c>
      <c r="E197" s="100">
        <f t="shared" si="43"/>
        <v>14771.463333333822</v>
      </c>
      <c r="F197" s="100">
        <f t="shared" si="36"/>
        <v>694.44444444444446</v>
      </c>
      <c r="G197" s="100">
        <f t="shared" si="44"/>
        <v>882.57444444444445</v>
      </c>
      <c r="H197" s="100">
        <f t="shared" ca="1" si="37"/>
        <v>3.3541666666667793</v>
      </c>
      <c r="I197" s="100">
        <f t="shared" si="38"/>
        <v>12.000000000000002</v>
      </c>
      <c r="J197" s="100">
        <f t="shared" ca="1" si="39"/>
        <v>897.92861111111119</v>
      </c>
      <c r="K197" s="101">
        <f t="shared" si="45"/>
        <v>13888.888888889378</v>
      </c>
      <c r="O197" s="118">
        <f t="shared" si="52"/>
        <v>20.833333333333332</v>
      </c>
      <c r="P197" s="119">
        <f t="shared" ca="1" si="51"/>
        <v>31</v>
      </c>
      <c r="Q197" s="120">
        <v>365</v>
      </c>
      <c r="AA197" s="96">
        <f t="shared" si="48"/>
        <v>159</v>
      </c>
      <c r="AB197" s="97">
        <f t="shared" si="46"/>
        <v>16196.402299079728</v>
      </c>
      <c r="AC197" s="97">
        <f t="shared" ca="1" si="49"/>
        <v>907.04833333333352</v>
      </c>
      <c r="AE197" s="96">
        <f t="shared" si="50"/>
        <v>159</v>
      </c>
      <c r="AF197" s="97">
        <f>IFERROR(VLOOKUP(AE197,[1]Cálculos_PRICE!$A$32:$K$212,10,0),"")</f>
        <v>16196.402299079728</v>
      </c>
      <c r="AG197" s="97">
        <f ca="1">IFERROR(VLOOKUP(AE197,Cálculos_Aquisição_SAC_Fixa!A195:K468,10,0),"")</f>
        <v>907.04833333333352</v>
      </c>
      <c r="AH197" s="97">
        <f>IFERROR(VLOOKUP(AE197,[1]Cálculos_PRICE!$A$32:$K$212,6,0),"")</f>
        <v>11606.105293981367</v>
      </c>
      <c r="AI197" s="97">
        <f>IFERROR(VLOOKUP(AE197,Cálculos_Aquisição_SAC_Fixa!A195:K468,6,0),"")</f>
        <v>694.44444444444446</v>
      </c>
      <c r="AJ197" s="97">
        <f>IFERROR(VLOOKUP(AE197,[1]Cálculos_PRICE!$A$32:$K$240,11,0),"")</f>
        <v>288267.5680491419</v>
      </c>
      <c r="AK197" s="97">
        <f>IFERROR(VLOOKUP(AE197,Cálculos_Aquisição_SAC_Fixa!A195:K468,11,0),"")</f>
        <v>14583.333333333823</v>
      </c>
      <c r="AW197" s="132"/>
    </row>
    <row r="198" spans="1:49" ht="15.5" x14ac:dyDescent="0.35">
      <c r="A198" s="98">
        <f t="shared" si="47"/>
        <v>161</v>
      </c>
      <c r="B198" s="99">
        <f t="shared" ca="1" si="40"/>
        <v>50956</v>
      </c>
      <c r="C198" s="100">
        <f t="shared" si="41"/>
        <v>13888.888888889378</v>
      </c>
      <c r="D198" s="100">
        <f t="shared" si="42"/>
        <v>179.17</v>
      </c>
      <c r="E198" s="100">
        <f t="shared" si="43"/>
        <v>14068.058888889378</v>
      </c>
      <c r="F198" s="100">
        <f t="shared" si="36"/>
        <v>694.44444444444446</v>
      </c>
      <c r="G198" s="100">
        <f t="shared" si="44"/>
        <v>873.61444444444442</v>
      </c>
      <c r="H198" s="100">
        <f t="shared" ca="1" si="37"/>
        <v>3.194444444444557</v>
      </c>
      <c r="I198" s="100">
        <f t="shared" si="38"/>
        <v>12.000000000000002</v>
      </c>
      <c r="J198" s="100">
        <f t="shared" ca="1" si="39"/>
        <v>888.80888888888899</v>
      </c>
      <c r="K198" s="101">
        <f t="shared" si="45"/>
        <v>13194.444444444933</v>
      </c>
      <c r="O198" s="118">
        <f t="shared" si="52"/>
        <v>20.833333333333332</v>
      </c>
      <c r="P198" s="119">
        <f t="shared" ca="1" si="51"/>
        <v>31</v>
      </c>
      <c r="Q198" s="120">
        <v>365</v>
      </c>
      <c r="AA198" s="96">
        <f t="shared" si="48"/>
        <v>160</v>
      </c>
      <c r="AB198" s="97">
        <f t="shared" si="46"/>
        <v>16193.821101262345</v>
      </c>
      <c r="AC198" s="97">
        <f t="shared" ca="1" si="49"/>
        <v>897.92861111111119</v>
      </c>
      <c r="AE198" s="96">
        <f t="shared" si="50"/>
        <v>160</v>
      </c>
      <c r="AF198" s="97">
        <f>IFERROR(VLOOKUP(AE198,[1]Cálculos_PRICE!$A$32:$K$212,10,0),"")</f>
        <v>16193.821101262345</v>
      </c>
      <c r="AG198" s="97">
        <f ca="1">IFERROR(VLOOKUP(AE198,Cálculos_Aquisição_SAC_Fixa!A196:K469,10,0),"")</f>
        <v>897.92861111111119</v>
      </c>
      <c r="AH198" s="97">
        <f>IFERROR(VLOOKUP(AE198,[1]Cálculos_PRICE!$A$32:$K$212,6,0),"")</f>
        <v>11780.196873391087</v>
      </c>
      <c r="AI198" s="97">
        <f>IFERROR(VLOOKUP(AE198,Cálculos_Aquisição_SAC_Fixa!A196:K469,6,0),"")</f>
        <v>694.44444444444446</v>
      </c>
      <c r="AJ198" s="97">
        <f>IFERROR(VLOOKUP(AE198,[1]Cálculos_PRICE!$A$32:$K$240,11,0),"")</f>
        <v>276487.3711757508</v>
      </c>
      <c r="AK198" s="97">
        <f>IFERROR(VLOOKUP(AE198,Cálculos_Aquisição_SAC_Fixa!A196:K469,11,0),"")</f>
        <v>13888.888888889378</v>
      </c>
      <c r="AW198" s="132"/>
    </row>
    <row r="199" spans="1:49" ht="15.5" x14ac:dyDescent="0.35">
      <c r="A199" s="98">
        <f t="shared" si="47"/>
        <v>162</v>
      </c>
      <c r="B199" s="99">
        <f t="shared" ca="1" si="40"/>
        <v>50987</v>
      </c>
      <c r="C199" s="100">
        <f t="shared" si="41"/>
        <v>13194.444444444933</v>
      </c>
      <c r="D199" s="100">
        <f t="shared" si="42"/>
        <v>170.20999999999998</v>
      </c>
      <c r="E199" s="100">
        <f t="shared" si="43"/>
        <v>13364.654444444932</v>
      </c>
      <c r="F199" s="100">
        <f t="shared" si="36"/>
        <v>694.44444444444446</v>
      </c>
      <c r="G199" s="100">
        <f t="shared" si="44"/>
        <v>864.65444444444438</v>
      </c>
      <c r="H199" s="100">
        <f t="shared" ca="1" si="37"/>
        <v>3.0347222222223347</v>
      </c>
      <c r="I199" s="100">
        <f t="shared" si="38"/>
        <v>12.000000000000002</v>
      </c>
      <c r="J199" s="100">
        <f t="shared" ca="1" si="39"/>
        <v>879.68916666666667</v>
      </c>
      <c r="K199" s="101">
        <f t="shared" si="45"/>
        <v>12500.000000000487</v>
      </c>
      <c r="O199" s="118">
        <f t="shared" si="52"/>
        <v>20.833333333333332</v>
      </c>
      <c r="P199" s="119">
        <f t="shared" ca="1" si="51"/>
        <v>28</v>
      </c>
      <c r="Q199" s="120">
        <v>365</v>
      </c>
      <c r="AA199" s="96">
        <f t="shared" si="48"/>
        <v>161</v>
      </c>
      <c r="AB199" s="97">
        <f t="shared" si="46"/>
        <v>16191.201185477703</v>
      </c>
      <c r="AC199" s="97">
        <f t="shared" ca="1" si="49"/>
        <v>888.80888888888899</v>
      </c>
      <c r="AE199" s="96">
        <f t="shared" si="50"/>
        <v>161</v>
      </c>
      <c r="AF199" s="97">
        <f>IFERROR(VLOOKUP(AE199,[1]Cálculos_PRICE!$A$32:$K$212,10,0),"")</f>
        <v>16191.201185477703</v>
      </c>
      <c r="AG199" s="97">
        <f ca="1">IFERROR(VLOOKUP(AE199,Cálculos_Aquisição_SAC_Fixa!A197:K470,10,0),"")</f>
        <v>888.80888888888899</v>
      </c>
      <c r="AH199" s="97">
        <f>IFERROR(VLOOKUP(AE199,[1]Cálculos_PRICE!$A$32:$K$212,6,0),"")</f>
        <v>11956.899826491954</v>
      </c>
      <c r="AI199" s="97">
        <f>IFERROR(VLOOKUP(AE199,Cálculos_Aquisição_SAC_Fixa!A197:K470,6,0),"")</f>
        <v>694.44444444444446</v>
      </c>
      <c r="AJ199" s="97">
        <f>IFERROR(VLOOKUP(AE199,[1]Cálculos_PRICE!$A$32:$K$240,11,0),"")</f>
        <v>264530.47134925885</v>
      </c>
      <c r="AK199" s="97">
        <f>IFERROR(VLOOKUP(AE199,Cálculos_Aquisição_SAC_Fixa!A197:K470,11,0),"")</f>
        <v>13194.444444444933</v>
      </c>
      <c r="AW199" s="132"/>
    </row>
    <row r="200" spans="1:49" ht="15.5" x14ac:dyDescent="0.35">
      <c r="A200" s="98">
        <f t="shared" si="47"/>
        <v>163</v>
      </c>
      <c r="B200" s="99">
        <f t="shared" ca="1" si="40"/>
        <v>51018</v>
      </c>
      <c r="C200" s="100">
        <f t="shared" si="41"/>
        <v>12500.000000000487</v>
      </c>
      <c r="D200" s="100">
        <f t="shared" si="42"/>
        <v>161.26</v>
      </c>
      <c r="E200" s="100">
        <f t="shared" si="43"/>
        <v>12661.260000000488</v>
      </c>
      <c r="F200" s="100">
        <f t="shared" si="36"/>
        <v>694.44444444444446</v>
      </c>
      <c r="G200" s="100">
        <f t="shared" si="44"/>
        <v>855.70444444444445</v>
      </c>
      <c r="H200" s="100">
        <f t="shared" ca="1" si="37"/>
        <v>2.8750000000001124</v>
      </c>
      <c r="I200" s="100">
        <f t="shared" si="38"/>
        <v>12.000000000000002</v>
      </c>
      <c r="J200" s="100">
        <f t="shared" ca="1" si="39"/>
        <v>870.57944444444456</v>
      </c>
      <c r="K200" s="101">
        <f t="shared" si="45"/>
        <v>11805.555555556042</v>
      </c>
      <c r="O200" s="118">
        <f t="shared" si="52"/>
        <v>20.833333333333332</v>
      </c>
      <c r="P200" s="119">
        <f t="shared" ca="1" si="51"/>
        <v>31</v>
      </c>
      <c r="Q200" s="120">
        <v>365</v>
      </c>
      <c r="AA200" s="96">
        <f t="shared" si="48"/>
        <v>162</v>
      </c>
      <c r="AB200" s="97">
        <f t="shared" si="46"/>
        <v>16188.541970956292</v>
      </c>
      <c r="AC200" s="97">
        <f t="shared" ca="1" si="49"/>
        <v>879.68916666666667</v>
      </c>
      <c r="AE200" s="96">
        <f t="shared" si="50"/>
        <v>162</v>
      </c>
      <c r="AF200" s="97">
        <f>IFERROR(VLOOKUP(AE200,[1]Cálculos_PRICE!$A$32:$K$212,10,0),"")</f>
        <v>16188.541970956292</v>
      </c>
      <c r="AG200" s="97">
        <f ca="1">IFERROR(VLOOKUP(AE200,Cálculos_Aquisição_SAC_Fixa!A198:K471,10,0),"")</f>
        <v>879.68916666666667</v>
      </c>
      <c r="AH200" s="97">
        <f>IFERROR(VLOOKUP(AE200,[1]Cálculos_PRICE!$A$32:$K$212,6,0),"")</f>
        <v>12136.253323889334</v>
      </c>
      <c r="AI200" s="97">
        <f>IFERROR(VLOOKUP(AE200,Cálculos_Aquisição_SAC_Fixa!A198:K471,6,0),"")</f>
        <v>694.44444444444446</v>
      </c>
      <c r="AJ200" s="97">
        <f>IFERROR(VLOOKUP(AE200,[1]Cálculos_PRICE!$A$32:$K$240,11,0),"")</f>
        <v>252394.21802536951</v>
      </c>
      <c r="AK200" s="97">
        <f>IFERROR(VLOOKUP(AE200,Cálculos_Aquisição_SAC_Fixa!A198:K471,11,0),"")</f>
        <v>12500.000000000487</v>
      </c>
      <c r="AW200" s="132"/>
    </row>
    <row r="201" spans="1:49" ht="15.5" x14ac:dyDescent="0.35">
      <c r="A201" s="98">
        <f t="shared" si="47"/>
        <v>164</v>
      </c>
      <c r="B201" s="99">
        <f t="shared" ca="1" si="40"/>
        <v>51048</v>
      </c>
      <c r="C201" s="100">
        <f t="shared" si="41"/>
        <v>11805.555555556042</v>
      </c>
      <c r="D201" s="100">
        <f t="shared" si="42"/>
        <v>152.29999999999998</v>
      </c>
      <c r="E201" s="100">
        <f t="shared" si="43"/>
        <v>11957.855555556042</v>
      </c>
      <c r="F201" s="100">
        <f t="shared" si="36"/>
        <v>694.44444444444446</v>
      </c>
      <c r="G201" s="100">
        <f t="shared" si="44"/>
        <v>846.74444444444441</v>
      </c>
      <c r="H201" s="100">
        <f t="shared" ca="1" si="37"/>
        <v>2.7152777777778896</v>
      </c>
      <c r="I201" s="100">
        <f t="shared" si="38"/>
        <v>12.000000000000002</v>
      </c>
      <c r="J201" s="100">
        <f t="shared" ca="1" si="39"/>
        <v>861.45972222222235</v>
      </c>
      <c r="K201" s="101">
        <f t="shared" si="45"/>
        <v>11111.111111111597</v>
      </c>
      <c r="O201" s="118">
        <f t="shared" si="52"/>
        <v>20.833333333333332</v>
      </c>
      <c r="P201" s="119">
        <f t="shared" ca="1" si="51"/>
        <v>30</v>
      </c>
      <c r="Q201" s="120">
        <v>365</v>
      </c>
      <c r="AA201" s="96">
        <f t="shared" si="48"/>
        <v>163</v>
      </c>
      <c r="AB201" s="97">
        <f t="shared" si="46"/>
        <v>16185.84286821706</v>
      </c>
      <c r="AC201" s="97">
        <f t="shared" ca="1" si="49"/>
        <v>870.57944444444456</v>
      </c>
      <c r="AE201" s="96">
        <f t="shared" si="50"/>
        <v>163</v>
      </c>
      <c r="AF201" s="97">
        <f>IFERROR(VLOOKUP(AE201,[1]Cálculos_PRICE!$A$32:$K$212,10,0),"")</f>
        <v>16185.84286821706</v>
      </c>
      <c r="AG201" s="97">
        <f ca="1">IFERROR(VLOOKUP(AE201,Cálculos_Aquisição_SAC_Fixa!A199:K472,10,0),"")</f>
        <v>870.57944444444456</v>
      </c>
      <c r="AH201" s="97">
        <f>IFERROR(VLOOKUP(AE201,[1]Cálculos_PRICE!$A$32:$K$212,6,0),"")</f>
        <v>12318.297123747674</v>
      </c>
      <c r="AI201" s="97">
        <f>IFERROR(VLOOKUP(AE201,Cálculos_Aquisição_SAC_Fixa!A199:K472,6,0),"")</f>
        <v>694.44444444444446</v>
      </c>
      <c r="AJ201" s="97">
        <f>IFERROR(VLOOKUP(AE201,[1]Cálculos_PRICE!$A$32:$K$240,11,0),"")</f>
        <v>240075.92090162184</v>
      </c>
      <c r="AK201" s="97">
        <f>IFERROR(VLOOKUP(AE201,Cálculos_Aquisição_SAC_Fixa!A199:K472,11,0),"")</f>
        <v>11805.555555556042</v>
      </c>
      <c r="AW201" s="132"/>
    </row>
    <row r="202" spans="1:49" ht="15.5" x14ac:dyDescent="0.35">
      <c r="A202" s="98">
        <f t="shared" si="47"/>
        <v>165</v>
      </c>
      <c r="B202" s="99">
        <f t="shared" ca="1" si="40"/>
        <v>51079</v>
      </c>
      <c r="C202" s="100">
        <f t="shared" si="41"/>
        <v>11111.111111111597</v>
      </c>
      <c r="D202" s="100">
        <f t="shared" si="42"/>
        <v>143.34</v>
      </c>
      <c r="E202" s="100">
        <f t="shared" si="43"/>
        <v>11254.451111111597</v>
      </c>
      <c r="F202" s="100">
        <f t="shared" si="36"/>
        <v>694.44444444444446</v>
      </c>
      <c r="G202" s="100">
        <f t="shared" si="44"/>
        <v>837.78444444444449</v>
      </c>
      <c r="H202" s="100">
        <f t="shared" ca="1" si="37"/>
        <v>2.5555555555556673</v>
      </c>
      <c r="I202" s="100">
        <f t="shared" si="38"/>
        <v>12.000000000000002</v>
      </c>
      <c r="J202" s="100">
        <f t="shared" ca="1" si="39"/>
        <v>852.34000000000015</v>
      </c>
      <c r="K202" s="101">
        <f t="shared" si="45"/>
        <v>10416.666666667152</v>
      </c>
      <c r="O202" s="118">
        <f t="shared" si="52"/>
        <v>20.833333333333332</v>
      </c>
      <c r="P202" s="119">
        <f t="shared" ca="1" si="51"/>
        <v>31</v>
      </c>
      <c r="Q202" s="120">
        <v>365</v>
      </c>
      <c r="AA202" s="96">
        <f t="shared" si="48"/>
        <v>164</v>
      </c>
      <c r="AB202" s="97">
        <f t="shared" si="46"/>
        <v>16183.103278936738</v>
      </c>
      <c r="AC202" s="97">
        <f t="shared" ca="1" si="49"/>
        <v>861.45972222222235</v>
      </c>
      <c r="AE202" s="96">
        <f t="shared" si="50"/>
        <v>164</v>
      </c>
      <c r="AF202" s="97">
        <f>IFERROR(VLOOKUP(AE202,[1]Cálculos_PRICE!$A$32:$K$212,10,0),"")</f>
        <v>16183.103278936738</v>
      </c>
      <c r="AG202" s="97">
        <f ca="1">IFERROR(VLOOKUP(AE202,Cálculos_Aquisição_SAC_Fixa!A200:K473,10,0),"")</f>
        <v>861.45972222222235</v>
      </c>
      <c r="AH202" s="97">
        <f>IFERROR(VLOOKUP(AE202,[1]Cálculos_PRICE!$A$32:$K$212,6,0),"")</f>
        <v>12503.07158060389</v>
      </c>
      <c r="AI202" s="97">
        <f>IFERROR(VLOOKUP(AE202,Cálculos_Aquisição_SAC_Fixa!A200:K473,6,0),"")</f>
        <v>694.44444444444446</v>
      </c>
      <c r="AJ202" s="97">
        <f>IFERROR(VLOOKUP(AE202,[1]Cálculos_PRICE!$A$32:$K$240,11,0),"")</f>
        <v>227572.84932101794</v>
      </c>
      <c r="AK202" s="97">
        <f>IFERROR(VLOOKUP(AE202,Cálculos_Aquisição_SAC_Fixa!A200:K473,11,0),"")</f>
        <v>11111.111111111597</v>
      </c>
      <c r="AW202" s="132"/>
    </row>
    <row r="203" spans="1:49" ht="15.5" x14ac:dyDescent="0.35">
      <c r="A203" s="98">
        <f t="shared" si="47"/>
        <v>166</v>
      </c>
      <c r="B203" s="99">
        <f t="shared" ca="1" si="40"/>
        <v>51109</v>
      </c>
      <c r="C203" s="100">
        <f t="shared" si="41"/>
        <v>10416.666666667152</v>
      </c>
      <c r="D203" s="100">
        <f t="shared" si="42"/>
        <v>134.38</v>
      </c>
      <c r="E203" s="100">
        <f t="shared" si="43"/>
        <v>10551.046666667151</v>
      </c>
      <c r="F203" s="100">
        <f t="shared" si="36"/>
        <v>694.44444444444446</v>
      </c>
      <c r="G203" s="100">
        <f t="shared" si="44"/>
        <v>828.82444444444445</v>
      </c>
      <c r="H203" s="100">
        <f t="shared" ca="1" si="37"/>
        <v>2.3958333333334449</v>
      </c>
      <c r="I203" s="100">
        <f t="shared" si="38"/>
        <v>12.000000000000002</v>
      </c>
      <c r="J203" s="100">
        <f t="shared" ca="1" si="39"/>
        <v>843.22027777777794</v>
      </c>
      <c r="K203" s="101">
        <f t="shared" si="45"/>
        <v>9722.2222222227065</v>
      </c>
      <c r="O203" s="118">
        <f t="shared" si="52"/>
        <v>20.833333333333332</v>
      </c>
      <c r="P203" s="119">
        <f t="shared" ca="1" si="51"/>
        <v>30</v>
      </c>
      <c r="Q203" s="120">
        <v>365</v>
      </c>
      <c r="AA203" s="96">
        <f t="shared" si="48"/>
        <v>165</v>
      </c>
      <c r="AB203" s="97">
        <f t="shared" si="46"/>
        <v>16180.322595817212</v>
      </c>
      <c r="AC203" s="97">
        <f t="shared" ca="1" si="49"/>
        <v>852.34000000000015</v>
      </c>
      <c r="AE203" s="96">
        <f t="shared" si="50"/>
        <v>165</v>
      </c>
      <c r="AF203" s="97">
        <f>IFERROR(VLOOKUP(AE203,[1]Cálculos_PRICE!$A$32:$K$212,10,0),"")</f>
        <v>16180.322595817212</v>
      </c>
      <c r="AG203" s="97">
        <f ca="1">IFERROR(VLOOKUP(AE203,Cálculos_Aquisição_SAC_Fixa!A201:K474,10,0),"")</f>
        <v>852.34000000000015</v>
      </c>
      <c r="AH203" s="97">
        <f>IFERROR(VLOOKUP(AE203,[1]Cálculos_PRICE!$A$32:$K$212,6,0),"")</f>
        <v>12690.617654312948</v>
      </c>
      <c r="AI203" s="97">
        <f>IFERROR(VLOOKUP(AE203,Cálculos_Aquisição_SAC_Fixa!A201:K474,6,0),"")</f>
        <v>694.44444444444446</v>
      </c>
      <c r="AJ203" s="97">
        <f>IFERROR(VLOOKUP(AE203,[1]Cálculos_PRICE!$A$32:$K$240,11,0),"")</f>
        <v>214882.23166670499</v>
      </c>
      <c r="AK203" s="97">
        <f>IFERROR(VLOOKUP(AE203,Cálculos_Aquisição_SAC_Fixa!A201:K474,11,0),"")</f>
        <v>10416.666666667152</v>
      </c>
      <c r="AW203" s="132"/>
    </row>
    <row r="204" spans="1:49" ht="15.5" x14ac:dyDescent="0.35">
      <c r="A204" s="98">
        <f t="shared" si="47"/>
        <v>167</v>
      </c>
      <c r="B204" s="99">
        <f t="shared" ca="1" si="40"/>
        <v>51140</v>
      </c>
      <c r="C204" s="100">
        <f t="shared" si="41"/>
        <v>9722.2222222227065</v>
      </c>
      <c r="D204" s="100">
        <f t="shared" si="42"/>
        <v>125.42</v>
      </c>
      <c r="E204" s="100">
        <f t="shared" si="43"/>
        <v>9847.6422222227066</v>
      </c>
      <c r="F204" s="100">
        <f t="shared" si="36"/>
        <v>694.44444444444446</v>
      </c>
      <c r="G204" s="100">
        <f t="shared" si="44"/>
        <v>819.86444444444442</v>
      </c>
      <c r="H204" s="100">
        <f t="shared" ca="1" si="37"/>
        <v>2.2361111111112226</v>
      </c>
      <c r="I204" s="100">
        <f t="shared" si="38"/>
        <v>12.000000000000002</v>
      </c>
      <c r="J204" s="100">
        <f t="shared" ca="1" si="39"/>
        <v>834.10055555555562</v>
      </c>
      <c r="K204" s="101">
        <f t="shared" si="45"/>
        <v>9027.7777777782612</v>
      </c>
      <c r="O204" s="118">
        <f t="shared" si="52"/>
        <v>20.833333333333332</v>
      </c>
      <c r="P204" s="119">
        <f t="shared" ca="1" si="51"/>
        <v>31</v>
      </c>
      <c r="Q204" s="120">
        <v>365</v>
      </c>
      <c r="AA204" s="96">
        <f t="shared" si="48"/>
        <v>166</v>
      </c>
      <c r="AB204" s="97">
        <f t="shared" si="46"/>
        <v>16177.500202450892</v>
      </c>
      <c r="AC204" s="97">
        <f t="shared" ca="1" si="49"/>
        <v>843.22027777777794</v>
      </c>
      <c r="AE204" s="96">
        <f t="shared" si="50"/>
        <v>166</v>
      </c>
      <c r="AF204" s="97">
        <f>IFERROR(VLOOKUP(AE204,[1]Cálculos_PRICE!$A$32:$K$212,10,0),"")</f>
        <v>16177.500202450892</v>
      </c>
      <c r="AG204" s="97">
        <f ca="1">IFERROR(VLOOKUP(AE204,Cálculos_Aquisição_SAC_Fixa!A202:K475,10,0),"")</f>
        <v>843.22027777777794</v>
      </c>
      <c r="AH204" s="97">
        <f>IFERROR(VLOOKUP(AE204,[1]Cálculos_PRICE!$A$32:$K$212,6,0),"")</f>
        <v>12880.976919127643</v>
      </c>
      <c r="AI204" s="97">
        <f>IFERROR(VLOOKUP(AE204,Cálculos_Aquisição_SAC_Fixa!A202:K475,6,0),"")</f>
        <v>694.44444444444446</v>
      </c>
      <c r="AJ204" s="97">
        <f>IFERROR(VLOOKUP(AE204,[1]Cálculos_PRICE!$A$32:$K$240,11,0),"")</f>
        <v>202001.25474757736</v>
      </c>
      <c r="AK204" s="97">
        <f>IFERROR(VLOOKUP(AE204,Cálculos_Aquisição_SAC_Fixa!A202:K475,11,0),"")</f>
        <v>9722.2222222227065</v>
      </c>
      <c r="AW204" s="132"/>
    </row>
    <row r="205" spans="1:49" ht="15.5" x14ac:dyDescent="0.35">
      <c r="A205" s="98">
        <f t="shared" si="47"/>
        <v>168</v>
      </c>
      <c r="B205" s="99">
        <f t="shared" ca="1" si="40"/>
        <v>51171</v>
      </c>
      <c r="C205" s="100">
        <f t="shared" si="41"/>
        <v>9027.7777777782612</v>
      </c>
      <c r="D205" s="100">
        <f t="shared" si="42"/>
        <v>116.46000000000001</v>
      </c>
      <c r="E205" s="100">
        <f t="shared" si="43"/>
        <v>9144.2377777782604</v>
      </c>
      <c r="F205" s="100">
        <f t="shared" si="36"/>
        <v>694.44444444444446</v>
      </c>
      <c r="G205" s="100">
        <f t="shared" si="44"/>
        <v>810.90444444444449</v>
      </c>
      <c r="H205" s="100">
        <f t="shared" ca="1" si="37"/>
        <v>2.0763888888890003</v>
      </c>
      <c r="I205" s="100">
        <f t="shared" si="38"/>
        <v>12.000000000000002</v>
      </c>
      <c r="J205" s="100">
        <f t="shared" ca="1" si="39"/>
        <v>824.98083333333352</v>
      </c>
      <c r="K205" s="101">
        <f t="shared" si="45"/>
        <v>8333.333333333816</v>
      </c>
      <c r="O205" s="118">
        <f t="shared" si="52"/>
        <v>20.833333333333332</v>
      </c>
      <c r="P205" s="119">
        <f t="shared" ca="1" si="51"/>
        <v>31</v>
      </c>
      <c r="Q205" s="120">
        <v>365</v>
      </c>
      <c r="AA205" s="96">
        <f t="shared" si="48"/>
        <v>167</v>
      </c>
      <c r="AB205" s="97">
        <f t="shared" si="46"/>
        <v>16174.635473184078</v>
      </c>
      <c r="AC205" s="97">
        <f t="shared" ca="1" si="49"/>
        <v>834.10055555555562</v>
      </c>
      <c r="AE205" s="96">
        <f t="shared" si="50"/>
        <v>167</v>
      </c>
      <c r="AF205" s="97">
        <f>IFERROR(VLOOKUP(AE205,[1]Cálculos_PRICE!$A$32:$K$212,10,0),"")</f>
        <v>16174.635473184078</v>
      </c>
      <c r="AG205" s="97">
        <f ca="1">IFERROR(VLOOKUP(AE205,Cálculos_Aquisição_SAC_Fixa!A203:K476,10,0),"")</f>
        <v>834.10055555555562</v>
      </c>
      <c r="AH205" s="97">
        <f>IFERROR(VLOOKUP(AE205,[1]Cálculos_PRICE!$A$32:$K$212,6,0),"")</f>
        <v>13074.191572914557</v>
      </c>
      <c r="AI205" s="97">
        <f>IFERROR(VLOOKUP(AE205,Cálculos_Aquisição_SAC_Fixa!A203:K476,6,0),"")</f>
        <v>694.44444444444446</v>
      </c>
      <c r="AJ205" s="97">
        <f>IFERROR(VLOOKUP(AE205,[1]Cálculos_PRICE!$A$32:$K$240,11,0),"")</f>
        <v>188927.06317466279</v>
      </c>
      <c r="AK205" s="97">
        <f>IFERROR(VLOOKUP(AE205,Cálculos_Aquisição_SAC_Fixa!A203:K476,11,0),"")</f>
        <v>9027.7777777782612</v>
      </c>
      <c r="AW205" s="132"/>
    </row>
    <row r="206" spans="1:49" ht="15.5" x14ac:dyDescent="0.35">
      <c r="A206" s="98">
        <f t="shared" si="47"/>
        <v>169</v>
      </c>
      <c r="B206" s="99">
        <f t="shared" ca="1" si="40"/>
        <v>51200</v>
      </c>
      <c r="C206" s="100">
        <f t="shared" si="41"/>
        <v>8333.333333333816</v>
      </c>
      <c r="D206" s="100">
        <f t="shared" si="42"/>
        <v>107.51</v>
      </c>
      <c r="E206" s="100">
        <f t="shared" si="43"/>
        <v>8440.8433333338162</v>
      </c>
      <c r="F206" s="100">
        <f t="shared" si="36"/>
        <v>694.44444444444446</v>
      </c>
      <c r="G206" s="100">
        <f t="shared" si="44"/>
        <v>801.95444444444445</v>
      </c>
      <c r="H206" s="100">
        <f t="shared" ca="1" si="37"/>
        <v>1.9166666666667778</v>
      </c>
      <c r="I206" s="100">
        <f t="shared" si="38"/>
        <v>12.000000000000002</v>
      </c>
      <c r="J206" s="100">
        <f t="shared" ca="1" si="39"/>
        <v>815.87111111111119</v>
      </c>
      <c r="K206" s="101">
        <f t="shared" si="45"/>
        <v>7638.8888888893716</v>
      </c>
      <c r="O206" s="118">
        <f t="shared" si="52"/>
        <v>20.833333333333332</v>
      </c>
      <c r="P206" s="119">
        <f t="shared" ca="1" si="51"/>
        <v>30</v>
      </c>
      <c r="Q206" s="120">
        <v>365</v>
      </c>
      <c r="AA206" s="96">
        <f t="shared" si="48"/>
        <v>168</v>
      </c>
      <c r="AB206" s="97">
        <f t="shared" si="46"/>
        <v>16171.727772978262</v>
      </c>
      <c r="AC206" s="97">
        <f t="shared" ca="1" si="49"/>
        <v>824.98083333333352</v>
      </c>
      <c r="AE206" s="96">
        <f t="shared" si="50"/>
        <v>168</v>
      </c>
      <c r="AF206" s="97">
        <f>IFERROR(VLOOKUP(AE206,[1]Cálculos_PRICE!$A$32:$K$212,10,0),"")</f>
        <v>16171.727772978262</v>
      </c>
      <c r="AG206" s="97">
        <f ca="1">IFERROR(VLOOKUP(AE206,Cálculos_Aquisição_SAC_Fixa!A204:K477,10,0),"")</f>
        <v>824.98083333333352</v>
      </c>
      <c r="AH206" s="97">
        <f>IFERROR(VLOOKUP(AE206,[1]Cálculos_PRICE!$A$32:$K$212,6,0),"")</f>
        <v>13270.304446508275</v>
      </c>
      <c r="AI206" s="97">
        <f>IFERROR(VLOOKUP(AE206,Cálculos_Aquisição_SAC_Fixa!A204:K477,6,0),"")</f>
        <v>694.44444444444446</v>
      </c>
      <c r="AJ206" s="97">
        <f>IFERROR(VLOOKUP(AE206,[1]Cálculos_PRICE!$A$32:$K$240,11,0),"")</f>
        <v>175656.75872815453</v>
      </c>
      <c r="AK206" s="97">
        <f>IFERROR(VLOOKUP(AE206,Cálculos_Aquisição_SAC_Fixa!A204:K477,11,0),"")</f>
        <v>8333.333333333816</v>
      </c>
      <c r="AW206" s="132"/>
    </row>
    <row r="207" spans="1:49" ht="15.5" x14ac:dyDescent="0.35">
      <c r="A207" s="98">
        <f t="shared" si="47"/>
        <v>170</v>
      </c>
      <c r="B207" s="99">
        <f t="shared" ca="1" si="40"/>
        <v>51231</v>
      </c>
      <c r="C207" s="100">
        <f t="shared" si="41"/>
        <v>7638.8888888893716</v>
      </c>
      <c r="D207" s="100">
        <f t="shared" si="42"/>
        <v>98.550000000000011</v>
      </c>
      <c r="E207" s="100">
        <f t="shared" si="43"/>
        <v>7737.4388888893718</v>
      </c>
      <c r="F207" s="100">
        <f t="shared" si="36"/>
        <v>694.44444444444446</v>
      </c>
      <c r="G207" s="100">
        <f t="shared" si="44"/>
        <v>792.99444444444453</v>
      </c>
      <c r="H207" s="100">
        <f t="shared" ca="1" si="37"/>
        <v>1.7569444444445554</v>
      </c>
      <c r="I207" s="100">
        <f t="shared" si="38"/>
        <v>12.000000000000002</v>
      </c>
      <c r="J207" s="100">
        <f t="shared" ca="1" si="39"/>
        <v>806.7513888888891</v>
      </c>
      <c r="K207" s="101">
        <f t="shared" si="45"/>
        <v>6944.4444444449273</v>
      </c>
      <c r="O207" s="118">
        <f t="shared" si="52"/>
        <v>20.833333333333332</v>
      </c>
      <c r="P207" s="119">
        <f t="shared" ca="1" si="51"/>
        <v>31</v>
      </c>
      <c r="Q207" s="120">
        <v>365</v>
      </c>
      <c r="AA207" s="96">
        <f t="shared" si="48"/>
        <v>169</v>
      </c>
      <c r="AB207" s="97">
        <f t="shared" si="46"/>
        <v>16168.776457269358</v>
      </c>
      <c r="AC207" s="97">
        <f t="shared" ca="1" si="49"/>
        <v>815.87111111111119</v>
      </c>
      <c r="AE207" s="96">
        <f t="shared" si="50"/>
        <v>169</v>
      </c>
      <c r="AF207" s="97">
        <f>IFERROR(VLOOKUP(AE207,[1]Cálculos_PRICE!$A$32:$K$212,10,0),"")</f>
        <v>16168.776457269358</v>
      </c>
      <c r="AG207" s="97">
        <f ca="1">IFERROR(VLOOKUP(AE207,Cálculos_Aquisição_SAC_Fixa!A205:K478,10,0),"")</f>
        <v>815.87111111111119</v>
      </c>
      <c r="AH207" s="97">
        <f>IFERROR(VLOOKUP(AE207,[1]Cálculos_PRICE!$A$32:$K$212,6,0),"")</f>
        <v>13469.3590132059</v>
      </c>
      <c r="AI207" s="97">
        <f>IFERROR(VLOOKUP(AE207,Cálculos_Aquisição_SAC_Fixa!A205:K478,6,0),"")</f>
        <v>694.44444444444446</v>
      </c>
      <c r="AJ207" s="97">
        <f>IFERROR(VLOOKUP(AE207,[1]Cálculos_PRICE!$A$32:$K$240,11,0),"")</f>
        <v>162187.39971494864</v>
      </c>
      <c r="AK207" s="97">
        <f>IFERROR(VLOOKUP(AE207,Cálculos_Aquisição_SAC_Fixa!A205:K478,11,0),"")</f>
        <v>7638.8888888893716</v>
      </c>
      <c r="AW207" s="132"/>
    </row>
    <row r="208" spans="1:49" ht="15.5" x14ac:dyDescent="0.35">
      <c r="A208" s="98">
        <f t="shared" si="47"/>
        <v>171</v>
      </c>
      <c r="B208" s="99">
        <f t="shared" ca="1" si="40"/>
        <v>51261</v>
      </c>
      <c r="C208" s="100">
        <f t="shared" si="41"/>
        <v>6944.4444444449273</v>
      </c>
      <c r="D208" s="100">
        <f t="shared" si="42"/>
        <v>89.59</v>
      </c>
      <c r="E208" s="100">
        <f t="shared" si="43"/>
        <v>7034.0344444449274</v>
      </c>
      <c r="F208" s="100">
        <f t="shared" si="36"/>
        <v>694.44444444444446</v>
      </c>
      <c r="G208" s="100">
        <f t="shared" si="44"/>
        <v>784.03444444444449</v>
      </c>
      <c r="H208" s="100">
        <f t="shared" ca="1" si="37"/>
        <v>1.5972222222223333</v>
      </c>
      <c r="I208" s="100">
        <f t="shared" si="38"/>
        <v>12.000000000000002</v>
      </c>
      <c r="J208" s="100">
        <f t="shared" ca="1" si="39"/>
        <v>797.63166666666677</v>
      </c>
      <c r="K208" s="101">
        <f t="shared" si="45"/>
        <v>6250.0000000004829</v>
      </c>
      <c r="O208" s="118">
        <f t="shared" si="52"/>
        <v>20.833333333333332</v>
      </c>
      <c r="P208" s="119">
        <f t="shared" ca="1" si="51"/>
        <v>30</v>
      </c>
      <c r="Q208" s="120">
        <v>365</v>
      </c>
      <c r="AA208" s="96">
        <f t="shared" si="48"/>
        <v>170</v>
      </c>
      <c r="AB208" s="97">
        <f t="shared" si="46"/>
        <v>16165.780871824822</v>
      </c>
      <c r="AC208" s="97">
        <f t="shared" ca="1" si="49"/>
        <v>806.7513888888891</v>
      </c>
      <c r="AE208" s="96">
        <f t="shared" si="50"/>
        <v>170</v>
      </c>
      <c r="AF208" s="97">
        <f>IFERROR(VLOOKUP(AE208,[1]Cálculos_PRICE!$A$32:$K$212,10,0),"")</f>
        <v>16165.780871824822</v>
      </c>
      <c r="AG208" s="97">
        <f ca="1">IFERROR(VLOOKUP(AE208,Cálculos_Aquisição_SAC_Fixa!A206:K479,10,0),"")</f>
        <v>806.7513888888891</v>
      </c>
      <c r="AH208" s="97">
        <f>IFERROR(VLOOKUP(AE208,[1]Cálculos_PRICE!$A$32:$K$212,6,0),"")</f>
        <v>13671.399398403988</v>
      </c>
      <c r="AI208" s="97">
        <f>IFERROR(VLOOKUP(AE208,Cálculos_Aquisição_SAC_Fixa!A206:K479,6,0),"")</f>
        <v>694.44444444444446</v>
      </c>
      <c r="AJ208" s="97">
        <f>IFERROR(VLOOKUP(AE208,[1]Cálculos_PRICE!$A$32:$K$240,11,0),"")</f>
        <v>148516.00031654464</v>
      </c>
      <c r="AK208" s="97">
        <f>IFERROR(VLOOKUP(AE208,Cálculos_Aquisição_SAC_Fixa!A206:K479,11,0),"")</f>
        <v>6944.4444444449273</v>
      </c>
      <c r="AW208" s="132"/>
    </row>
    <row r="209" spans="1:49" ht="15.5" x14ac:dyDescent="0.35">
      <c r="A209" s="98">
        <f t="shared" si="47"/>
        <v>172</v>
      </c>
      <c r="B209" s="99">
        <f t="shared" ca="1" si="40"/>
        <v>51292</v>
      </c>
      <c r="C209" s="100">
        <f t="shared" si="41"/>
        <v>6250.0000000004829</v>
      </c>
      <c r="D209" s="100">
        <f t="shared" si="42"/>
        <v>80.63000000000001</v>
      </c>
      <c r="E209" s="100">
        <f t="shared" si="43"/>
        <v>6330.6300000004831</v>
      </c>
      <c r="F209" s="100">
        <f t="shared" si="36"/>
        <v>694.44444444444446</v>
      </c>
      <c r="G209" s="100">
        <f t="shared" si="44"/>
        <v>775.07444444444445</v>
      </c>
      <c r="H209" s="100">
        <f t="shared" ca="1" si="37"/>
        <v>1.437500000000111</v>
      </c>
      <c r="I209" s="100">
        <f t="shared" si="38"/>
        <v>12.000000000000002</v>
      </c>
      <c r="J209" s="100">
        <f t="shared" ca="1" si="39"/>
        <v>788.51194444444457</v>
      </c>
      <c r="K209" s="101">
        <f t="shared" si="45"/>
        <v>5555.5555555560386</v>
      </c>
      <c r="O209" s="118">
        <f t="shared" si="52"/>
        <v>20.833333333333332</v>
      </c>
      <c r="P209" s="119">
        <f t="shared" ca="1" si="51"/>
        <v>31</v>
      </c>
      <c r="Q209" s="120">
        <v>365</v>
      </c>
      <c r="AA209" s="96">
        <f t="shared" si="48"/>
        <v>171</v>
      </c>
      <c r="AB209" s="97">
        <f t="shared" si="46"/>
        <v>16162.740352598616</v>
      </c>
      <c r="AC209" s="97">
        <f t="shared" ca="1" si="49"/>
        <v>797.63166666666677</v>
      </c>
      <c r="AE209" s="96">
        <f t="shared" si="50"/>
        <v>171</v>
      </c>
      <c r="AF209" s="97">
        <f>IFERROR(VLOOKUP(AE209,[1]Cálculos_PRICE!$A$32:$K$212,10,0),"")</f>
        <v>16162.740352598616</v>
      </c>
      <c r="AG209" s="97">
        <f ca="1">IFERROR(VLOOKUP(AE209,Cálculos_Aquisição_SAC_Fixa!A207:K480,10,0),"")</f>
        <v>797.63166666666677</v>
      </c>
      <c r="AH209" s="97">
        <f>IFERROR(VLOOKUP(AE209,[1]Cálculos_PRICE!$A$32:$K$212,6,0),"")</f>
        <v>13876.470389380047</v>
      </c>
      <c r="AI209" s="97">
        <f>IFERROR(VLOOKUP(AE209,Cálculos_Aquisição_SAC_Fixa!A207:K480,6,0),"")</f>
        <v>694.44444444444446</v>
      </c>
      <c r="AJ209" s="97">
        <f>IFERROR(VLOOKUP(AE209,[1]Cálculos_PRICE!$A$32:$K$240,11,0),"")</f>
        <v>134639.52992716461</v>
      </c>
      <c r="AK209" s="97">
        <f>IFERROR(VLOOKUP(AE209,Cálculos_Aquisição_SAC_Fixa!A207:K480,11,0),"")</f>
        <v>6250.0000000004829</v>
      </c>
      <c r="AW209" s="132"/>
    </row>
    <row r="210" spans="1:49" ht="15.5" x14ac:dyDescent="0.35">
      <c r="A210" s="98">
        <f t="shared" si="47"/>
        <v>173</v>
      </c>
      <c r="B210" s="99">
        <f t="shared" ca="1" si="40"/>
        <v>51322</v>
      </c>
      <c r="C210" s="100">
        <f t="shared" si="41"/>
        <v>5555.5555555560386</v>
      </c>
      <c r="D210" s="100">
        <f t="shared" si="42"/>
        <v>71.67</v>
      </c>
      <c r="E210" s="100">
        <f t="shared" si="43"/>
        <v>5627.2255555560387</v>
      </c>
      <c r="F210" s="100">
        <f t="shared" si="36"/>
        <v>694.44444444444446</v>
      </c>
      <c r="G210" s="100">
        <f t="shared" si="44"/>
        <v>766.11444444444442</v>
      </c>
      <c r="H210" s="100">
        <f t="shared" ca="1" si="37"/>
        <v>1.2777777777778889</v>
      </c>
      <c r="I210" s="100">
        <f t="shared" si="38"/>
        <v>12.000000000000002</v>
      </c>
      <c r="J210" s="100">
        <f t="shared" ca="1" si="39"/>
        <v>779.39222222222236</v>
      </c>
      <c r="K210" s="101">
        <f t="shared" si="45"/>
        <v>4861.1111111115943</v>
      </c>
      <c r="O210" s="118">
        <f t="shared" si="52"/>
        <v>20.833333333333332</v>
      </c>
      <c r="P210" s="119">
        <f t="shared" ca="1" si="51"/>
        <v>31</v>
      </c>
      <c r="Q210" s="120">
        <v>365</v>
      </c>
      <c r="AA210" s="96">
        <f t="shared" si="48"/>
        <v>172</v>
      </c>
      <c r="AB210" s="97">
        <f t="shared" si="46"/>
        <v>16159.654225584018</v>
      </c>
      <c r="AC210" s="97">
        <f t="shared" ca="1" si="49"/>
        <v>788.51194444444457</v>
      </c>
      <c r="AE210" s="96">
        <f t="shared" si="50"/>
        <v>172</v>
      </c>
      <c r="AF210" s="97">
        <f>IFERROR(VLOOKUP(AE210,[1]Cálculos_PRICE!$A$32:$K$212,10,0),"")</f>
        <v>16159.654225584018</v>
      </c>
      <c r="AG210" s="97">
        <f ca="1">IFERROR(VLOOKUP(AE210,Cálculos_Aquisição_SAC_Fixa!A208:K481,10,0),"")</f>
        <v>788.51194444444457</v>
      </c>
      <c r="AH210" s="97">
        <f>IFERROR(VLOOKUP(AE210,[1]Cálculos_PRICE!$A$32:$K$212,6,0),"")</f>
        <v>14084.617445220747</v>
      </c>
      <c r="AI210" s="97">
        <f>IFERROR(VLOOKUP(AE210,Cálculos_Aquisição_SAC_Fixa!A208:K481,6,0),"")</f>
        <v>694.44444444444446</v>
      </c>
      <c r="AJ210" s="97">
        <f>IFERROR(VLOOKUP(AE210,[1]Cálculos_PRICE!$A$32:$K$240,11,0),"")</f>
        <v>120554.91248194386</v>
      </c>
      <c r="AK210" s="97">
        <f>IFERROR(VLOOKUP(AE210,Cálculos_Aquisição_SAC_Fixa!A208:K481,11,0),"")</f>
        <v>5555.5555555560386</v>
      </c>
      <c r="AW210" s="132"/>
    </row>
    <row r="211" spans="1:49" ht="15.5" x14ac:dyDescent="0.35">
      <c r="A211" s="98">
        <f t="shared" si="47"/>
        <v>174</v>
      </c>
      <c r="B211" s="99">
        <f t="shared" ca="1" si="40"/>
        <v>51353</v>
      </c>
      <c r="C211" s="100">
        <f t="shared" si="41"/>
        <v>4861.1111111115943</v>
      </c>
      <c r="D211" s="100">
        <f t="shared" si="42"/>
        <v>62.71</v>
      </c>
      <c r="E211" s="100">
        <f t="shared" si="43"/>
        <v>4923.8211111115943</v>
      </c>
      <c r="F211" s="100">
        <f t="shared" si="36"/>
        <v>694.44444444444446</v>
      </c>
      <c r="G211" s="100">
        <f t="shared" si="44"/>
        <v>757.15444444444449</v>
      </c>
      <c r="H211" s="100">
        <f t="shared" ca="1" si="37"/>
        <v>1.1180555555556666</v>
      </c>
      <c r="I211" s="100">
        <f t="shared" si="38"/>
        <v>12.000000000000002</v>
      </c>
      <c r="J211" s="100">
        <f t="shared" ca="1" si="39"/>
        <v>770.27250000000015</v>
      </c>
      <c r="K211" s="101">
        <f t="shared" si="45"/>
        <v>4166.6666666671499</v>
      </c>
      <c r="O211" s="118">
        <f t="shared" si="52"/>
        <v>20.833333333333332</v>
      </c>
      <c r="P211" s="119">
        <f t="shared" ca="1" si="51"/>
        <v>29</v>
      </c>
      <c r="Q211" s="120">
        <v>365</v>
      </c>
      <c r="AA211" s="96">
        <f t="shared" si="48"/>
        <v>173</v>
      </c>
      <c r="AB211" s="97">
        <f t="shared" si="46"/>
        <v>16156.521806664201</v>
      </c>
      <c r="AC211" s="97">
        <f t="shared" ca="1" si="49"/>
        <v>779.39222222222236</v>
      </c>
      <c r="AE211" s="96">
        <f t="shared" si="50"/>
        <v>173</v>
      </c>
      <c r="AF211" s="97">
        <f>IFERROR(VLOOKUP(AE211,[1]Cálculos_PRICE!$A$32:$K$212,10,0),"")</f>
        <v>16156.521806664201</v>
      </c>
      <c r="AG211" s="97">
        <f ca="1">IFERROR(VLOOKUP(AE211,Cálculos_Aquisição_SAC_Fixa!A209:K482,10,0),"")</f>
        <v>779.39222222222236</v>
      </c>
      <c r="AH211" s="97">
        <f>IFERROR(VLOOKUP(AE211,[1]Cálculos_PRICE!$A$32:$K$212,6,0),"")</f>
        <v>14295.886706899058</v>
      </c>
      <c r="AI211" s="97">
        <f>IFERROR(VLOOKUP(AE211,Cálculos_Aquisição_SAC_Fixa!A209:K482,6,0),"")</f>
        <v>694.44444444444446</v>
      </c>
      <c r="AJ211" s="97">
        <f>IFERROR(VLOOKUP(AE211,[1]Cálculos_PRICE!$A$32:$K$240,11,0),"")</f>
        <v>106259.02577504481</v>
      </c>
      <c r="AK211" s="97">
        <f>IFERROR(VLOOKUP(AE211,Cálculos_Aquisição_SAC_Fixa!A209:K482,11,0),"")</f>
        <v>4861.1111111115943</v>
      </c>
      <c r="AW211" s="132"/>
    </row>
    <row r="212" spans="1:49" ht="15.5" x14ac:dyDescent="0.35">
      <c r="A212" s="98">
        <f t="shared" si="47"/>
        <v>175</v>
      </c>
      <c r="B212" s="99">
        <f t="shared" ca="1" si="40"/>
        <v>51384</v>
      </c>
      <c r="C212" s="100">
        <f t="shared" si="41"/>
        <v>4166.6666666671499</v>
      </c>
      <c r="D212" s="100">
        <f t="shared" si="42"/>
        <v>53.76</v>
      </c>
      <c r="E212" s="100">
        <f t="shared" si="43"/>
        <v>4220.4266666671501</v>
      </c>
      <c r="F212" s="100">
        <f t="shared" si="36"/>
        <v>694.44444444444446</v>
      </c>
      <c r="G212" s="100">
        <f t="shared" si="44"/>
        <v>748.20444444444445</v>
      </c>
      <c r="H212" s="100">
        <f t="shared" ca="1" si="37"/>
        <v>0.9583333333334445</v>
      </c>
      <c r="I212" s="100">
        <f t="shared" si="38"/>
        <v>12.000000000000002</v>
      </c>
      <c r="J212" s="100">
        <f t="shared" ca="1" si="39"/>
        <v>761.16277777777793</v>
      </c>
      <c r="K212" s="101">
        <f t="shared" si="45"/>
        <v>3472.2222222227056</v>
      </c>
      <c r="O212" s="118">
        <f t="shared" si="52"/>
        <v>20.833333333333332</v>
      </c>
      <c r="P212" s="119">
        <f t="shared" ca="1" si="51"/>
        <v>31</v>
      </c>
      <c r="Q212" s="120">
        <v>365</v>
      </c>
      <c r="AA212" s="96">
        <f t="shared" si="48"/>
        <v>174</v>
      </c>
      <c r="AB212" s="97">
        <f t="shared" si="46"/>
        <v>16153.342401460586</v>
      </c>
      <c r="AC212" s="97">
        <f t="shared" ca="1" si="49"/>
        <v>770.27250000000015</v>
      </c>
      <c r="AE212" s="96">
        <f t="shared" si="50"/>
        <v>174</v>
      </c>
      <c r="AF212" s="97">
        <f>IFERROR(VLOOKUP(AE212,[1]Cálculos_PRICE!$A$32:$K$212,10,0),"")</f>
        <v>16153.342401460586</v>
      </c>
      <c r="AG212" s="97">
        <f ca="1">IFERROR(VLOOKUP(AE212,Cálculos_Aquisição_SAC_Fixa!A210:K483,10,0),"")</f>
        <v>770.27250000000015</v>
      </c>
      <c r="AH212" s="97">
        <f>IFERROR(VLOOKUP(AE212,[1]Cálculos_PRICE!$A$32:$K$212,6,0),"")</f>
        <v>14510.325007502544</v>
      </c>
      <c r="AI212" s="97">
        <f>IFERROR(VLOOKUP(AE212,Cálculos_Aquisição_SAC_Fixa!A210:K483,6,0),"")</f>
        <v>694.44444444444446</v>
      </c>
      <c r="AJ212" s="97">
        <f>IFERROR(VLOOKUP(AE212,[1]Cálculos_PRICE!$A$32:$K$240,11,0),"")</f>
        <v>91748.700767542265</v>
      </c>
      <c r="AK212" s="97">
        <f>IFERROR(VLOOKUP(AE212,Cálculos_Aquisição_SAC_Fixa!A210:K483,11,0),"")</f>
        <v>4166.6666666671499</v>
      </c>
      <c r="AW212" s="132"/>
    </row>
    <row r="213" spans="1:49" ht="15.5" x14ac:dyDescent="0.35">
      <c r="A213" s="98">
        <f t="shared" si="47"/>
        <v>176</v>
      </c>
      <c r="B213" s="99">
        <f t="shared" ca="1" si="40"/>
        <v>51414</v>
      </c>
      <c r="C213" s="100">
        <f t="shared" si="41"/>
        <v>3472.2222222227056</v>
      </c>
      <c r="D213" s="100">
        <f t="shared" si="42"/>
        <v>44.8</v>
      </c>
      <c r="E213" s="100">
        <f t="shared" si="43"/>
        <v>3517.0222222227058</v>
      </c>
      <c r="F213" s="100">
        <f t="shared" si="36"/>
        <v>694.44444444444446</v>
      </c>
      <c r="G213" s="100">
        <f t="shared" si="44"/>
        <v>739.24444444444441</v>
      </c>
      <c r="H213" s="100">
        <f t="shared" ca="1" si="37"/>
        <v>0.79861111111122229</v>
      </c>
      <c r="I213" s="100">
        <f t="shared" si="38"/>
        <v>12.000000000000002</v>
      </c>
      <c r="J213" s="100">
        <f t="shared" ca="1" si="39"/>
        <v>752.04305555555561</v>
      </c>
      <c r="K213" s="101">
        <f t="shared" si="45"/>
        <v>2777.7777777782612</v>
      </c>
      <c r="O213" s="118">
        <f t="shared" si="52"/>
        <v>20.833333333333332</v>
      </c>
      <c r="P213" s="119">
        <f t="shared" ca="1" si="51"/>
        <v>30</v>
      </c>
      <c r="Q213" s="120">
        <v>365</v>
      </c>
      <c r="AA213" s="96">
        <f t="shared" si="48"/>
        <v>175</v>
      </c>
      <c r="AB213" s="97">
        <f t="shared" si="46"/>
        <v>16150.115305178919</v>
      </c>
      <c r="AC213" s="97">
        <f t="shared" ca="1" si="49"/>
        <v>761.16277777777793</v>
      </c>
      <c r="AE213" s="96">
        <f t="shared" si="50"/>
        <v>175</v>
      </c>
      <c r="AF213" s="97">
        <f>IFERROR(VLOOKUP(AE213,[1]Cálculos_PRICE!$A$32:$K$212,10,0),"")</f>
        <v>16150.115305178919</v>
      </c>
      <c r="AG213" s="97">
        <f ca="1">IFERROR(VLOOKUP(AE213,Cálculos_Aquisição_SAC_Fixa!A211:K484,10,0),"")</f>
        <v>761.16277777777793</v>
      </c>
      <c r="AH213" s="97">
        <f>IFERROR(VLOOKUP(AE213,[1]Cálculos_PRICE!$A$32:$K$212,6,0),"")</f>
        <v>14727.979882615084</v>
      </c>
      <c r="AI213" s="97">
        <f>IFERROR(VLOOKUP(AE213,Cálculos_Aquisição_SAC_Fixa!A211:K484,6,0),"")</f>
        <v>694.44444444444446</v>
      </c>
      <c r="AJ213" s="97">
        <f>IFERROR(VLOOKUP(AE213,[1]Cálculos_PRICE!$A$32:$K$240,11,0),"")</f>
        <v>77020.720884927185</v>
      </c>
      <c r="AK213" s="97">
        <f>IFERROR(VLOOKUP(AE213,Cálculos_Aquisição_SAC_Fixa!A211:K484,11,0),"")</f>
        <v>3472.2222222227056</v>
      </c>
      <c r="AW213" s="132"/>
    </row>
    <row r="214" spans="1:49" ht="15.5" x14ac:dyDescent="0.35">
      <c r="A214" s="98">
        <f t="shared" si="47"/>
        <v>177</v>
      </c>
      <c r="B214" s="99">
        <f t="shared" ca="1" si="40"/>
        <v>51445</v>
      </c>
      <c r="C214" s="100">
        <f t="shared" si="41"/>
        <v>2777.7777777782612</v>
      </c>
      <c r="D214" s="100">
        <f t="shared" si="42"/>
        <v>35.839999999999996</v>
      </c>
      <c r="E214" s="100">
        <f t="shared" si="43"/>
        <v>2813.6177777782614</v>
      </c>
      <c r="F214" s="100">
        <f t="shared" si="36"/>
        <v>694.44444444444446</v>
      </c>
      <c r="G214" s="100">
        <f t="shared" si="44"/>
        <v>730.28444444444449</v>
      </c>
      <c r="H214" s="100">
        <f t="shared" ca="1" si="37"/>
        <v>0.63888888888900008</v>
      </c>
      <c r="I214" s="100">
        <f t="shared" si="38"/>
        <v>12.000000000000002</v>
      </c>
      <c r="J214" s="100">
        <f t="shared" ca="1" si="39"/>
        <v>742.92333333333352</v>
      </c>
      <c r="K214" s="101">
        <f t="shared" si="45"/>
        <v>2083.3333333338169</v>
      </c>
      <c r="O214" s="118">
        <f t="shared" si="52"/>
        <v>20.833333333333332</v>
      </c>
      <c r="P214" s="119">
        <f t="shared" ca="1" si="51"/>
        <v>31</v>
      </c>
      <c r="Q214" s="120">
        <v>365</v>
      </c>
      <c r="AA214" s="96">
        <f t="shared" si="48"/>
        <v>176</v>
      </c>
      <c r="AB214" s="97">
        <f t="shared" si="46"/>
        <v>16146.839802453025</v>
      </c>
      <c r="AC214" s="97">
        <f t="shared" ca="1" si="49"/>
        <v>752.04305555555561</v>
      </c>
      <c r="AE214" s="96">
        <f t="shared" si="50"/>
        <v>176</v>
      </c>
      <c r="AF214" s="97">
        <f>IFERROR(VLOOKUP(AE214,[1]Cálculos_PRICE!$A$32:$K$212,10,0),"")</f>
        <v>16146.839802453025</v>
      </c>
      <c r="AG214" s="97">
        <f ca="1">IFERROR(VLOOKUP(AE214,Cálculos_Aquisição_SAC_Fixa!A212:K485,10,0),"")</f>
        <v>752.04305555555561</v>
      </c>
      <c r="AH214" s="97">
        <f>IFERROR(VLOOKUP(AE214,[1]Cálculos_PRICE!$A$32:$K$212,6,0),"")</f>
        <v>14948.89958085431</v>
      </c>
      <c r="AI214" s="97">
        <f>IFERROR(VLOOKUP(AE214,Cálculos_Aquisição_SAC_Fixa!A212:K485,6,0),"")</f>
        <v>694.44444444444446</v>
      </c>
      <c r="AJ214" s="97">
        <f>IFERROR(VLOOKUP(AE214,[1]Cálculos_PRICE!$A$32:$K$240,11,0),"")</f>
        <v>62071.821304072873</v>
      </c>
      <c r="AK214" s="97">
        <f>IFERROR(VLOOKUP(AE214,Cálculos_Aquisição_SAC_Fixa!A212:K485,11,0),"")</f>
        <v>2777.7777777782612</v>
      </c>
      <c r="AW214" s="132"/>
    </row>
    <row r="215" spans="1:49" ht="15.5" x14ac:dyDescent="0.35">
      <c r="A215" s="98">
        <f t="shared" si="47"/>
        <v>178</v>
      </c>
      <c r="B215" s="99">
        <f t="shared" ca="1" si="40"/>
        <v>51475</v>
      </c>
      <c r="C215" s="100">
        <f t="shared" si="41"/>
        <v>2083.3333333338169</v>
      </c>
      <c r="D215" s="100">
        <f t="shared" si="42"/>
        <v>26.880000000000003</v>
      </c>
      <c r="E215" s="100">
        <f t="shared" si="43"/>
        <v>2110.213333333817</v>
      </c>
      <c r="F215" s="100">
        <f t="shared" si="36"/>
        <v>694.44444444444446</v>
      </c>
      <c r="G215" s="100">
        <f t="shared" si="44"/>
        <v>721.32444444444445</v>
      </c>
      <c r="H215" s="100">
        <f t="shared" ca="1" si="37"/>
        <v>0.47916666666677787</v>
      </c>
      <c r="I215" s="100">
        <f t="shared" si="38"/>
        <v>12.000000000000002</v>
      </c>
      <c r="J215" s="100">
        <f t="shared" ca="1" si="39"/>
        <v>733.80361111111119</v>
      </c>
      <c r="K215" s="101">
        <f t="shared" si="45"/>
        <v>1388.8888888893725</v>
      </c>
      <c r="O215" s="118">
        <f t="shared" si="52"/>
        <v>20.833333333333332</v>
      </c>
      <c r="P215" s="119">
        <f t="shared" ca="1" si="51"/>
        <v>30</v>
      </c>
      <c r="Q215" s="120">
        <v>365</v>
      </c>
      <c r="AA215" s="96">
        <f t="shared" si="48"/>
        <v>177</v>
      </c>
      <c r="AB215" s="97">
        <f t="shared" si="46"/>
        <v>16143.515167186242</v>
      </c>
      <c r="AC215" s="97">
        <f t="shared" ca="1" si="49"/>
        <v>742.92333333333352</v>
      </c>
      <c r="AE215" s="96">
        <f t="shared" si="50"/>
        <v>177</v>
      </c>
      <c r="AF215" s="97">
        <f>IFERROR(VLOOKUP(AE215,[1]Cálculos_PRICE!$A$32:$K$212,10,0),"")</f>
        <v>16143.515167186242</v>
      </c>
      <c r="AG215" s="97">
        <f ca="1">IFERROR(VLOOKUP(AE215,Cálculos_Aquisição_SAC_Fixa!A213:K486,10,0),"")</f>
        <v>742.92333333333352</v>
      </c>
      <c r="AH215" s="97">
        <f>IFERROR(VLOOKUP(AE215,[1]Cálculos_PRICE!$A$32:$K$212,6,0),"")</f>
        <v>15173.133074567124</v>
      </c>
      <c r="AI215" s="97">
        <f>IFERROR(VLOOKUP(AE215,Cálculos_Aquisição_SAC_Fixa!A213:K486,6,0),"")</f>
        <v>694.44444444444446</v>
      </c>
      <c r="AJ215" s="97">
        <f>IFERROR(VLOOKUP(AE215,[1]Cálculos_PRICE!$A$32:$K$240,11,0),"")</f>
        <v>46898.688229505751</v>
      </c>
      <c r="AK215" s="97">
        <f>IFERROR(VLOOKUP(AE215,Cálculos_Aquisição_SAC_Fixa!A213:K486,11,0),"")</f>
        <v>2083.3333333338169</v>
      </c>
      <c r="AW215" s="132"/>
    </row>
    <row r="216" spans="1:49" ht="15.5" x14ac:dyDescent="0.35">
      <c r="A216" s="98">
        <f t="shared" si="47"/>
        <v>179</v>
      </c>
      <c r="B216" s="99">
        <f t="shared" ca="1" si="40"/>
        <v>51506</v>
      </c>
      <c r="C216" s="100">
        <f t="shared" si="41"/>
        <v>1388.8888888893725</v>
      </c>
      <c r="D216" s="100">
        <f t="shared" si="42"/>
        <v>17.920000000000002</v>
      </c>
      <c r="E216" s="100">
        <f t="shared" si="43"/>
        <v>1406.8088888893726</v>
      </c>
      <c r="F216" s="100">
        <f t="shared" si="36"/>
        <v>694.44444444444446</v>
      </c>
      <c r="G216" s="100">
        <f t="shared" si="44"/>
        <v>712.36444444444442</v>
      </c>
      <c r="H216" s="100">
        <f t="shared" ca="1" si="37"/>
        <v>0.31944444444455572</v>
      </c>
      <c r="I216" s="100">
        <f t="shared" si="38"/>
        <v>12.000000000000002</v>
      </c>
      <c r="J216" s="100">
        <f t="shared" ca="1" si="39"/>
        <v>724.68388888888899</v>
      </c>
      <c r="K216" s="101">
        <f t="shared" si="45"/>
        <v>694.44444444492808</v>
      </c>
      <c r="O216" s="118">
        <f t="shared" si="52"/>
        <v>20.833333333333332</v>
      </c>
      <c r="P216" s="119">
        <f t="shared" ca="1" si="51"/>
        <v>31</v>
      </c>
      <c r="Q216" s="120">
        <v>365</v>
      </c>
      <c r="AA216" s="96">
        <f t="shared" si="48"/>
        <v>178</v>
      </c>
      <c r="AB216" s="97">
        <f t="shared" si="46"/>
        <v>16140.140662390459</v>
      </c>
      <c r="AC216" s="97">
        <f t="shared" ca="1" si="49"/>
        <v>733.80361111111119</v>
      </c>
      <c r="AE216" s="96">
        <f t="shared" si="50"/>
        <v>178</v>
      </c>
      <c r="AF216" s="97">
        <f>IFERROR(VLOOKUP(AE216,[1]Cálculos_PRICE!$A$32:$K$212,10,0),"")</f>
        <v>16140.140662390459</v>
      </c>
      <c r="AG216" s="97">
        <f ca="1">IFERROR(VLOOKUP(AE216,Cálculos_Aquisição_SAC_Fixa!A214:K487,10,0),"")</f>
        <v>733.80361111111119</v>
      </c>
      <c r="AH216" s="97">
        <f>IFERROR(VLOOKUP(AE216,[1]Cálculos_PRICE!$A$32:$K$212,6,0),"")</f>
        <v>15400.730070685629</v>
      </c>
      <c r="AI216" s="97">
        <f>IFERROR(VLOOKUP(AE216,Cálculos_Aquisição_SAC_Fixa!A214:K487,6,0),"")</f>
        <v>694.44444444444446</v>
      </c>
      <c r="AJ216" s="97">
        <f>IFERROR(VLOOKUP(AE216,[1]Cálculos_PRICE!$A$32:$K$240,11,0),"")</f>
        <v>31497.958158820122</v>
      </c>
      <c r="AK216" s="97">
        <f>IFERROR(VLOOKUP(AE216,Cálculos_Aquisição_SAC_Fixa!A214:K487,11,0),"")</f>
        <v>1388.8888888893725</v>
      </c>
      <c r="AW216" s="132"/>
    </row>
    <row r="217" spans="1:49" ht="15.5" x14ac:dyDescent="0.35">
      <c r="A217" s="98">
        <f t="shared" si="47"/>
        <v>180</v>
      </c>
      <c r="B217" s="99">
        <f t="shared" ca="1" si="40"/>
        <v>51537</v>
      </c>
      <c r="C217" s="100">
        <f t="shared" si="41"/>
        <v>694.44444444492808</v>
      </c>
      <c r="D217" s="100">
        <f t="shared" si="42"/>
        <v>8.9599999999999991</v>
      </c>
      <c r="E217" s="100">
        <f t="shared" si="43"/>
        <v>703.40444444492812</v>
      </c>
      <c r="F217" s="100">
        <f t="shared" si="36"/>
        <v>694.44444444444446</v>
      </c>
      <c r="G217" s="100">
        <f t="shared" si="44"/>
        <v>703.40444444444449</v>
      </c>
      <c r="H217" s="100">
        <f t="shared" ca="1" si="37"/>
        <v>0.15972222222233345</v>
      </c>
      <c r="I217" s="100">
        <f t="shared" si="38"/>
        <v>12.000000000000002</v>
      </c>
      <c r="J217" s="100">
        <f t="shared" ca="1" si="39"/>
        <v>715.56416666666678</v>
      </c>
      <c r="K217" s="101">
        <f t="shared" si="45"/>
        <v>4.8362380766775459E-10</v>
      </c>
      <c r="O217" s="118">
        <f t="shared" si="52"/>
        <v>20.833333333333332</v>
      </c>
      <c r="P217" s="119">
        <f t="shared" ca="1" si="51"/>
        <v>31</v>
      </c>
      <c r="Q217" s="120">
        <v>365</v>
      </c>
      <c r="AA217" s="96">
        <f t="shared" si="48"/>
        <v>179</v>
      </c>
      <c r="AB217" s="97">
        <f t="shared" si="46"/>
        <v>16136.715540022738</v>
      </c>
      <c r="AC217" s="97">
        <f t="shared" ca="1" si="49"/>
        <v>724.68388888888899</v>
      </c>
      <c r="AE217" s="96">
        <f t="shared" si="50"/>
        <v>179</v>
      </c>
      <c r="AF217" s="97">
        <f>IFERROR(VLOOKUP(AE217,[1]Cálculos_PRICE!$A$32:$K$212,10,0),"")</f>
        <v>16136.715540022738</v>
      </c>
      <c r="AG217" s="97">
        <f ca="1">IFERROR(VLOOKUP(AE217,Cálculos_Aquisição_SAC_Fixa!A215:K488,10,0),"")</f>
        <v>724.68388888888899</v>
      </c>
      <c r="AH217" s="97">
        <f>IFERROR(VLOOKUP(AE217,[1]Cálculos_PRICE!$A$32:$K$212,6,0),"")</f>
        <v>15631.741021745915</v>
      </c>
      <c r="AI217" s="97">
        <f>IFERROR(VLOOKUP(AE217,Cálculos_Aquisição_SAC_Fixa!A215:K488,6,0),"")</f>
        <v>694.44444444444446</v>
      </c>
      <c r="AJ217" s="97">
        <f>IFERROR(VLOOKUP(AE217,[1]Cálculos_PRICE!$A$32:$K$240,11,0),"")</f>
        <v>15866.217137074207</v>
      </c>
      <c r="AK217" s="97">
        <f>IFERROR(VLOOKUP(AE217,Cálculos_Aquisição_SAC_Fixa!A215:K488,11,0),"")</f>
        <v>694.44444444492808</v>
      </c>
      <c r="AW217" s="132"/>
    </row>
    <row r="218" spans="1:49" ht="15.5" x14ac:dyDescent="0.35">
      <c r="A218" s="98" t="str">
        <f t="shared" si="47"/>
        <v/>
      </c>
      <c r="B218" s="99" t="str">
        <f t="shared" si="40"/>
        <v>-</v>
      </c>
      <c r="C218" s="100" t="str">
        <f t="shared" si="41"/>
        <v/>
      </c>
      <c r="D218" s="100" t="str">
        <f t="shared" si="42"/>
        <v/>
      </c>
      <c r="E218" s="100" t="str">
        <f t="shared" si="43"/>
        <v/>
      </c>
      <c r="F218" s="100" t="str">
        <f t="shared" si="36"/>
        <v/>
      </c>
      <c r="G218" s="100" t="str">
        <f t="shared" si="44"/>
        <v/>
      </c>
      <c r="H218" s="100" t="str">
        <f t="shared" ca="1" si="37"/>
        <v/>
      </c>
      <c r="I218" s="100" t="str">
        <f t="shared" si="38"/>
        <v/>
      </c>
      <c r="J218" s="100" t="str">
        <f t="shared" ca="1" si="39"/>
        <v/>
      </c>
      <c r="K218" s="101" t="str">
        <f t="shared" si="45"/>
        <v/>
      </c>
      <c r="O218" s="118">
        <f t="shared" si="52"/>
        <v>20.833333333333332</v>
      </c>
      <c r="P218" s="119">
        <f t="shared" ca="1" si="51"/>
        <v>30</v>
      </c>
      <c r="Q218" s="120">
        <v>365</v>
      </c>
      <c r="AA218" s="96">
        <f t="shared" si="48"/>
        <v>180</v>
      </c>
      <c r="AB218" s="97">
        <f t="shared" si="46"/>
        <v>16133.239040819502</v>
      </c>
      <c r="AC218" s="97">
        <f t="shared" ca="1" si="49"/>
        <v>715.56416666666678</v>
      </c>
      <c r="AE218" s="96">
        <f t="shared" si="50"/>
        <v>180</v>
      </c>
      <c r="AF218" s="97">
        <f>IFERROR(VLOOKUP(AE218,[1]Cálculos_PRICE!$A$32:$K$212,10,0),"")</f>
        <v>16133.239040819502</v>
      </c>
      <c r="AG218" s="97">
        <f ca="1">IFERROR(VLOOKUP(AE218,Cálculos_Aquisição_SAC_Fixa!A216:K489,10,0),"")</f>
        <v>715.56416666666678</v>
      </c>
      <c r="AH218" s="97">
        <f>IFERROR(VLOOKUP(AE218,[1]Cálculos_PRICE!$A$32:$K$212,6,0),"")</f>
        <v>15866.217137072104</v>
      </c>
      <c r="AI218" s="97">
        <f>IFERROR(VLOOKUP(AE218,Cálculos_Aquisição_SAC_Fixa!A216:K489,6,0),"")</f>
        <v>694.44444444444446</v>
      </c>
      <c r="AJ218" s="97">
        <f>IFERROR(VLOOKUP(AE218,[1]Cálculos_PRICE!$A$32:$K$240,11,0),"")</f>
        <v>2.1027517504990101E-9</v>
      </c>
      <c r="AK218" s="97">
        <f>IFERROR(VLOOKUP(AE218,Cálculos_Aquisição_SAC_Fixa!A216:K489,11,0),"")</f>
        <v>4.8362380766775459E-10</v>
      </c>
      <c r="AW218" s="132"/>
    </row>
    <row r="219" spans="1:49" ht="15.5" x14ac:dyDescent="0.35">
      <c r="A219" s="98" t="str">
        <f t="shared" si="47"/>
        <v/>
      </c>
      <c r="B219" s="99" t="str">
        <f t="shared" si="40"/>
        <v>-</v>
      </c>
      <c r="C219" s="100" t="str">
        <f t="shared" si="41"/>
        <v/>
      </c>
      <c r="D219" s="100" t="str">
        <f t="shared" si="42"/>
        <v/>
      </c>
      <c r="E219" s="100" t="str">
        <f t="shared" si="43"/>
        <v/>
      </c>
      <c r="F219" s="100" t="str">
        <f t="shared" si="36"/>
        <v/>
      </c>
      <c r="G219" s="100" t="str">
        <f t="shared" si="44"/>
        <v/>
      </c>
      <c r="H219" s="100" t="str">
        <f t="shared" ca="1" si="37"/>
        <v/>
      </c>
      <c r="I219" s="100" t="str">
        <f t="shared" si="38"/>
        <v/>
      </c>
      <c r="J219" s="100" t="str">
        <f t="shared" ca="1" si="39"/>
        <v/>
      </c>
      <c r="K219" s="101" t="str">
        <f t="shared" si="45"/>
        <v/>
      </c>
      <c r="O219" s="118">
        <f t="shared" si="52"/>
        <v>20.833333333333332</v>
      </c>
      <c r="P219" s="119">
        <f t="shared" ca="1" si="51"/>
        <v>31</v>
      </c>
      <c r="Q219" s="120">
        <v>365</v>
      </c>
      <c r="AA219" s="96" t="str">
        <f t="shared" si="48"/>
        <v/>
      </c>
      <c r="AB219" s="97"/>
      <c r="AC219" s="97" t="str">
        <f t="shared" ca="1" si="49"/>
        <v/>
      </c>
      <c r="AE219" s="96" t="str">
        <f t="shared" si="50"/>
        <v/>
      </c>
      <c r="AF219" s="97" t="str">
        <f>IFERROR(VLOOKUP(AE219,[1]Cálculos_PRICE!$A$32:$K$212,10,0),"")</f>
        <v/>
      </c>
      <c r="AG219" s="97" t="str">
        <f ca="1">IFERROR(VLOOKUP(AE219,Cálculos_Aquisição_SAC_Fixa!A217:K490,10,0),"")</f>
        <v/>
      </c>
      <c r="AH219" s="97" t="str">
        <f>IFERROR(VLOOKUP(AE219,[1]Cálculos_PRICE!$A$32:$K$212,6,0),"")</f>
        <v/>
      </c>
      <c r="AI219" s="97" t="str">
        <f>IFERROR(VLOOKUP(AE219,Cálculos_Aquisição_SAC_Fixa!A217:K490,6,0),"")</f>
        <v/>
      </c>
      <c r="AJ219" s="97" t="str">
        <f>IFERROR(VLOOKUP(AE219,[1]Cálculos_PRICE!$A$32:$K$240,11,0),"")</f>
        <v/>
      </c>
      <c r="AK219" s="97" t="str">
        <f>IFERROR(VLOOKUP(AE219,Cálculos_Aquisição_SAC_Fixa!A217:K490,11,0),"")</f>
        <v/>
      </c>
      <c r="AW219" s="132"/>
    </row>
    <row r="220" spans="1:49" ht="15.5" x14ac:dyDescent="0.35">
      <c r="A220" s="98" t="str">
        <f t="shared" si="47"/>
        <v/>
      </c>
      <c r="B220" s="99" t="str">
        <f t="shared" si="40"/>
        <v>-</v>
      </c>
      <c r="C220" s="100" t="str">
        <f t="shared" si="41"/>
        <v/>
      </c>
      <c r="D220" s="100" t="str">
        <f t="shared" si="42"/>
        <v/>
      </c>
      <c r="E220" s="100" t="str">
        <f t="shared" si="43"/>
        <v/>
      </c>
      <c r="F220" s="100" t="str">
        <f t="shared" si="36"/>
        <v/>
      </c>
      <c r="G220" s="100" t="str">
        <f t="shared" si="44"/>
        <v/>
      </c>
      <c r="H220" s="100" t="str">
        <f t="shared" ca="1" si="37"/>
        <v/>
      </c>
      <c r="I220" s="100" t="str">
        <f t="shared" si="38"/>
        <v/>
      </c>
      <c r="J220" s="100" t="str">
        <f t="shared" ca="1" si="39"/>
        <v/>
      </c>
      <c r="K220" s="101" t="str">
        <f t="shared" si="45"/>
        <v/>
      </c>
      <c r="O220" s="118">
        <f t="shared" si="52"/>
        <v>20.833333333333332</v>
      </c>
      <c r="P220" s="119">
        <f t="shared" ca="1" si="51"/>
        <v>30</v>
      </c>
      <c r="Q220" s="120">
        <v>365</v>
      </c>
      <c r="AA220" s="96" t="str">
        <f t="shared" si="48"/>
        <v/>
      </c>
      <c r="AB220" s="97"/>
      <c r="AC220" s="97" t="str">
        <f t="shared" ca="1" si="49"/>
        <v/>
      </c>
      <c r="AE220" s="96" t="str">
        <f t="shared" si="50"/>
        <v/>
      </c>
      <c r="AF220" s="97" t="str">
        <f>IFERROR(VLOOKUP(AE220,[1]Cálculos_PRICE!$A$32:$K$212,10,0),"")</f>
        <v/>
      </c>
      <c r="AG220" s="97" t="str">
        <f ca="1">IFERROR(VLOOKUP(AE220,Cálculos_Aquisição_SAC_Fixa!A218:K491,10,0),"")</f>
        <v/>
      </c>
      <c r="AH220" s="97" t="str">
        <f>IFERROR(VLOOKUP(AE220,[1]Cálculos_PRICE!$A$32:$K$212,6,0),"")</f>
        <v/>
      </c>
      <c r="AI220" s="97" t="str">
        <f>IFERROR(VLOOKUP(AE220,Cálculos_Aquisição_SAC_Fixa!A218:K491,6,0),"")</f>
        <v/>
      </c>
      <c r="AJ220" s="97" t="str">
        <f>IFERROR(VLOOKUP(AE220,[1]Cálculos_PRICE!$A$32:$K$240,11,0),"")</f>
        <v/>
      </c>
      <c r="AK220" s="97" t="str">
        <f>IFERROR(VLOOKUP(AE220,Cálculos_Aquisição_SAC_Fixa!A218:K491,11,0),"")</f>
        <v/>
      </c>
    </row>
    <row r="221" spans="1:49" ht="15.5" x14ac:dyDescent="0.35">
      <c r="A221" s="98" t="str">
        <f t="shared" si="47"/>
        <v/>
      </c>
      <c r="B221" s="99" t="str">
        <f t="shared" si="40"/>
        <v>-</v>
      </c>
      <c r="C221" s="100" t="str">
        <f t="shared" si="41"/>
        <v/>
      </c>
      <c r="D221" s="100" t="str">
        <f t="shared" si="42"/>
        <v/>
      </c>
      <c r="E221" s="100" t="str">
        <f t="shared" si="43"/>
        <v/>
      </c>
      <c r="F221" s="100" t="str">
        <f t="shared" si="36"/>
        <v/>
      </c>
      <c r="G221" s="100" t="str">
        <f t="shared" si="44"/>
        <v/>
      </c>
      <c r="H221" s="100" t="str">
        <f t="shared" ca="1" si="37"/>
        <v/>
      </c>
      <c r="I221" s="100" t="str">
        <f t="shared" si="38"/>
        <v/>
      </c>
      <c r="J221" s="100" t="str">
        <f t="shared" ca="1" si="39"/>
        <v/>
      </c>
      <c r="K221" s="101" t="str">
        <f t="shared" si="45"/>
        <v/>
      </c>
      <c r="O221" s="118">
        <f t="shared" si="52"/>
        <v>20.833333333333332</v>
      </c>
      <c r="P221" s="119">
        <f t="shared" ca="1" si="51"/>
        <v>31</v>
      </c>
      <c r="Q221" s="120">
        <v>365</v>
      </c>
      <c r="AA221" s="96" t="str">
        <f t="shared" si="48"/>
        <v/>
      </c>
      <c r="AB221" s="97"/>
      <c r="AC221" s="97" t="str">
        <f t="shared" ca="1" si="49"/>
        <v/>
      </c>
      <c r="AE221" s="96" t="str">
        <f t="shared" si="50"/>
        <v/>
      </c>
      <c r="AF221" s="97" t="str">
        <f>IFERROR(VLOOKUP(AE221,[1]Cálculos_PRICE!$A$32:$K$212,10,0),"")</f>
        <v/>
      </c>
      <c r="AG221" s="97" t="str">
        <f ca="1">IFERROR(VLOOKUP(AE221,Cálculos_Aquisição_SAC_Fixa!A219:K492,10,0),"")</f>
        <v/>
      </c>
      <c r="AH221" s="97" t="str">
        <f>IFERROR(VLOOKUP(AE221,[1]Cálculos_PRICE!$A$32:$K$212,6,0),"")</f>
        <v/>
      </c>
      <c r="AI221" s="97" t="str">
        <f>IFERROR(VLOOKUP(AE221,Cálculos_Aquisição_SAC_Fixa!A219:K492,6,0),"")</f>
        <v/>
      </c>
      <c r="AJ221" s="97" t="str">
        <f>IFERROR(VLOOKUP(AE221,[1]Cálculos_PRICE!$A$32:$K$240,11,0),"")</f>
        <v/>
      </c>
      <c r="AK221" s="97" t="str">
        <f>IFERROR(VLOOKUP(AE221,Cálculos_Aquisição_SAC_Fixa!A219:K492,11,0),"")</f>
        <v/>
      </c>
      <c r="AN221" s="132"/>
      <c r="AO221" s="132"/>
    </row>
    <row r="222" spans="1:49" ht="15.5" x14ac:dyDescent="0.35">
      <c r="A222" s="98" t="str">
        <f t="shared" si="47"/>
        <v/>
      </c>
      <c r="B222" s="99" t="str">
        <f t="shared" si="40"/>
        <v>-</v>
      </c>
      <c r="C222" s="100" t="str">
        <f t="shared" si="41"/>
        <v/>
      </c>
      <c r="D222" s="100" t="str">
        <f t="shared" si="42"/>
        <v/>
      </c>
      <c r="E222" s="100" t="str">
        <f t="shared" si="43"/>
        <v/>
      </c>
      <c r="F222" s="100" t="str">
        <f t="shared" si="36"/>
        <v/>
      </c>
      <c r="G222" s="100" t="str">
        <f t="shared" si="44"/>
        <v/>
      </c>
      <c r="H222" s="100" t="str">
        <f t="shared" ca="1" si="37"/>
        <v/>
      </c>
      <c r="I222" s="100" t="str">
        <f t="shared" si="38"/>
        <v/>
      </c>
      <c r="J222" s="100" t="str">
        <f t="shared" ca="1" si="39"/>
        <v/>
      </c>
      <c r="K222" s="101" t="str">
        <f t="shared" si="45"/>
        <v/>
      </c>
      <c r="O222" s="118">
        <f t="shared" si="52"/>
        <v>20.833333333333332</v>
      </c>
      <c r="P222" s="119">
        <f t="shared" ca="1" si="51"/>
        <v>31</v>
      </c>
      <c r="Q222" s="120">
        <v>365</v>
      </c>
      <c r="AA222" s="96" t="str">
        <f t="shared" si="48"/>
        <v/>
      </c>
      <c r="AB222" s="97"/>
      <c r="AC222" s="97" t="str">
        <f t="shared" ca="1" si="49"/>
        <v/>
      </c>
      <c r="AE222" s="96" t="str">
        <f t="shared" si="50"/>
        <v/>
      </c>
      <c r="AF222" s="97" t="str">
        <f>IFERROR(VLOOKUP(AE222,[1]Cálculos_PRICE!$A$32:$K$212,10,0),"")</f>
        <v/>
      </c>
      <c r="AG222" s="97" t="str">
        <f ca="1">IFERROR(VLOOKUP(AE222,Cálculos_Aquisição_SAC_Fixa!A220:K493,10,0),"")</f>
        <v/>
      </c>
      <c r="AH222" s="97" t="str">
        <f>IFERROR(VLOOKUP(AE222,[1]Cálculos_PRICE!$A$32:$K$212,6,0),"")</f>
        <v/>
      </c>
      <c r="AI222" s="97" t="str">
        <f>IFERROR(VLOOKUP(AE222,Cálculos_Aquisição_SAC_Fixa!A220:K493,6,0),"")</f>
        <v/>
      </c>
      <c r="AJ222" s="97" t="str">
        <f>IFERROR(VLOOKUP(AE222,[1]Cálculos_PRICE!$A$32:$K$240,11,0),"")</f>
        <v/>
      </c>
      <c r="AK222" s="97" t="str">
        <f>IFERROR(VLOOKUP(AE222,Cálculos_Aquisição_SAC_Fixa!A220:K493,11,0),"")</f>
        <v/>
      </c>
      <c r="AN222" s="132"/>
      <c r="AO222" s="132"/>
    </row>
    <row r="223" spans="1:49" ht="15.5" x14ac:dyDescent="0.35">
      <c r="A223" s="98" t="str">
        <f t="shared" si="47"/>
        <v/>
      </c>
      <c r="B223" s="99" t="str">
        <f t="shared" si="40"/>
        <v>-</v>
      </c>
      <c r="C223" s="100" t="str">
        <f t="shared" si="41"/>
        <v/>
      </c>
      <c r="D223" s="100" t="str">
        <f t="shared" si="42"/>
        <v/>
      </c>
      <c r="E223" s="100" t="str">
        <f t="shared" si="43"/>
        <v/>
      </c>
      <c r="F223" s="100" t="str">
        <f t="shared" si="36"/>
        <v/>
      </c>
      <c r="G223" s="100" t="str">
        <f t="shared" si="44"/>
        <v/>
      </c>
      <c r="H223" s="100" t="str">
        <f t="shared" ca="1" si="37"/>
        <v/>
      </c>
      <c r="I223" s="100" t="str">
        <f t="shared" si="38"/>
        <v/>
      </c>
      <c r="J223" s="100" t="str">
        <f t="shared" ca="1" si="39"/>
        <v/>
      </c>
      <c r="K223" s="101" t="str">
        <f t="shared" si="45"/>
        <v/>
      </c>
      <c r="O223" s="118">
        <f t="shared" si="52"/>
        <v>0</v>
      </c>
      <c r="P223" s="119">
        <f t="shared" si="51"/>
        <v>0</v>
      </c>
      <c r="Q223" s="120">
        <v>365</v>
      </c>
      <c r="AA223" s="96" t="str">
        <f t="shared" si="48"/>
        <v/>
      </c>
      <c r="AB223" s="97"/>
      <c r="AC223" s="97" t="str">
        <f t="shared" ca="1" si="49"/>
        <v/>
      </c>
      <c r="AE223" s="96" t="str">
        <f t="shared" si="50"/>
        <v/>
      </c>
      <c r="AF223" s="97" t="str">
        <f>IFERROR(VLOOKUP(AE223,[1]Cálculos_PRICE!$A$32:$K$212,10,0),"")</f>
        <v/>
      </c>
      <c r="AG223" s="97" t="str">
        <f ca="1">IFERROR(VLOOKUP(AE223,Cálculos_Aquisição_SAC_Fixa!A221:K494,10,0),"")</f>
        <v/>
      </c>
      <c r="AH223" s="97" t="str">
        <f>IFERROR(VLOOKUP(AE223,[1]Cálculos_PRICE!$A$32:$K$212,6,0),"")</f>
        <v/>
      </c>
      <c r="AI223" s="97" t="str">
        <f>IFERROR(VLOOKUP(AE223,Cálculos_Aquisição_SAC_Fixa!A221:K494,6,0),"")</f>
        <v/>
      </c>
      <c r="AJ223" s="97" t="str">
        <f>IFERROR(VLOOKUP(AE223,[1]Cálculos_PRICE!$A$32:$K$240,11,0),"")</f>
        <v/>
      </c>
      <c r="AK223" s="97" t="str">
        <f>IFERROR(VLOOKUP(AE223,Cálculos_Aquisição_SAC_Fixa!A221:K494,11,0),"")</f>
        <v/>
      </c>
      <c r="AN223" s="132"/>
      <c r="AO223" s="132"/>
    </row>
    <row r="224" spans="1:49" ht="15.5" x14ac:dyDescent="0.35">
      <c r="A224" s="98" t="str">
        <f t="shared" si="47"/>
        <v/>
      </c>
      <c r="B224" s="99" t="str">
        <f t="shared" si="40"/>
        <v>-</v>
      </c>
      <c r="C224" s="100" t="str">
        <f t="shared" si="41"/>
        <v/>
      </c>
      <c r="D224" s="100" t="str">
        <f t="shared" si="42"/>
        <v/>
      </c>
      <c r="E224" s="100" t="str">
        <f t="shared" si="43"/>
        <v/>
      </c>
      <c r="F224" s="100" t="str">
        <f t="shared" si="36"/>
        <v/>
      </c>
      <c r="G224" s="100" t="str">
        <f t="shared" si="44"/>
        <v/>
      </c>
      <c r="H224" s="100" t="str">
        <f t="shared" ca="1" si="37"/>
        <v/>
      </c>
      <c r="I224" s="100" t="str">
        <f t="shared" si="38"/>
        <v/>
      </c>
      <c r="J224" s="100" t="str">
        <f t="shared" ca="1" si="39"/>
        <v/>
      </c>
      <c r="K224" s="101" t="str">
        <f t="shared" si="45"/>
        <v/>
      </c>
      <c r="O224" s="118">
        <f t="shared" si="52"/>
        <v>0</v>
      </c>
      <c r="P224" s="119">
        <f t="shared" si="51"/>
        <v>0</v>
      </c>
      <c r="Q224" s="120">
        <v>365</v>
      </c>
      <c r="AA224" s="96" t="str">
        <f t="shared" si="48"/>
        <v/>
      </c>
      <c r="AB224" s="97"/>
      <c r="AC224" s="97" t="str">
        <f t="shared" ca="1" si="49"/>
        <v/>
      </c>
      <c r="AE224" s="96" t="str">
        <f t="shared" si="50"/>
        <v/>
      </c>
      <c r="AF224" s="97" t="str">
        <f>IFERROR(VLOOKUP(AE224,[1]Cálculos_PRICE!$A$32:$K$212,10,0),"")</f>
        <v/>
      </c>
      <c r="AG224" s="97" t="str">
        <f ca="1">IFERROR(VLOOKUP(AE224,Cálculos_Aquisição_SAC_Fixa!A222:K495,10,0),"")</f>
        <v/>
      </c>
      <c r="AH224" s="97" t="str">
        <f>IFERROR(VLOOKUP(AE224,[1]Cálculos_PRICE!$A$32:$K$212,6,0),"")</f>
        <v/>
      </c>
      <c r="AI224" s="97" t="str">
        <f>IFERROR(VLOOKUP(AE224,Cálculos_Aquisição_SAC_Fixa!A222:K495,6,0),"")</f>
        <v/>
      </c>
      <c r="AJ224" s="97" t="str">
        <f>IFERROR(VLOOKUP(AE224,[1]Cálculos_PRICE!$A$32:$K$240,11,0),"")</f>
        <v/>
      </c>
      <c r="AK224" s="97" t="str">
        <f>IFERROR(VLOOKUP(AE224,Cálculos_Aquisição_SAC_Fixa!A222:K495,11,0),"")</f>
        <v/>
      </c>
      <c r="AN224" s="132"/>
      <c r="AO224" s="132"/>
    </row>
    <row r="225" spans="1:41" ht="15.5" x14ac:dyDescent="0.35">
      <c r="A225" s="98" t="str">
        <f t="shared" si="47"/>
        <v/>
      </c>
      <c r="B225" s="99" t="str">
        <f t="shared" si="40"/>
        <v>-</v>
      </c>
      <c r="C225" s="100" t="str">
        <f t="shared" si="41"/>
        <v/>
      </c>
      <c r="D225" s="100" t="str">
        <f t="shared" si="42"/>
        <v/>
      </c>
      <c r="E225" s="100" t="str">
        <f t="shared" si="43"/>
        <v/>
      </c>
      <c r="F225" s="100" t="str">
        <f t="shared" si="36"/>
        <v/>
      </c>
      <c r="G225" s="100" t="str">
        <f t="shared" si="44"/>
        <v/>
      </c>
      <c r="H225" s="100" t="str">
        <f t="shared" ca="1" si="37"/>
        <v/>
      </c>
      <c r="I225" s="100" t="str">
        <f t="shared" si="38"/>
        <v/>
      </c>
      <c r="J225" s="100" t="str">
        <f t="shared" ca="1" si="39"/>
        <v/>
      </c>
      <c r="K225" s="101" t="str">
        <f t="shared" si="45"/>
        <v/>
      </c>
      <c r="O225" s="118">
        <f t="shared" si="52"/>
        <v>0</v>
      </c>
      <c r="P225" s="119">
        <f t="shared" si="51"/>
        <v>0</v>
      </c>
      <c r="Q225" s="120">
        <v>365</v>
      </c>
      <c r="AA225" s="96" t="str">
        <f t="shared" si="48"/>
        <v/>
      </c>
      <c r="AB225" s="97"/>
      <c r="AC225" s="97" t="str">
        <f t="shared" ca="1" si="49"/>
        <v/>
      </c>
      <c r="AE225" s="96" t="str">
        <f t="shared" si="50"/>
        <v/>
      </c>
      <c r="AF225" s="97" t="str">
        <f>IFERROR(VLOOKUP(AE225,[1]Cálculos_PRICE!$A$32:$K$212,10,0),"")</f>
        <v/>
      </c>
      <c r="AG225" s="97" t="str">
        <f ca="1">IFERROR(VLOOKUP(AE225,Cálculos_Aquisição_SAC_Fixa!A223:K496,10,0),"")</f>
        <v/>
      </c>
      <c r="AH225" s="97" t="str">
        <f>IFERROR(VLOOKUP(AE225,[1]Cálculos_PRICE!$A$32:$K$212,6,0),"")</f>
        <v/>
      </c>
      <c r="AI225" s="97" t="str">
        <f>IFERROR(VLOOKUP(AE225,Cálculos_Aquisição_SAC_Fixa!A223:K496,6,0),"")</f>
        <v/>
      </c>
      <c r="AJ225" s="97" t="str">
        <f>IFERROR(VLOOKUP(AE225,[1]Cálculos_PRICE!$A$32:$K$240,11,0),"")</f>
        <v/>
      </c>
      <c r="AK225" s="97" t="str">
        <f>IFERROR(VLOOKUP(AE225,Cálculos_Aquisição_SAC_Fixa!A223:K496,11,0),"")</f>
        <v/>
      </c>
      <c r="AN225" s="132"/>
      <c r="AO225" s="132"/>
    </row>
    <row r="226" spans="1:41" ht="15.5" x14ac:dyDescent="0.35">
      <c r="A226" s="98" t="str">
        <f t="shared" si="47"/>
        <v/>
      </c>
      <c r="B226" s="99" t="str">
        <f t="shared" si="40"/>
        <v>-</v>
      </c>
      <c r="C226" s="100" t="str">
        <f t="shared" si="41"/>
        <v/>
      </c>
      <c r="D226" s="100" t="str">
        <f t="shared" si="42"/>
        <v/>
      </c>
      <c r="E226" s="100" t="str">
        <f t="shared" si="43"/>
        <v/>
      </c>
      <c r="F226" s="100" t="str">
        <f t="shared" si="36"/>
        <v/>
      </c>
      <c r="G226" s="100" t="str">
        <f t="shared" si="44"/>
        <v/>
      </c>
      <c r="H226" s="100" t="str">
        <f t="shared" ca="1" si="37"/>
        <v/>
      </c>
      <c r="I226" s="100" t="str">
        <f t="shared" si="38"/>
        <v/>
      </c>
      <c r="J226" s="100" t="str">
        <f t="shared" ca="1" si="39"/>
        <v/>
      </c>
      <c r="K226" s="101" t="str">
        <f t="shared" si="45"/>
        <v/>
      </c>
      <c r="O226" s="118">
        <f t="shared" si="52"/>
        <v>0</v>
      </c>
      <c r="P226" s="119">
        <f t="shared" si="51"/>
        <v>0</v>
      </c>
      <c r="Q226" s="120">
        <v>365</v>
      </c>
      <c r="AA226" s="96" t="str">
        <f t="shared" si="48"/>
        <v/>
      </c>
      <c r="AB226" s="97"/>
      <c r="AC226" s="97" t="str">
        <f t="shared" ca="1" si="49"/>
        <v/>
      </c>
      <c r="AE226" s="96" t="str">
        <f t="shared" si="50"/>
        <v/>
      </c>
      <c r="AF226" s="97" t="str">
        <f>IFERROR(VLOOKUP(AE226,[1]Cálculos_PRICE!$A$32:$K$212,10,0),"")</f>
        <v/>
      </c>
      <c r="AG226" s="97" t="str">
        <f ca="1">IFERROR(VLOOKUP(AE226,Cálculos_Aquisição_SAC_Fixa!A224:K497,10,0),"")</f>
        <v/>
      </c>
      <c r="AH226" s="97" t="str">
        <f>IFERROR(VLOOKUP(AE226,[1]Cálculos_PRICE!$A$32:$K$212,6,0),"")</f>
        <v/>
      </c>
      <c r="AI226" s="97" t="str">
        <f>IFERROR(VLOOKUP(AE226,Cálculos_Aquisição_SAC_Fixa!A224:K497,6,0),"")</f>
        <v/>
      </c>
      <c r="AJ226" s="97" t="str">
        <f>IFERROR(VLOOKUP(AE226,[1]Cálculos_PRICE!$A$32:$K$240,11,0),"")</f>
        <v/>
      </c>
      <c r="AK226" s="97" t="str">
        <f>IFERROR(VLOOKUP(AE226,Cálculos_Aquisição_SAC_Fixa!A224:K497,11,0),"")</f>
        <v/>
      </c>
      <c r="AN226" s="132"/>
      <c r="AO226" s="132"/>
    </row>
    <row r="227" spans="1:41" ht="15.5" x14ac:dyDescent="0.35">
      <c r="A227" s="98" t="str">
        <f t="shared" si="47"/>
        <v/>
      </c>
      <c r="B227" s="99" t="str">
        <f t="shared" si="40"/>
        <v>-</v>
      </c>
      <c r="C227" s="100" t="str">
        <f t="shared" si="41"/>
        <v/>
      </c>
      <c r="D227" s="100" t="str">
        <f t="shared" si="42"/>
        <v/>
      </c>
      <c r="E227" s="100" t="str">
        <f t="shared" si="43"/>
        <v/>
      </c>
      <c r="F227" s="100" t="str">
        <f t="shared" si="36"/>
        <v/>
      </c>
      <c r="G227" s="100" t="str">
        <f t="shared" si="44"/>
        <v/>
      </c>
      <c r="H227" s="100" t="str">
        <f t="shared" ca="1" si="37"/>
        <v/>
      </c>
      <c r="I227" s="100" t="str">
        <f t="shared" si="38"/>
        <v/>
      </c>
      <c r="J227" s="100" t="str">
        <f t="shared" ca="1" si="39"/>
        <v/>
      </c>
      <c r="K227" s="101" t="str">
        <f t="shared" si="45"/>
        <v/>
      </c>
      <c r="O227" s="118">
        <f t="shared" si="52"/>
        <v>0</v>
      </c>
      <c r="P227" s="119">
        <f t="shared" si="51"/>
        <v>0</v>
      </c>
      <c r="Q227" s="120">
        <v>365</v>
      </c>
      <c r="AA227" s="96" t="str">
        <f t="shared" si="48"/>
        <v/>
      </c>
      <c r="AB227" s="97"/>
      <c r="AC227" s="97" t="str">
        <f t="shared" ca="1" si="49"/>
        <v/>
      </c>
      <c r="AE227" s="96" t="str">
        <f t="shared" si="50"/>
        <v/>
      </c>
      <c r="AF227" s="97" t="str">
        <f>IFERROR(VLOOKUP(AE227,[1]Cálculos_PRICE!$A$32:$K$212,10,0),"")</f>
        <v/>
      </c>
      <c r="AG227" s="97" t="str">
        <f ca="1">IFERROR(VLOOKUP(AE227,Cálculos_Aquisição_SAC_Fixa!A225:K498,10,0),"")</f>
        <v/>
      </c>
      <c r="AH227" s="97" t="str">
        <f>IFERROR(VLOOKUP(AE227,[1]Cálculos_PRICE!$A$32:$K$212,6,0),"")</f>
        <v/>
      </c>
      <c r="AI227" s="97" t="str">
        <f>IFERROR(VLOOKUP(AE227,Cálculos_Aquisição_SAC_Fixa!A225:K498,6,0),"")</f>
        <v/>
      </c>
      <c r="AJ227" s="97" t="str">
        <f>IFERROR(VLOOKUP(AE227,[1]Cálculos_PRICE!$A$32:$K$240,11,0),"")</f>
        <v/>
      </c>
      <c r="AK227" s="97" t="str">
        <f>IFERROR(VLOOKUP(AE227,Cálculos_Aquisição_SAC_Fixa!A225:K498,11,0),"")</f>
        <v/>
      </c>
      <c r="AN227" s="132"/>
      <c r="AO227" s="132"/>
    </row>
    <row r="228" spans="1:41" ht="15.5" x14ac:dyDescent="0.35">
      <c r="A228" s="98" t="str">
        <f t="shared" si="47"/>
        <v/>
      </c>
      <c r="B228" s="99" t="str">
        <f t="shared" si="40"/>
        <v>-</v>
      </c>
      <c r="C228" s="100" t="str">
        <f t="shared" si="41"/>
        <v/>
      </c>
      <c r="D228" s="100" t="str">
        <f t="shared" si="42"/>
        <v/>
      </c>
      <c r="E228" s="100" t="str">
        <f t="shared" si="43"/>
        <v/>
      </c>
      <c r="F228" s="100" t="str">
        <f t="shared" si="36"/>
        <v/>
      </c>
      <c r="G228" s="100" t="str">
        <f t="shared" si="44"/>
        <v/>
      </c>
      <c r="H228" s="100" t="str">
        <f t="shared" ca="1" si="37"/>
        <v/>
      </c>
      <c r="I228" s="100" t="str">
        <f t="shared" si="38"/>
        <v/>
      </c>
      <c r="J228" s="100" t="str">
        <f t="shared" ca="1" si="39"/>
        <v/>
      </c>
      <c r="K228" s="101" t="str">
        <f t="shared" si="45"/>
        <v/>
      </c>
      <c r="O228" s="118">
        <f t="shared" si="52"/>
        <v>0</v>
      </c>
      <c r="P228" s="119">
        <f t="shared" si="51"/>
        <v>0</v>
      </c>
      <c r="Q228" s="120">
        <v>365</v>
      </c>
      <c r="AA228" s="96" t="str">
        <f t="shared" si="48"/>
        <v/>
      </c>
      <c r="AB228" s="97"/>
      <c r="AC228" s="97" t="str">
        <f t="shared" ca="1" si="49"/>
        <v/>
      </c>
      <c r="AE228" s="96" t="str">
        <f t="shared" si="50"/>
        <v/>
      </c>
      <c r="AF228" s="97" t="str">
        <f>IFERROR(VLOOKUP(AE228,[1]Cálculos_PRICE!$A$32:$K$212,10,0),"")</f>
        <v/>
      </c>
      <c r="AG228" s="97" t="str">
        <f ca="1">IFERROR(VLOOKUP(AE228,Cálculos_Aquisição_SAC_Fixa!A226:K499,10,0),"")</f>
        <v/>
      </c>
      <c r="AH228" s="97" t="str">
        <f>IFERROR(VLOOKUP(AE228,[1]Cálculos_PRICE!$A$32:$K$212,6,0),"")</f>
        <v/>
      </c>
      <c r="AI228" s="97" t="str">
        <f>IFERROR(VLOOKUP(AE228,Cálculos_Aquisição_SAC_Fixa!A226:K499,6,0),"")</f>
        <v/>
      </c>
      <c r="AJ228" s="97" t="str">
        <f>IFERROR(VLOOKUP(AE228,[1]Cálculos_PRICE!$A$32:$K$240,11,0),"")</f>
        <v/>
      </c>
      <c r="AK228" s="97" t="str">
        <f>IFERROR(VLOOKUP(AE228,Cálculos_Aquisição_SAC_Fixa!A226:K499,11,0),"")</f>
        <v/>
      </c>
      <c r="AN228" s="132"/>
      <c r="AO228" s="132"/>
    </row>
    <row r="229" spans="1:41" ht="15.5" x14ac:dyDescent="0.35">
      <c r="A229" s="98" t="str">
        <f t="shared" si="47"/>
        <v/>
      </c>
      <c r="B229" s="99" t="str">
        <f t="shared" si="40"/>
        <v>-</v>
      </c>
      <c r="C229" s="100" t="str">
        <f t="shared" si="41"/>
        <v/>
      </c>
      <c r="D229" s="100" t="str">
        <f t="shared" si="42"/>
        <v/>
      </c>
      <c r="E229" s="100" t="str">
        <f t="shared" si="43"/>
        <v/>
      </c>
      <c r="F229" s="100" t="str">
        <f t="shared" si="36"/>
        <v/>
      </c>
      <c r="G229" s="100" t="str">
        <f t="shared" si="44"/>
        <v/>
      </c>
      <c r="H229" s="100" t="str">
        <f t="shared" ca="1" si="37"/>
        <v/>
      </c>
      <c r="I229" s="100" t="str">
        <f t="shared" si="38"/>
        <v/>
      </c>
      <c r="J229" s="100" t="str">
        <f t="shared" ca="1" si="39"/>
        <v/>
      </c>
      <c r="K229" s="101" t="str">
        <f t="shared" si="45"/>
        <v/>
      </c>
      <c r="O229" s="118">
        <f t="shared" si="52"/>
        <v>0</v>
      </c>
      <c r="P229" s="119">
        <f t="shared" si="51"/>
        <v>0</v>
      </c>
      <c r="Q229" s="120">
        <v>365</v>
      </c>
      <c r="AA229" s="96" t="str">
        <f t="shared" si="48"/>
        <v/>
      </c>
      <c r="AB229" s="97"/>
      <c r="AC229" s="97" t="str">
        <f t="shared" ca="1" si="49"/>
        <v/>
      </c>
      <c r="AE229" s="96" t="str">
        <f t="shared" si="50"/>
        <v/>
      </c>
      <c r="AF229" s="97" t="str">
        <f>IFERROR(VLOOKUP(AE229,[1]Cálculos_PRICE!$A$32:$K$212,10,0),"")</f>
        <v/>
      </c>
      <c r="AG229" s="97" t="str">
        <f ca="1">IFERROR(VLOOKUP(AE229,Cálculos_Aquisição_SAC_Fixa!A227:K500,10,0),"")</f>
        <v/>
      </c>
      <c r="AH229" s="97" t="str">
        <f>IFERROR(VLOOKUP(AE229,[1]Cálculos_PRICE!$A$32:$K$212,6,0),"")</f>
        <v/>
      </c>
      <c r="AI229" s="97" t="str">
        <f>IFERROR(VLOOKUP(AE229,Cálculos_Aquisição_SAC_Fixa!A227:K500,6,0),"")</f>
        <v/>
      </c>
      <c r="AJ229" s="97" t="str">
        <f>IFERROR(VLOOKUP(AE229,[1]Cálculos_PRICE!$A$32:$K$240,11,0),"")</f>
        <v/>
      </c>
      <c r="AK229" s="97" t="str">
        <f>IFERROR(VLOOKUP(AE229,Cálculos_Aquisição_SAC_Fixa!A227:K500,11,0),"")</f>
        <v/>
      </c>
      <c r="AN229" s="132"/>
      <c r="AO229" s="132"/>
    </row>
    <row r="230" spans="1:41" ht="15.5" x14ac:dyDescent="0.35">
      <c r="A230" s="98" t="str">
        <f t="shared" si="47"/>
        <v/>
      </c>
      <c r="B230" s="99" t="str">
        <f t="shared" si="40"/>
        <v>-</v>
      </c>
      <c r="C230" s="100" t="str">
        <f t="shared" si="41"/>
        <v/>
      </c>
      <c r="D230" s="100" t="str">
        <f t="shared" si="42"/>
        <v/>
      </c>
      <c r="E230" s="100" t="str">
        <f t="shared" si="43"/>
        <v/>
      </c>
      <c r="F230" s="100" t="str">
        <f t="shared" ref="F230:F277" si="53">IF(A230="","",$C$38/$I$18)</f>
        <v/>
      </c>
      <c r="G230" s="100" t="str">
        <f t="shared" si="44"/>
        <v/>
      </c>
      <c r="H230" s="100" t="str">
        <f t="shared" ref="H230:H277" ca="1" si="54">IFERROR($V$39*$C230,"")</f>
        <v/>
      </c>
      <c r="I230" s="100" t="str">
        <f t="shared" ref="I230:I277" si="55">IF(A230="","",IF(K229="","",IF(K229=0,"",$W$39*$I$14)))</f>
        <v/>
      </c>
      <c r="J230" s="100" t="str">
        <f t="shared" ref="J230:J277" ca="1" si="56">IFERROR(SUM(I230+H230+G230),"")</f>
        <v/>
      </c>
      <c r="K230" s="101" t="str">
        <f t="shared" si="45"/>
        <v/>
      </c>
      <c r="O230" s="118">
        <f t="shared" si="52"/>
        <v>0</v>
      </c>
      <c r="P230" s="119">
        <f t="shared" si="51"/>
        <v>0</v>
      </c>
      <c r="Q230" s="120">
        <v>365</v>
      </c>
      <c r="AA230" s="96" t="str">
        <f t="shared" si="48"/>
        <v/>
      </c>
      <c r="AB230" s="97"/>
      <c r="AC230" s="97" t="str">
        <f t="shared" ca="1" si="49"/>
        <v/>
      </c>
      <c r="AE230" s="96" t="str">
        <f t="shared" si="50"/>
        <v/>
      </c>
      <c r="AF230" s="97" t="str">
        <f>IFERROR(VLOOKUP(AE230,[1]Cálculos_PRICE!$A$32:$K$212,10,0),"")</f>
        <v/>
      </c>
      <c r="AG230" s="97" t="str">
        <f ca="1">IFERROR(VLOOKUP(AE230,Cálculos_Aquisição_SAC_Fixa!A228:K501,10,0),"")</f>
        <v/>
      </c>
      <c r="AH230" s="97" t="str">
        <f>IFERROR(VLOOKUP(AE230,[1]Cálculos_PRICE!$A$32:$K$212,6,0),"")</f>
        <v/>
      </c>
      <c r="AI230" s="97" t="str">
        <f>IFERROR(VLOOKUP(AE230,Cálculos_Aquisição_SAC_Fixa!A228:K501,6,0),"")</f>
        <v/>
      </c>
      <c r="AJ230" s="97" t="str">
        <f>IFERROR(VLOOKUP(AE230,[1]Cálculos_PRICE!$A$32:$K$240,11,0),"")</f>
        <v/>
      </c>
      <c r="AK230" s="97" t="str">
        <f>IFERROR(VLOOKUP(AE230,Cálculos_Aquisição_SAC_Fixa!A228:K501,11,0),"")</f>
        <v/>
      </c>
      <c r="AN230" s="132"/>
      <c r="AO230" s="132"/>
    </row>
    <row r="231" spans="1:41" ht="15.5" x14ac:dyDescent="0.35">
      <c r="A231" s="98" t="str">
        <f t="shared" si="47"/>
        <v/>
      </c>
      <c r="B231" s="99" t="str">
        <f t="shared" ref="B231:B277" si="57">IFERROR(IF(A231&lt;=$I$18,DATE(YEAR($B$38),MONTH($B$38)+A230,DAY($B$38)),"-"),"")</f>
        <v>-</v>
      </c>
      <c r="C231" s="100" t="str">
        <f t="shared" ref="C231:C277" si="58">IF(A231="","",K230)</f>
        <v/>
      </c>
      <c r="D231" s="100" t="str">
        <f t="shared" ref="D231:D277" si="59">IFERROR(ROUNDUP(C231*$I$20,2),"")</f>
        <v/>
      </c>
      <c r="E231" s="100" t="str">
        <f t="shared" ref="E231:E277" si="60">IFERROR(C231+D231,"")</f>
        <v/>
      </c>
      <c r="F231" s="100" t="str">
        <f t="shared" si="53"/>
        <v/>
      </c>
      <c r="G231" s="100" t="str">
        <f t="shared" ref="G231:G277" si="61">IF(A231="","",D231+F231)</f>
        <v/>
      </c>
      <c r="H231" s="100" t="str">
        <f t="shared" ca="1" si="54"/>
        <v/>
      </c>
      <c r="I231" s="100" t="str">
        <f t="shared" si="55"/>
        <v/>
      </c>
      <c r="J231" s="100" t="str">
        <f t="shared" ca="1" si="56"/>
        <v/>
      </c>
      <c r="K231" s="101" t="str">
        <f t="shared" ref="K231:K277" si="62">IF(A231="","",C231-F231)</f>
        <v/>
      </c>
      <c r="O231" s="118">
        <f t="shared" si="52"/>
        <v>0</v>
      </c>
      <c r="P231" s="119">
        <f t="shared" si="51"/>
        <v>0</v>
      </c>
      <c r="Q231" s="120">
        <v>365</v>
      </c>
      <c r="AA231" s="96" t="str">
        <f t="shared" si="48"/>
        <v/>
      </c>
      <c r="AB231" s="97"/>
      <c r="AC231" s="97" t="str">
        <f t="shared" ca="1" si="49"/>
        <v/>
      </c>
      <c r="AE231" s="96" t="str">
        <f t="shared" si="50"/>
        <v/>
      </c>
      <c r="AF231" s="97" t="str">
        <f>IFERROR(VLOOKUP(AE231,[1]Cálculos_PRICE!$A$32:$K$212,10,0),"")</f>
        <v/>
      </c>
      <c r="AG231" s="97" t="str">
        <f ca="1">IFERROR(VLOOKUP(AE231,Cálculos_Aquisição_SAC_Fixa!A229:K502,10,0),"")</f>
        <v/>
      </c>
      <c r="AH231" s="97" t="str">
        <f>IFERROR(VLOOKUP(AE231,[1]Cálculos_PRICE!$A$32:$K$212,6,0),"")</f>
        <v/>
      </c>
      <c r="AI231" s="97" t="str">
        <f>IFERROR(VLOOKUP(AE231,Cálculos_Aquisição_SAC_Fixa!A229:K502,6,0),"")</f>
        <v/>
      </c>
      <c r="AJ231" s="97" t="str">
        <f>IFERROR(VLOOKUP(AE231,[1]Cálculos_PRICE!$A$32:$K$240,11,0),"")</f>
        <v/>
      </c>
      <c r="AK231" s="97" t="str">
        <f>IFERROR(VLOOKUP(AE231,Cálculos_Aquisição_SAC_Fixa!A229:K502,11,0),"")</f>
        <v/>
      </c>
      <c r="AN231" s="132"/>
      <c r="AO231" s="132"/>
    </row>
    <row r="232" spans="1:41" ht="15.5" x14ac:dyDescent="0.35">
      <c r="A232" s="98" t="str">
        <f t="shared" ref="A232:A277" si="63">IF(IF(AND(A231&gt;0,A231&lt;$I$18),A231+1,0)=0,"",IF(AND(A231&gt;0,A231&lt;$I$18),A231+1,0))</f>
        <v/>
      </c>
      <c r="B232" s="99" t="str">
        <f t="shared" si="57"/>
        <v>-</v>
      </c>
      <c r="C232" s="100" t="str">
        <f t="shared" si="58"/>
        <v/>
      </c>
      <c r="D232" s="100" t="str">
        <f t="shared" si="59"/>
        <v/>
      </c>
      <c r="E232" s="100" t="str">
        <f t="shared" si="60"/>
        <v/>
      </c>
      <c r="F232" s="100" t="str">
        <f t="shared" si="53"/>
        <v/>
      </c>
      <c r="G232" s="100" t="str">
        <f t="shared" si="61"/>
        <v/>
      </c>
      <c r="H232" s="100" t="str">
        <f t="shared" ca="1" si="54"/>
        <v/>
      </c>
      <c r="I232" s="100" t="str">
        <f t="shared" si="55"/>
        <v/>
      </c>
      <c r="J232" s="100" t="str">
        <f t="shared" ca="1" si="56"/>
        <v/>
      </c>
      <c r="K232" s="101" t="str">
        <f t="shared" si="62"/>
        <v/>
      </c>
      <c r="O232" s="118">
        <f t="shared" si="52"/>
        <v>0</v>
      </c>
      <c r="P232" s="119">
        <f t="shared" si="51"/>
        <v>0</v>
      </c>
      <c r="Q232" s="120">
        <v>365</v>
      </c>
      <c r="AA232" s="96" t="str">
        <f t="shared" ref="AA232:AA278" si="64">A231</f>
        <v/>
      </c>
      <c r="AB232" s="97"/>
      <c r="AC232" s="97" t="str">
        <f t="shared" ref="AC232:AC278" ca="1" si="65">IF($AA$36=1,VLOOKUP(AA232,$AE$38:$AK$278,7,0),IF($AA$36=2,VLOOKUP(AA232,$AE$38:$AK$278,5,0),VLOOKUP(AA232,$AE$38:$AK$278,3,0)))</f>
        <v/>
      </c>
      <c r="AE232" s="96" t="str">
        <f t="shared" ref="AE232:AE278" si="66">AA232</f>
        <v/>
      </c>
      <c r="AF232" s="97" t="str">
        <f>IFERROR(VLOOKUP(AE232,[1]Cálculos_PRICE!$A$32:$K$212,10,0),"")</f>
        <v/>
      </c>
      <c r="AG232" s="97" t="str">
        <f ca="1">IFERROR(VLOOKUP(AE232,Cálculos_Aquisição_SAC_Fixa!A230:K503,10,0),"")</f>
        <v/>
      </c>
      <c r="AH232" s="97" t="str">
        <f>IFERROR(VLOOKUP(AE232,[1]Cálculos_PRICE!$A$32:$K$212,6,0),"")</f>
        <v/>
      </c>
      <c r="AI232" s="97" t="str">
        <f>IFERROR(VLOOKUP(AE232,Cálculos_Aquisição_SAC_Fixa!A230:K503,6,0),"")</f>
        <v/>
      </c>
      <c r="AJ232" s="97" t="str">
        <f>IFERROR(VLOOKUP(AE232,[1]Cálculos_PRICE!$A$32:$K$240,11,0),"")</f>
        <v/>
      </c>
      <c r="AK232" s="97" t="str">
        <f>IFERROR(VLOOKUP(AE232,Cálculos_Aquisição_SAC_Fixa!A230:K503,11,0),"")</f>
        <v/>
      </c>
      <c r="AN232" s="132"/>
      <c r="AO232" s="132"/>
    </row>
    <row r="233" spans="1:41" ht="15.5" x14ac:dyDescent="0.35">
      <c r="A233" s="98" t="str">
        <f t="shared" si="63"/>
        <v/>
      </c>
      <c r="B233" s="99" t="str">
        <f t="shared" si="57"/>
        <v>-</v>
      </c>
      <c r="C233" s="100" t="str">
        <f t="shared" si="58"/>
        <v/>
      </c>
      <c r="D233" s="100" t="str">
        <f t="shared" si="59"/>
        <v/>
      </c>
      <c r="E233" s="100" t="str">
        <f t="shared" si="60"/>
        <v/>
      </c>
      <c r="F233" s="100" t="str">
        <f t="shared" si="53"/>
        <v/>
      </c>
      <c r="G233" s="100" t="str">
        <f t="shared" si="61"/>
        <v/>
      </c>
      <c r="H233" s="100" t="str">
        <f t="shared" ca="1" si="54"/>
        <v/>
      </c>
      <c r="I233" s="100" t="str">
        <f t="shared" si="55"/>
        <v/>
      </c>
      <c r="J233" s="100" t="str">
        <f t="shared" ca="1" si="56"/>
        <v/>
      </c>
      <c r="K233" s="101" t="str">
        <f t="shared" si="62"/>
        <v/>
      </c>
      <c r="O233" s="118">
        <f t="shared" si="52"/>
        <v>0</v>
      </c>
      <c r="P233" s="119">
        <f t="shared" si="51"/>
        <v>0</v>
      </c>
      <c r="Q233" s="120">
        <v>365</v>
      </c>
      <c r="AA233" s="96" t="str">
        <f t="shared" si="64"/>
        <v/>
      </c>
      <c r="AB233" s="97"/>
      <c r="AC233" s="97" t="str">
        <f t="shared" ca="1" si="65"/>
        <v/>
      </c>
      <c r="AE233" s="96" t="str">
        <f t="shared" si="66"/>
        <v/>
      </c>
      <c r="AF233" s="97" t="str">
        <f>IFERROR(VLOOKUP(AE233,[1]Cálculos_PRICE!$A$32:$K$212,10,0),"")</f>
        <v/>
      </c>
      <c r="AG233" s="97" t="str">
        <f ca="1">IFERROR(VLOOKUP(AE233,Cálculos_Aquisição_SAC_Fixa!A231:K504,10,0),"")</f>
        <v/>
      </c>
      <c r="AH233" s="97" t="str">
        <f>IFERROR(VLOOKUP(AE233,[1]Cálculos_PRICE!$A$32:$K$212,6,0),"")</f>
        <v/>
      </c>
      <c r="AI233" s="97" t="str">
        <f>IFERROR(VLOOKUP(AE233,Cálculos_Aquisição_SAC_Fixa!A231:K504,6,0),"")</f>
        <v/>
      </c>
      <c r="AJ233" s="97" t="str">
        <f>IFERROR(VLOOKUP(AE233,[1]Cálculos_PRICE!$A$32:$K$240,11,0),"")</f>
        <v/>
      </c>
      <c r="AK233" s="97" t="str">
        <f>IFERROR(VLOOKUP(AE233,Cálculos_Aquisição_SAC_Fixa!A231:K504,11,0),"")</f>
        <v/>
      </c>
      <c r="AN233" s="132"/>
      <c r="AO233" s="132"/>
    </row>
    <row r="234" spans="1:41" ht="15.5" x14ac:dyDescent="0.35">
      <c r="A234" s="98" t="str">
        <f t="shared" si="63"/>
        <v/>
      </c>
      <c r="B234" s="99" t="str">
        <f t="shared" si="57"/>
        <v>-</v>
      </c>
      <c r="C234" s="100" t="str">
        <f t="shared" si="58"/>
        <v/>
      </c>
      <c r="D234" s="100" t="str">
        <f t="shared" si="59"/>
        <v/>
      </c>
      <c r="E234" s="100" t="str">
        <f t="shared" si="60"/>
        <v/>
      </c>
      <c r="F234" s="100" t="str">
        <f t="shared" si="53"/>
        <v/>
      </c>
      <c r="G234" s="100" t="str">
        <f t="shared" si="61"/>
        <v/>
      </c>
      <c r="H234" s="100" t="str">
        <f t="shared" ca="1" si="54"/>
        <v/>
      </c>
      <c r="I234" s="100" t="str">
        <f t="shared" si="55"/>
        <v/>
      </c>
      <c r="J234" s="100" t="str">
        <f t="shared" ca="1" si="56"/>
        <v/>
      </c>
      <c r="K234" s="101" t="str">
        <f t="shared" si="62"/>
        <v/>
      </c>
      <c r="O234" s="118">
        <f t="shared" si="52"/>
        <v>0</v>
      </c>
      <c r="P234" s="119">
        <f t="shared" si="51"/>
        <v>0</v>
      </c>
      <c r="Q234" s="120">
        <v>365</v>
      </c>
      <c r="AA234" s="96" t="str">
        <f t="shared" si="64"/>
        <v/>
      </c>
      <c r="AB234" s="97"/>
      <c r="AC234" s="97" t="str">
        <f t="shared" ca="1" si="65"/>
        <v/>
      </c>
      <c r="AE234" s="96" t="str">
        <f t="shared" si="66"/>
        <v/>
      </c>
      <c r="AF234" s="97" t="str">
        <f>IFERROR(VLOOKUP(AE234,[1]Cálculos_PRICE!$A$32:$K$212,10,0),"")</f>
        <v/>
      </c>
      <c r="AG234" s="97" t="str">
        <f ca="1">IFERROR(VLOOKUP(AE234,Cálculos_Aquisição_SAC_Fixa!A232:K505,10,0),"")</f>
        <v/>
      </c>
      <c r="AH234" s="97" t="str">
        <f>IFERROR(VLOOKUP(AE234,[1]Cálculos_PRICE!$A$32:$K$212,6,0),"")</f>
        <v/>
      </c>
      <c r="AI234" s="97" t="str">
        <f>IFERROR(VLOOKUP(AE234,Cálculos_Aquisição_SAC_Fixa!A232:K505,6,0),"")</f>
        <v/>
      </c>
      <c r="AJ234" s="97" t="str">
        <f>IFERROR(VLOOKUP(AE234,[1]Cálculos_PRICE!$A$32:$K$240,11,0),"")</f>
        <v/>
      </c>
      <c r="AK234" s="97" t="str">
        <f>IFERROR(VLOOKUP(AE234,Cálculos_Aquisição_SAC_Fixa!A232:K505,11,0),"")</f>
        <v/>
      </c>
      <c r="AN234" s="132"/>
      <c r="AO234" s="132"/>
    </row>
    <row r="235" spans="1:41" ht="15.5" x14ac:dyDescent="0.35">
      <c r="A235" s="98" t="str">
        <f t="shared" si="63"/>
        <v/>
      </c>
      <c r="B235" s="99" t="str">
        <f t="shared" si="57"/>
        <v>-</v>
      </c>
      <c r="C235" s="100" t="str">
        <f t="shared" si="58"/>
        <v/>
      </c>
      <c r="D235" s="100" t="str">
        <f t="shared" si="59"/>
        <v/>
      </c>
      <c r="E235" s="100" t="str">
        <f t="shared" si="60"/>
        <v/>
      </c>
      <c r="F235" s="100" t="str">
        <f t="shared" si="53"/>
        <v/>
      </c>
      <c r="G235" s="100" t="str">
        <f t="shared" si="61"/>
        <v/>
      </c>
      <c r="H235" s="100" t="str">
        <f t="shared" ca="1" si="54"/>
        <v/>
      </c>
      <c r="I235" s="100" t="str">
        <f t="shared" si="55"/>
        <v/>
      </c>
      <c r="J235" s="100" t="str">
        <f t="shared" ca="1" si="56"/>
        <v/>
      </c>
      <c r="K235" s="101" t="str">
        <f t="shared" si="62"/>
        <v/>
      </c>
      <c r="O235" s="118">
        <f t="shared" si="52"/>
        <v>0</v>
      </c>
      <c r="P235" s="119">
        <f t="shared" ref="P235:P277" si="67">IF($A230&lt;=$I$18,B230-B229,)</f>
        <v>0</v>
      </c>
      <c r="Q235" s="120">
        <v>365</v>
      </c>
      <c r="AA235" s="96" t="str">
        <f t="shared" si="64"/>
        <v/>
      </c>
      <c r="AB235" s="97"/>
      <c r="AC235" s="97" t="str">
        <f t="shared" ca="1" si="65"/>
        <v/>
      </c>
      <c r="AE235" s="96" t="str">
        <f t="shared" si="66"/>
        <v/>
      </c>
      <c r="AF235" s="97" t="str">
        <f>IFERROR(VLOOKUP(AE235,[1]Cálculos_PRICE!$A$32:$K$212,10,0),"")</f>
        <v/>
      </c>
      <c r="AG235" s="97" t="str">
        <f ca="1">IFERROR(VLOOKUP(AE235,Cálculos_Aquisição_SAC_Fixa!A233:K506,10,0),"")</f>
        <v/>
      </c>
      <c r="AH235" s="97" t="str">
        <f>IFERROR(VLOOKUP(AE235,[1]Cálculos_PRICE!$A$32:$K$212,6,0),"")</f>
        <v/>
      </c>
      <c r="AI235" s="97" t="str">
        <f>IFERROR(VLOOKUP(AE235,Cálculos_Aquisição_SAC_Fixa!A233:K506,6,0),"")</f>
        <v/>
      </c>
      <c r="AJ235" s="97" t="str">
        <f>IFERROR(VLOOKUP(AE235,[1]Cálculos_PRICE!$A$32:$K$240,11,0),"")</f>
        <v/>
      </c>
      <c r="AK235" s="97" t="str">
        <f>IFERROR(VLOOKUP(AE235,Cálculos_Aquisição_SAC_Fixa!A233:K506,11,0),"")</f>
        <v/>
      </c>
      <c r="AN235" s="132"/>
      <c r="AO235" s="132"/>
    </row>
    <row r="236" spans="1:41" ht="15.5" x14ac:dyDescent="0.35">
      <c r="A236" s="98" t="str">
        <f t="shared" si="63"/>
        <v/>
      </c>
      <c r="B236" s="99" t="str">
        <f t="shared" si="57"/>
        <v>-</v>
      </c>
      <c r="C236" s="100" t="str">
        <f t="shared" si="58"/>
        <v/>
      </c>
      <c r="D236" s="100" t="str">
        <f t="shared" si="59"/>
        <v/>
      </c>
      <c r="E236" s="100" t="str">
        <f t="shared" si="60"/>
        <v/>
      </c>
      <c r="F236" s="100" t="str">
        <f t="shared" si="53"/>
        <v/>
      </c>
      <c r="G236" s="100" t="str">
        <f t="shared" si="61"/>
        <v/>
      </c>
      <c r="H236" s="100" t="str">
        <f t="shared" ca="1" si="54"/>
        <v/>
      </c>
      <c r="I236" s="100" t="str">
        <f t="shared" si="55"/>
        <v/>
      </c>
      <c r="J236" s="100" t="str">
        <f t="shared" ca="1" si="56"/>
        <v/>
      </c>
      <c r="K236" s="101" t="str">
        <f t="shared" si="62"/>
        <v/>
      </c>
      <c r="O236" s="118">
        <f t="shared" si="52"/>
        <v>0</v>
      </c>
      <c r="P236" s="119">
        <f t="shared" si="67"/>
        <v>0</v>
      </c>
      <c r="Q236" s="120">
        <v>365</v>
      </c>
      <c r="AA236" s="96" t="str">
        <f t="shared" si="64"/>
        <v/>
      </c>
      <c r="AB236" s="97"/>
      <c r="AC236" s="97" t="str">
        <f t="shared" ca="1" si="65"/>
        <v/>
      </c>
      <c r="AE236" s="96" t="str">
        <f t="shared" si="66"/>
        <v/>
      </c>
      <c r="AF236" s="97" t="str">
        <f>IFERROR(VLOOKUP(AE236,[1]Cálculos_PRICE!$A$32:$K$212,10,0),"")</f>
        <v/>
      </c>
      <c r="AG236" s="97" t="str">
        <f ca="1">IFERROR(VLOOKUP(AE236,Cálculos_Aquisição_SAC_Fixa!A234:K507,10,0),"")</f>
        <v/>
      </c>
      <c r="AH236" s="97" t="str">
        <f>IFERROR(VLOOKUP(AE236,[1]Cálculos_PRICE!$A$32:$K$212,6,0),"")</f>
        <v/>
      </c>
      <c r="AI236" s="97" t="str">
        <f>IFERROR(VLOOKUP(AE236,Cálculos_Aquisição_SAC_Fixa!A234:K507,6,0),"")</f>
        <v/>
      </c>
      <c r="AJ236" s="97" t="str">
        <f>IFERROR(VLOOKUP(AE236,[1]Cálculos_PRICE!$A$32:$K$240,11,0),"")</f>
        <v/>
      </c>
      <c r="AK236" s="97" t="str">
        <f>IFERROR(VLOOKUP(AE236,Cálculos_Aquisição_SAC_Fixa!A234:K507,11,0),"")</f>
        <v/>
      </c>
      <c r="AN236" s="132"/>
      <c r="AO236" s="132"/>
    </row>
    <row r="237" spans="1:41" ht="15.5" x14ac:dyDescent="0.35">
      <c r="A237" s="98" t="str">
        <f t="shared" si="63"/>
        <v/>
      </c>
      <c r="B237" s="99" t="str">
        <f t="shared" si="57"/>
        <v>-</v>
      </c>
      <c r="C237" s="100" t="str">
        <f t="shared" si="58"/>
        <v/>
      </c>
      <c r="D237" s="100" t="str">
        <f t="shared" si="59"/>
        <v/>
      </c>
      <c r="E237" s="100" t="str">
        <f t="shared" si="60"/>
        <v/>
      </c>
      <c r="F237" s="100" t="str">
        <f t="shared" si="53"/>
        <v/>
      </c>
      <c r="G237" s="100" t="str">
        <f t="shared" si="61"/>
        <v/>
      </c>
      <c r="H237" s="100" t="str">
        <f t="shared" ca="1" si="54"/>
        <v/>
      </c>
      <c r="I237" s="100" t="str">
        <f t="shared" si="55"/>
        <v/>
      </c>
      <c r="J237" s="100" t="str">
        <f t="shared" ca="1" si="56"/>
        <v/>
      </c>
      <c r="K237" s="101" t="str">
        <f t="shared" si="62"/>
        <v/>
      </c>
      <c r="O237" s="118">
        <f t="shared" si="52"/>
        <v>0</v>
      </c>
      <c r="P237" s="119">
        <f t="shared" si="67"/>
        <v>0</v>
      </c>
      <c r="Q237" s="120">
        <v>365</v>
      </c>
      <c r="AA237" s="96" t="str">
        <f t="shared" si="64"/>
        <v/>
      </c>
      <c r="AB237" s="97"/>
      <c r="AC237" s="97" t="str">
        <f t="shared" ca="1" si="65"/>
        <v/>
      </c>
      <c r="AE237" s="96" t="str">
        <f t="shared" si="66"/>
        <v/>
      </c>
      <c r="AF237" s="97" t="str">
        <f>IFERROR(VLOOKUP(AE237,[1]Cálculos_PRICE!$A$32:$K$212,10,0),"")</f>
        <v/>
      </c>
      <c r="AG237" s="97" t="str">
        <f ca="1">IFERROR(VLOOKUP(AE237,Cálculos_Aquisição_SAC_Fixa!A235:K508,10,0),"")</f>
        <v/>
      </c>
      <c r="AH237" s="97" t="str">
        <f>IFERROR(VLOOKUP(AE237,[1]Cálculos_PRICE!$A$32:$K$212,6,0),"")</f>
        <v/>
      </c>
      <c r="AI237" s="97" t="str">
        <f>IFERROR(VLOOKUP(AE237,Cálculos_Aquisição_SAC_Fixa!A235:K508,6,0),"")</f>
        <v/>
      </c>
      <c r="AJ237" s="97" t="str">
        <f>IFERROR(VLOOKUP(AE237,[1]Cálculos_PRICE!$A$32:$K$240,11,0),"")</f>
        <v/>
      </c>
      <c r="AK237" s="97" t="str">
        <f>IFERROR(VLOOKUP(AE237,Cálculos_Aquisição_SAC_Fixa!A235:K508,11,0),"")</f>
        <v/>
      </c>
      <c r="AN237" s="132"/>
      <c r="AO237" s="132"/>
    </row>
    <row r="238" spans="1:41" ht="15.5" x14ac:dyDescent="0.35">
      <c r="A238" s="98" t="str">
        <f t="shared" si="63"/>
        <v/>
      </c>
      <c r="B238" s="99" t="str">
        <f t="shared" si="57"/>
        <v>-</v>
      </c>
      <c r="C238" s="100" t="str">
        <f t="shared" si="58"/>
        <v/>
      </c>
      <c r="D238" s="100" t="str">
        <f t="shared" si="59"/>
        <v/>
      </c>
      <c r="E238" s="100" t="str">
        <f t="shared" si="60"/>
        <v/>
      </c>
      <c r="F238" s="100" t="str">
        <f t="shared" si="53"/>
        <v/>
      </c>
      <c r="G238" s="100" t="str">
        <f t="shared" si="61"/>
        <v/>
      </c>
      <c r="H238" s="100" t="str">
        <f t="shared" ca="1" si="54"/>
        <v/>
      </c>
      <c r="I238" s="100" t="str">
        <f t="shared" si="55"/>
        <v/>
      </c>
      <c r="J238" s="100" t="str">
        <f t="shared" ca="1" si="56"/>
        <v/>
      </c>
      <c r="K238" s="101" t="str">
        <f t="shared" si="62"/>
        <v/>
      </c>
      <c r="O238" s="118">
        <f t="shared" si="52"/>
        <v>0</v>
      </c>
      <c r="P238" s="119">
        <f t="shared" si="67"/>
        <v>0</v>
      </c>
      <c r="Q238" s="120">
        <v>365</v>
      </c>
      <c r="AA238" s="96" t="str">
        <f t="shared" si="64"/>
        <v/>
      </c>
      <c r="AB238" s="97"/>
      <c r="AC238" s="97" t="str">
        <f t="shared" ca="1" si="65"/>
        <v/>
      </c>
      <c r="AE238" s="96" t="str">
        <f t="shared" si="66"/>
        <v/>
      </c>
      <c r="AF238" s="97" t="str">
        <f>IFERROR(VLOOKUP(AE238,[1]Cálculos_PRICE!$A$32:$K$212,10,0),"")</f>
        <v/>
      </c>
      <c r="AG238" s="97" t="str">
        <f ca="1">IFERROR(VLOOKUP(AE238,Cálculos_Aquisição_SAC_Fixa!A236:K509,10,0),"")</f>
        <v/>
      </c>
      <c r="AH238" s="97" t="str">
        <f>IFERROR(VLOOKUP(AE238,[1]Cálculos_PRICE!$A$32:$K$212,6,0),"")</f>
        <v/>
      </c>
      <c r="AI238" s="97" t="str">
        <f>IFERROR(VLOOKUP(AE238,Cálculos_Aquisição_SAC_Fixa!A236:K509,6,0),"")</f>
        <v/>
      </c>
      <c r="AJ238" s="97" t="str">
        <f>IFERROR(VLOOKUP(AE238,[1]Cálculos_PRICE!$A$32:$K$240,11,0),"")</f>
        <v/>
      </c>
      <c r="AK238" s="97" t="str">
        <f>IFERROR(VLOOKUP(AE238,Cálculos_Aquisição_SAC_Fixa!A236:K509,11,0),"")</f>
        <v/>
      </c>
      <c r="AN238" s="132"/>
      <c r="AO238" s="132"/>
    </row>
    <row r="239" spans="1:41" ht="15.5" x14ac:dyDescent="0.35">
      <c r="A239" s="98" t="str">
        <f t="shared" si="63"/>
        <v/>
      </c>
      <c r="B239" s="99" t="str">
        <f t="shared" si="57"/>
        <v>-</v>
      </c>
      <c r="C239" s="100" t="str">
        <f t="shared" si="58"/>
        <v/>
      </c>
      <c r="D239" s="100" t="str">
        <f t="shared" si="59"/>
        <v/>
      </c>
      <c r="E239" s="100" t="str">
        <f t="shared" si="60"/>
        <v/>
      </c>
      <c r="F239" s="100" t="str">
        <f t="shared" si="53"/>
        <v/>
      </c>
      <c r="G239" s="100" t="str">
        <f t="shared" si="61"/>
        <v/>
      </c>
      <c r="H239" s="100" t="str">
        <f t="shared" ca="1" si="54"/>
        <v/>
      </c>
      <c r="I239" s="100" t="str">
        <f t="shared" si="55"/>
        <v/>
      </c>
      <c r="J239" s="100" t="str">
        <f t="shared" ca="1" si="56"/>
        <v/>
      </c>
      <c r="K239" s="101" t="str">
        <f t="shared" si="62"/>
        <v/>
      </c>
      <c r="O239" s="118">
        <f t="shared" si="52"/>
        <v>0</v>
      </c>
      <c r="P239" s="119">
        <f t="shared" si="67"/>
        <v>0</v>
      </c>
      <c r="Q239" s="120">
        <v>365</v>
      </c>
      <c r="AA239" s="96" t="str">
        <f t="shared" si="64"/>
        <v/>
      </c>
      <c r="AB239" s="97"/>
      <c r="AC239" s="97" t="str">
        <f t="shared" ca="1" si="65"/>
        <v/>
      </c>
      <c r="AE239" s="96" t="str">
        <f t="shared" si="66"/>
        <v/>
      </c>
      <c r="AF239" s="97" t="str">
        <f>IFERROR(VLOOKUP(AE239,[1]Cálculos_PRICE!$A$32:$K$212,10,0),"")</f>
        <v/>
      </c>
      <c r="AG239" s="97" t="str">
        <f ca="1">IFERROR(VLOOKUP(AE239,Cálculos_Aquisição_SAC_Fixa!A237:K510,10,0),"")</f>
        <v/>
      </c>
      <c r="AH239" s="97" t="str">
        <f>IFERROR(VLOOKUP(AE239,[1]Cálculos_PRICE!$A$32:$K$212,6,0),"")</f>
        <v/>
      </c>
      <c r="AI239" s="97" t="str">
        <f>IFERROR(VLOOKUP(AE239,Cálculos_Aquisição_SAC_Fixa!A237:K510,6,0),"")</f>
        <v/>
      </c>
      <c r="AJ239" s="97" t="str">
        <f>IFERROR(VLOOKUP(AE239,[1]Cálculos_PRICE!$A$32:$K$240,11,0),"")</f>
        <v/>
      </c>
      <c r="AK239" s="97" t="str">
        <f>IFERROR(VLOOKUP(AE239,Cálculos_Aquisição_SAC_Fixa!A237:K510,11,0),"")</f>
        <v/>
      </c>
      <c r="AN239" s="132"/>
      <c r="AO239" s="132"/>
    </row>
    <row r="240" spans="1:41" ht="15.5" x14ac:dyDescent="0.35">
      <c r="A240" s="98" t="str">
        <f t="shared" si="63"/>
        <v/>
      </c>
      <c r="B240" s="99" t="str">
        <f t="shared" si="57"/>
        <v>-</v>
      </c>
      <c r="C240" s="100" t="str">
        <f t="shared" si="58"/>
        <v/>
      </c>
      <c r="D240" s="100" t="str">
        <f t="shared" si="59"/>
        <v/>
      </c>
      <c r="E240" s="100" t="str">
        <f t="shared" si="60"/>
        <v/>
      </c>
      <c r="F240" s="100" t="str">
        <f t="shared" si="53"/>
        <v/>
      </c>
      <c r="G240" s="100" t="str">
        <f t="shared" si="61"/>
        <v/>
      </c>
      <c r="H240" s="100" t="str">
        <f t="shared" ca="1" si="54"/>
        <v/>
      </c>
      <c r="I240" s="100" t="str">
        <f t="shared" si="55"/>
        <v/>
      </c>
      <c r="J240" s="100" t="str">
        <f t="shared" ca="1" si="56"/>
        <v/>
      </c>
      <c r="K240" s="101" t="str">
        <f t="shared" si="62"/>
        <v/>
      </c>
      <c r="O240" s="118">
        <f t="shared" si="52"/>
        <v>0</v>
      </c>
      <c r="P240" s="119">
        <f t="shared" si="67"/>
        <v>0</v>
      </c>
      <c r="Q240" s="120">
        <v>365</v>
      </c>
      <c r="AA240" s="96" t="str">
        <f t="shared" si="64"/>
        <v/>
      </c>
      <c r="AB240" s="97"/>
      <c r="AC240" s="97" t="str">
        <f t="shared" ca="1" si="65"/>
        <v/>
      </c>
      <c r="AE240" s="96" t="str">
        <f t="shared" si="66"/>
        <v/>
      </c>
      <c r="AF240" s="97" t="str">
        <f>IFERROR(VLOOKUP(AE240,[1]Cálculos_PRICE!$A$32:$K$212,10,0),"")</f>
        <v/>
      </c>
      <c r="AG240" s="97" t="str">
        <f ca="1">IFERROR(VLOOKUP(AE240,Cálculos_Aquisição_SAC_Fixa!A238:K511,10,0),"")</f>
        <v/>
      </c>
      <c r="AH240" s="97" t="str">
        <f>IFERROR(VLOOKUP(AE240,[1]Cálculos_PRICE!$A$32:$K$212,6,0),"")</f>
        <v/>
      </c>
      <c r="AI240" s="97" t="str">
        <f>IFERROR(VLOOKUP(AE240,Cálculos_Aquisição_SAC_Fixa!A238:K511,6,0),"")</f>
        <v/>
      </c>
      <c r="AJ240" s="97" t="str">
        <f>IFERROR(VLOOKUP(AE240,[1]Cálculos_PRICE!$A$32:$K$240,11,0),"")</f>
        <v/>
      </c>
      <c r="AK240" s="97" t="str">
        <f>IFERROR(VLOOKUP(AE240,Cálculos_Aquisição_SAC_Fixa!A238:K511,11,0),"")</f>
        <v/>
      </c>
      <c r="AN240" s="132"/>
      <c r="AO240" s="132"/>
    </row>
    <row r="241" spans="1:41" ht="15.5" x14ac:dyDescent="0.35">
      <c r="A241" s="98" t="str">
        <f t="shared" si="63"/>
        <v/>
      </c>
      <c r="B241" s="99" t="str">
        <f t="shared" si="57"/>
        <v>-</v>
      </c>
      <c r="C241" s="100" t="str">
        <f t="shared" si="58"/>
        <v/>
      </c>
      <c r="D241" s="100" t="str">
        <f t="shared" si="59"/>
        <v/>
      </c>
      <c r="E241" s="100" t="str">
        <f t="shared" si="60"/>
        <v/>
      </c>
      <c r="F241" s="100" t="str">
        <f t="shared" si="53"/>
        <v/>
      </c>
      <c r="G241" s="100" t="str">
        <f t="shared" si="61"/>
        <v/>
      </c>
      <c r="H241" s="100" t="str">
        <f t="shared" ca="1" si="54"/>
        <v/>
      </c>
      <c r="I241" s="100" t="str">
        <f t="shared" si="55"/>
        <v/>
      </c>
      <c r="J241" s="100" t="str">
        <f t="shared" ca="1" si="56"/>
        <v/>
      </c>
      <c r="K241" s="101" t="str">
        <f t="shared" si="62"/>
        <v/>
      </c>
      <c r="O241" s="118">
        <f t="shared" si="52"/>
        <v>0</v>
      </c>
      <c r="P241" s="119">
        <f t="shared" si="67"/>
        <v>0</v>
      </c>
      <c r="Q241" s="120">
        <v>365</v>
      </c>
      <c r="AA241" s="96" t="str">
        <f t="shared" si="64"/>
        <v/>
      </c>
      <c r="AB241" s="97"/>
      <c r="AC241" s="97" t="str">
        <f t="shared" ca="1" si="65"/>
        <v/>
      </c>
      <c r="AE241" s="96" t="str">
        <f t="shared" si="66"/>
        <v/>
      </c>
      <c r="AF241" s="97" t="str">
        <f>IFERROR(VLOOKUP(AE241,[1]Cálculos_PRICE!$A$32:$K$212,10,0),"")</f>
        <v/>
      </c>
      <c r="AG241" s="97" t="str">
        <f ca="1">IFERROR(VLOOKUP(AE241,Cálculos_Aquisição_SAC_Fixa!A239:K512,10,0),"")</f>
        <v/>
      </c>
      <c r="AH241" s="97" t="str">
        <f>IFERROR(VLOOKUP(AE241,[1]Cálculos_PRICE!$A$32:$K$212,6,0),"")</f>
        <v/>
      </c>
      <c r="AI241" s="97" t="str">
        <f>IFERROR(VLOOKUP(AE241,Cálculos_Aquisição_SAC_Fixa!A239:K512,6,0),"")</f>
        <v/>
      </c>
      <c r="AJ241" s="97" t="str">
        <f>IFERROR(VLOOKUP(AE241,[1]Cálculos_PRICE!$A$32:$K$240,11,0),"")</f>
        <v/>
      </c>
      <c r="AK241" s="97" t="str">
        <f>IFERROR(VLOOKUP(AE241,Cálculos_Aquisição_SAC_Fixa!A239:K512,11,0),"")</f>
        <v/>
      </c>
      <c r="AN241" s="132"/>
      <c r="AO241" s="132"/>
    </row>
    <row r="242" spans="1:41" ht="15.5" x14ac:dyDescent="0.35">
      <c r="A242" s="98" t="str">
        <f t="shared" si="63"/>
        <v/>
      </c>
      <c r="B242" s="99" t="str">
        <f t="shared" si="57"/>
        <v>-</v>
      </c>
      <c r="C242" s="100" t="str">
        <f t="shared" si="58"/>
        <v/>
      </c>
      <c r="D242" s="100" t="str">
        <f t="shared" si="59"/>
        <v/>
      </c>
      <c r="E242" s="100" t="str">
        <f t="shared" si="60"/>
        <v/>
      </c>
      <c r="F242" s="100" t="str">
        <f t="shared" si="53"/>
        <v/>
      </c>
      <c r="G242" s="100" t="str">
        <f t="shared" si="61"/>
        <v/>
      </c>
      <c r="H242" s="100" t="str">
        <f t="shared" ca="1" si="54"/>
        <v/>
      </c>
      <c r="I242" s="100" t="str">
        <f t="shared" si="55"/>
        <v/>
      </c>
      <c r="J242" s="100" t="str">
        <f t="shared" ca="1" si="56"/>
        <v/>
      </c>
      <c r="K242" s="101" t="str">
        <f t="shared" si="62"/>
        <v/>
      </c>
      <c r="O242" s="118">
        <f t="shared" si="52"/>
        <v>0</v>
      </c>
      <c r="P242" s="119">
        <f t="shared" si="67"/>
        <v>0</v>
      </c>
      <c r="Q242" s="120">
        <v>365</v>
      </c>
      <c r="AA242" s="96" t="str">
        <f t="shared" si="64"/>
        <v/>
      </c>
      <c r="AB242" s="97"/>
      <c r="AC242" s="97" t="str">
        <f t="shared" ca="1" si="65"/>
        <v/>
      </c>
      <c r="AE242" s="96" t="str">
        <f t="shared" si="66"/>
        <v/>
      </c>
      <c r="AF242" s="97" t="str">
        <f>IFERROR(VLOOKUP(AE242,[1]Cálculos_PRICE!$A$32:$K$212,10,0),"")</f>
        <v/>
      </c>
      <c r="AG242" s="97" t="str">
        <f ca="1">IFERROR(VLOOKUP(AE242,Cálculos_Aquisição_SAC_Fixa!A240:K513,10,0),"")</f>
        <v/>
      </c>
      <c r="AH242" s="97" t="str">
        <f>IFERROR(VLOOKUP(AE242,[1]Cálculos_PRICE!$A$32:$K$212,6,0),"")</f>
        <v/>
      </c>
      <c r="AI242" s="97" t="str">
        <f>IFERROR(VLOOKUP(AE242,Cálculos_Aquisição_SAC_Fixa!A240:K513,6,0),"")</f>
        <v/>
      </c>
      <c r="AJ242" s="97" t="str">
        <f>IFERROR(VLOOKUP(AE242,[1]Cálculos_PRICE!$A$32:$K$240,11,0),"")</f>
        <v/>
      </c>
      <c r="AK242" s="97" t="str">
        <f>IFERROR(VLOOKUP(AE242,Cálculos_Aquisição_SAC_Fixa!A240:K513,11,0),"")</f>
        <v/>
      </c>
      <c r="AN242" s="132"/>
      <c r="AO242" s="132"/>
    </row>
    <row r="243" spans="1:41" ht="15.5" x14ac:dyDescent="0.35">
      <c r="A243" s="98" t="str">
        <f t="shared" si="63"/>
        <v/>
      </c>
      <c r="B243" s="99" t="str">
        <f t="shared" si="57"/>
        <v>-</v>
      </c>
      <c r="C243" s="100" t="str">
        <f t="shared" si="58"/>
        <v/>
      </c>
      <c r="D243" s="100" t="str">
        <f t="shared" si="59"/>
        <v/>
      </c>
      <c r="E243" s="100" t="str">
        <f t="shared" si="60"/>
        <v/>
      </c>
      <c r="F243" s="100" t="str">
        <f t="shared" si="53"/>
        <v/>
      </c>
      <c r="G243" s="100" t="str">
        <f t="shared" si="61"/>
        <v/>
      </c>
      <c r="H243" s="100" t="str">
        <f t="shared" ca="1" si="54"/>
        <v/>
      </c>
      <c r="I243" s="100" t="str">
        <f t="shared" si="55"/>
        <v/>
      </c>
      <c r="J243" s="100" t="str">
        <f t="shared" ca="1" si="56"/>
        <v/>
      </c>
      <c r="K243" s="101" t="str">
        <f t="shared" si="62"/>
        <v/>
      </c>
      <c r="O243" s="118">
        <f t="shared" si="52"/>
        <v>0</v>
      </c>
      <c r="P243" s="119">
        <f t="shared" si="67"/>
        <v>0</v>
      </c>
      <c r="Q243" s="120">
        <v>365</v>
      </c>
      <c r="Y243" s="124"/>
      <c r="AA243" s="96" t="str">
        <f t="shared" si="64"/>
        <v/>
      </c>
      <c r="AB243" s="97"/>
      <c r="AC243" s="97" t="str">
        <f t="shared" ca="1" si="65"/>
        <v/>
      </c>
      <c r="AE243" s="96" t="str">
        <f t="shared" si="66"/>
        <v/>
      </c>
      <c r="AF243" s="97" t="str">
        <f>IFERROR(VLOOKUP(AE243,[1]Cálculos_PRICE!$A$32:$K$212,10,0),"")</f>
        <v/>
      </c>
      <c r="AG243" s="97" t="str">
        <f ca="1">IFERROR(VLOOKUP(AE243,Cálculos_Aquisição_SAC_Fixa!A241:K514,10,0),"")</f>
        <v/>
      </c>
      <c r="AH243" s="97" t="str">
        <f>IFERROR(VLOOKUP(AE243,[1]Cálculos_PRICE!$A$32:$K$212,6,0),"")</f>
        <v/>
      </c>
      <c r="AI243" s="97" t="str">
        <f>IFERROR(VLOOKUP(AE243,Cálculos_Aquisição_SAC_Fixa!A241:K514,6,0),"")</f>
        <v/>
      </c>
      <c r="AJ243" s="97" t="str">
        <f>IFERROR(VLOOKUP(AE243,[1]Cálculos_PRICE!$A$32:$K$240,11,0),"")</f>
        <v/>
      </c>
      <c r="AK243" s="97" t="str">
        <f>IFERROR(VLOOKUP(AE243,Cálculos_Aquisição_SAC_Fixa!A241:K514,11,0),"")</f>
        <v/>
      </c>
      <c r="AN243" s="132"/>
      <c r="AO243" s="132"/>
    </row>
    <row r="244" spans="1:41" ht="15.5" x14ac:dyDescent="0.35">
      <c r="A244" s="98" t="str">
        <f t="shared" si="63"/>
        <v/>
      </c>
      <c r="B244" s="99" t="str">
        <f t="shared" si="57"/>
        <v>-</v>
      </c>
      <c r="C244" s="100" t="str">
        <f t="shared" si="58"/>
        <v/>
      </c>
      <c r="D244" s="100" t="str">
        <f t="shared" si="59"/>
        <v/>
      </c>
      <c r="E244" s="100" t="str">
        <f t="shared" si="60"/>
        <v/>
      </c>
      <c r="F244" s="100" t="str">
        <f t="shared" si="53"/>
        <v/>
      </c>
      <c r="G244" s="100" t="str">
        <f t="shared" si="61"/>
        <v/>
      </c>
      <c r="H244" s="100" t="str">
        <f t="shared" ca="1" si="54"/>
        <v/>
      </c>
      <c r="I244" s="100" t="str">
        <f t="shared" si="55"/>
        <v/>
      </c>
      <c r="J244" s="100" t="str">
        <f t="shared" ca="1" si="56"/>
        <v/>
      </c>
      <c r="K244" s="101" t="str">
        <f t="shared" si="62"/>
        <v/>
      </c>
      <c r="O244" s="118">
        <f t="shared" si="52"/>
        <v>0</v>
      </c>
      <c r="P244" s="119">
        <f t="shared" si="67"/>
        <v>0</v>
      </c>
      <c r="Q244" s="120">
        <v>365</v>
      </c>
      <c r="AA244" s="96" t="str">
        <f t="shared" si="64"/>
        <v/>
      </c>
      <c r="AB244" s="97"/>
      <c r="AC244" s="97" t="str">
        <f t="shared" ca="1" si="65"/>
        <v/>
      </c>
      <c r="AE244" s="96" t="str">
        <f t="shared" si="66"/>
        <v/>
      </c>
      <c r="AF244" s="97" t="str">
        <f>IFERROR(VLOOKUP(AE244,[1]Cálculos_PRICE!$A$32:$K$212,10,0),"")</f>
        <v/>
      </c>
      <c r="AG244" s="97" t="str">
        <f ca="1">IFERROR(VLOOKUP(AE244,Cálculos_Aquisição_SAC_Fixa!A242:K515,10,0),"")</f>
        <v/>
      </c>
      <c r="AH244" s="97" t="str">
        <f>IFERROR(VLOOKUP(AE244,[1]Cálculos_PRICE!$A$32:$K$212,6,0),"")</f>
        <v/>
      </c>
      <c r="AI244" s="97" t="str">
        <f>IFERROR(VLOOKUP(AE244,Cálculos_Aquisição_SAC_Fixa!A242:K515,6,0),"")</f>
        <v/>
      </c>
      <c r="AJ244" s="97" t="str">
        <f>IFERROR(VLOOKUP(AE244,[1]Cálculos_PRICE!$A$32:$K$240,11,0),"")</f>
        <v/>
      </c>
      <c r="AK244" s="97" t="str">
        <f>IFERROR(VLOOKUP(AE244,Cálculos_Aquisição_SAC_Fixa!A242:K515,11,0),"")</f>
        <v/>
      </c>
      <c r="AN244" s="132"/>
      <c r="AO244" s="132"/>
    </row>
    <row r="245" spans="1:41" ht="15.5" x14ac:dyDescent="0.35">
      <c r="A245" s="98" t="str">
        <f t="shared" si="63"/>
        <v/>
      </c>
      <c r="B245" s="99" t="str">
        <f t="shared" si="57"/>
        <v>-</v>
      </c>
      <c r="C245" s="100" t="str">
        <f t="shared" si="58"/>
        <v/>
      </c>
      <c r="D245" s="100" t="str">
        <f t="shared" si="59"/>
        <v/>
      </c>
      <c r="E245" s="100" t="str">
        <f t="shared" si="60"/>
        <v/>
      </c>
      <c r="F245" s="100" t="str">
        <f t="shared" si="53"/>
        <v/>
      </c>
      <c r="G245" s="100" t="str">
        <f t="shared" si="61"/>
        <v/>
      </c>
      <c r="H245" s="100" t="str">
        <f t="shared" ca="1" si="54"/>
        <v/>
      </c>
      <c r="I245" s="100" t="str">
        <f t="shared" si="55"/>
        <v/>
      </c>
      <c r="J245" s="100" t="str">
        <f t="shared" ca="1" si="56"/>
        <v/>
      </c>
      <c r="K245" s="101" t="str">
        <f t="shared" si="62"/>
        <v/>
      </c>
      <c r="O245" s="118">
        <f t="shared" si="52"/>
        <v>0</v>
      </c>
      <c r="P245" s="119">
        <f t="shared" si="67"/>
        <v>0</v>
      </c>
      <c r="Q245" s="120">
        <v>365</v>
      </c>
      <c r="AA245" s="96" t="str">
        <f t="shared" si="64"/>
        <v/>
      </c>
      <c r="AB245" s="97"/>
      <c r="AC245" s="97" t="str">
        <f t="shared" ca="1" si="65"/>
        <v/>
      </c>
      <c r="AE245" s="96" t="str">
        <f t="shared" si="66"/>
        <v/>
      </c>
      <c r="AF245" s="97" t="str">
        <f>IFERROR(VLOOKUP(AE245,[1]Cálculos_PRICE!$A$32:$K$212,10,0),"")</f>
        <v/>
      </c>
      <c r="AG245" s="97" t="str">
        <f ca="1">IFERROR(VLOOKUP(AE245,Cálculos_Aquisição_SAC_Fixa!A243:K516,10,0),"")</f>
        <v/>
      </c>
      <c r="AH245" s="97" t="str">
        <f>IFERROR(VLOOKUP(AE245,[1]Cálculos_PRICE!$A$32:$K$212,6,0),"")</f>
        <v/>
      </c>
      <c r="AI245" s="97" t="str">
        <f>IFERROR(VLOOKUP(AE245,Cálculos_Aquisição_SAC_Fixa!A243:K516,6,0),"")</f>
        <v/>
      </c>
      <c r="AJ245" s="97" t="str">
        <f>IFERROR(VLOOKUP(AE245,[1]Cálculos_PRICE!$A$32:$K$240,11,0),"")</f>
        <v/>
      </c>
      <c r="AK245" s="97" t="str">
        <f>IFERROR(VLOOKUP(AE245,Cálculos_Aquisição_SAC_Fixa!A243:K516,11,0),"")</f>
        <v/>
      </c>
      <c r="AN245" s="132"/>
      <c r="AO245" s="132"/>
    </row>
    <row r="246" spans="1:41" s="124" customFormat="1" ht="15.5" x14ac:dyDescent="0.35">
      <c r="A246" s="98" t="str">
        <f t="shared" si="63"/>
        <v/>
      </c>
      <c r="B246" s="99" t="str">
        <f t="shared" si="57"/>
        <v>-</v>
      </c>
      <c r="C246" s="100" t="str">
        <f t="shared" si="58"/>
        <v/>
      </c>
      <c r="D246" s="100" t="str">
        <f t="shared" si="59"/>
        <v/>
      </c>
      <c r="E246" s="100" t="str">
        <f t="shared" si="60"/>
        <v/>
      </c>
      <c r="F246" s="100" t="str">
        <f t="shared" si="53"/>
        <v/>
      </c>
      <c r="G246" s="100" t="str">
        <f t="shared" si="61"/>
        <v/>
      </c>
      <c r="H246" s="100" t="str">
        <f t="shared" ca="1" si="54"/>
        <v/>
      </c>
      <c r="I246" s="100" t="str">
        <f t="shared" si="55"/>
        <v/>
      </c>
      <c r="J246" s="100" t="str">
        <f t="shared" ca="1" si="56"/>
        <v/>
      </c>
      <c r="K246" s="101" t="str">
        <f t="shared" si="62"/>
        <v/>
      </c>
      <c r="N246" s="10"/>
      <c r="O246" s="118">
        <f t="shared" si="52"/>
        <v>0</v>
      </c>
      <c r="P246" s="119">
        <f t="shared" si="67"/>
        <v>0</v>
      </c>
      <c r="Q246" s="120">
        <v>365</v>
      </c>
      <c r="R246" s="10"/>
      <c r="S246" s="10"/>
      <c r="T246" s="10"/>
      <c r="U246" s="10"/>
      <c r="V246" s="10"/>
      <c r="W246" s="10"/>
      <c r="X246" s="10"/>
      <c r="Y246" s="10"/>
      <c r="AA246" s="96" t="str">
        <f t="shared" si="64"/>
        <v/>
      </c>
      <c r="AB246" s="97"/>
      <c r="AC246" s="97" t="str">
        <f t="shared" ca="1" si="65"/>
        <v/>
      </c>
      <c r="AE246" s="96" t="str">
        <f t="shared" si="66"/>
        <v/>
      </c>
      <c r="AF246" s="97" t="str">
        <f>IFERROR(VLOOKUP(AE246,[1]Cálculos_PRICE!$A$32:$K$212,10,0),"")</f>
        <v/>
      </c>
      <c r="AG246" s="97" t="str">
        <f ca="1">IFERROR(VLOOKUP(AE246,Cálculos_Aquisição_SAC_Fixa!A244:K517,10,0),"")</f>
        <v/>
      </c>
      <c r="AH246" s="97" t="str">
        <f>IFERROR(VLOOKUP(AE246,[1]Cálculos_PRICE!$A$32:$K$212,6,0),"")</f>
        <v/>
      </c>
      <c r="AI246" s="97" t="str">
        <f>IFERROR(VLOOKUP(AE246,Cálculos_Aquisição_SAC_Fixa!A244:K517,6,0),"")</f>
        <v/>
      </c>
      <c r="AJ246" s="97" t="str">
        <f>IFERROR(VLOOKUP(AE246,[1]Cálculos_PRICE!$A$32:$K$240,11,0),"")</f>
        <v/>
      </c>
      <c r="AK246" s="97" t="str">
        <f>IFERROR(VLOOKUP(AE246,Cálculos_Aquisição_SAC_Fixa!A244:K517,11,0),"")</f>
        <v/>
      </c>
      <c r="AN246" s="132"/>
      <c r="AO246" s="132"/>
    </row>
    <row r="247" spans="1:41" ht="15.5" x14ac:dyDescent="0.35">
      <c r="A247" s="98" t="str">
        <f t="shared" si="63"/>
        <v/>
      </c>
      <c r="B247" s="99" t="str">
        <f t="shared" si="57"/>
        <v>-</v>
      </c>
      <c r="C247" s="100" t="str">
        <f t="shared" si="58"/>
        <v/>
      </c>
      <c r="D247" s="100" t="str">
        <f t="shared" si="59"/>
        <v/>
      </c>
      <c r="E247" s="100" t="str">
        <f t="shared" si="60"/>
        <v/>
      </c>
      <c r="F247" s="100" t="str">
        <f t="shared" si="53"/>
        <v/>
      </c>
      <c r="G247" s="100" t="str">
        <f t="shared" si="61"/>
        <v/>
      </c>
      <c r="H247" s="100" t="str">
        <f t="shared" ca="1" si="54"/>
        <v/>
      </c>
      <c r="I247" s="100" t="str">
        <f t="shared" si="55"/>
        <v/>
      </c>
      <c r="J247" s="100" t="str">
        <f t="shared" ca="1" si="56"/>
        <v/>
      </c>
      <c r="K247" s="101" t="str">
        <f t="shared" si="62"/>
        <v/>
      </c>
      <c r="O247" s="118">
        <f>IFERROR(F242*$O$39,0)</f>
        <v>0</v>
      </c>
      <c r="P247" s="119">
        <f t="shared" si="67"/>
        <v>0</v>
      </c>
      <c r="Q247" s="120">
        <v>365</v>
      </c>
      <c r="AA247" s="96" t="str">
        <f t="shared" si="64"/>
        <v/>
      </c>
      <c r="AB247" s="97"/>
      <c r="AC247" s="97" t="str">
        <f t="shared" ca="1" si="65"/>
        <v/>
      </c>
      <c r="AE247" s="96" t="str">
        <f t="shared" si="66"/>
        <v/>
      </c>
      <c r="AF247" s="97" t="str">
        <f>IFERROR(VLOOKUP(AE247,[1]Cálculos_PRICE!$A$32:$K$212,10,0),"")</f>
        <v/>
      </c>
      <c r="AG247" s="97" t="str">
        <f ca="1">IFERROR(VLOOKUP(AE247,Cálculos_Aquisição_SAC_Fixa!A245:K518,10,0),"")</f>
        <v/>
      </c>
      <c r="AH247" s="97" t="str">
        <f>IFERROR(VLOOKUP(AE247,[1]Cálculos_PRICE!$A$32:$K$212,6,0),"")</f>
        <v/>
      </c>
      <c r="AI247" s="97" t="str">
        <f>IFERROR(VLOOKUP(AE247,Cálculos_Aquisição_SAC_Fixa!A245:K518,6,0),"")</f>
        <v/>
      </c>
      <c r="AJ247" s="97" t="str">
        <f>IFERROR(VLOOKUP(AE247,[1]Cálculos_PRICE!$A$32:$K$240,11,0),"")</f>
        <v/>
      </c>
      <c r="AK247" s="97" t="str">
        <f>IFERROR(VLOOKUP(AE247,Cálculos_Aquisição_SAC_Fixa!A245:K518,11,0),"")</f>
        <v/>
      </c>
      <c r="AN247" s="132"/>
      <c r="AO247" s="132"/>
    </row>
    <row r="248" spans="1:41" ht="15.5" x14ac:dyDescent="0.35">
      <c r="A248" s="98" t="str">
        <f t="shared" si="63"/>
        <v/>
      </c>
      <c r="B248" s="99" t="str">
        <f t="shared" si="57"/>
        <v>-</v>
      </c>
      <c r="C248" s="100" t="str">
        <f t="shared" si="58"/>
        <v/>
      </c>
      <c r="D248" s="100" t="str">
        <f t="shared" si="59"/>
        <v/>
      </c>
      <c r="E248" s="100" t="str">
        <f t="shared" si="60"/>
        <v/>
      </c>
      <c r="F248" s="100" t="str">
        <f t="shared" si="53"/>
        <v/>
      </c>
      <c r="G248" s="100" t="str">
        <f t="shared" si="61"/>
        <v/>
      </c>
      <c r="H248" s="100" t="str">
        <f t="shared" ca="1" si="54"/>
        <v/>
      </c>
      <c r="I248" s="100" t="str">
        <f t="shared" si="55"/>
        <v/>
      </c>
      <c r="J248" s="100" t="str">
        <f t="shared" ca="1" si="56"/>
        <v/>
      </c>
      <c r="K248" s="101" t="str">
        <f t="shared" si="62"/>
        <v/>
      </c>
      <c r="O248" s="118">
        <f>IFERROR(F243*$O$39,0)</f>
        <v>0</v>
      </c>
      <c r="P248" s="119">
        <f t="shared" si="67"/>
        <v>0</v>
      </c>
      <c r="Q248" s="120">
        <v>365</v>
      </c>
      <c r="AA248" s="96" t="str">
        <f t="shared" si="64"/>
        <v/>
      </c>
      <c r="AB248" s="97"/>
      <c r="AC248" s="97" t="str">
        <f t="shared" ca="1" si="65"/>
        <v/>
      </c>
      <c r="AE248" s="96" t="str">
        <f t="shared" si="66"/>
        <v/>
      </c>
      <c r="AF248" s="97" t="str">
        <f>IFERROR(VLOOKUP(AE248,[1]Cálculos_PRICE!$A$32:$K$212,10,0),"")</f>
        <v/>
      </c>
      <c r="AG248" s="97" t="str">
        <f ca="1">IFERROR(VLOOKUP(AE248,Cálculos_Aquisição_SAC_Fixa!A246:K519,10,0),"")</f>
        <v/>
      </c>
      <c r="AH248" s="97" t="str">
        <f>IFERROR(VLOOKUP(AE248,[1]Cálculos_PRICE!$A$32:$K$212,6,0),"")</f>
        <v/>
      </c>
      <c r="AI248" s="97" t="str">
        <f>IFERROR(VLOOKUP(AE248,Cálculos_Aquisição_SAC_Fixa!A246:K519,6,0),"")</f>
        <v/>
      </c>
      <c r="AJ248" s="97" t="str">
        <f>IFERROR(VLOOKUP(AE248,[1]Cálculos_PRICE!$A$32:$K$240,11,0),"")</f>
        <v/>
      </c>
      <c r="AK248" s="97" t="str">
        <f>IFERROR(VLOOKUP(AE248,Cálculos_Aquisição_SAC_Fixa!A246:K519,11,0),"")</f>
        <v/>
      </c>
      <c r="AN248" s="132"/>
      <c r="AO248" s="132"/>
    </row>
    <row r="249" spans="1:41" ht="15.5" x14ac:dyDescent="0.35">
      <c r="A249" s="98" t="str">
        <f t="shared" si="63"/>
        <v/>
      </c>
      <c r="B249" s="99" t="str">
        <f t="shared" si="57"/>
        <v>-</v>
      </c>
      <c r="C249" s="100" t="str">
        <f t="shared" si="58"/>
        <v/>
      </c>
      <c r="D249" s="100" t="str">
        <f t="shared" si="59"/>
        <v/>
      </c>
      <c r="E249" s="100" t="str">
        <f t="shared" si="60"/>
        <v/>
      </c>
      <c r="F249" s="100" t="str">
        <f t="shared" si="53"/>
        <v/>
      </c>
      <c r="G249" s="100" t="str">
        <f t="shared" si="61"/>
        <v/>
      </c>
      <c r="H249" s="100" t="str">
        <f t="shared" ca="1" si="54"/>
        <v/>
      </c>
      <c r="I249" s="100" t="str">
        <f t="shared" si="55"/>
        <v/>
      </c>
      <c r="J249" s="100" t="str">
        <f t="shared" ca="1" si="56"/>
        <v/>
      </c>
      <c r="K249" s="101" t="str">
        <f t="shared" si="62"/>
        <v/>
      </c>
      <c r="O249" s="118">
        <f>IFERROR(F244*$O$39,0)</f>
        <v>0</v>
      </c>
      <c r="P249" s="119">
        <f t="shared" si="67"/>
        <v>0</v>
      </c>
      <c r="Q249" s="120">
        <v>365</v>
      </c>
      <c r="AA249" s="96" t="str">
        <f t="shared" si="64"/>
        <v/>
      </c>
      <c r="AB249" s="97"/>
      <c r="AC249" s="97" t="str">
        <f t="shared" ca="1" si="65"/>
        <v/>
      </c>
      <c r="AE249" s="96" t="str">
        <f t="shared" si="66"/>
        <v/>
      </c>
      <c r="AF249" s="97" t="str">
        <f>IFERROR(VLOOKUP(AE249,[1]Cálculos_PRICE!$A$32:$K$212,10,0),"")</f>
        <v/>
      </c>
      <c r="AG249" s="97" t="str">
        <f ca="1">IFERROR(VLOOKUP(AE249,Cálculos_Aquisição_SAC_Fixa!A247:K520,10,0),"")</f>
        <v/>
      </c>
      <c r="AH249" s="97" t="str">
        <f>IFERROR(VLOOKUP(AE249,[1]Cálculos_PRICE!$A$32:$K$212,6,0),"")</f>
        <v/>
      </c>
      <c r="AI249" s="97" t="str">
        <f>IFERROR(VLOOKUP(AE249,Cálculos_Aquisição_SAC_Fixa!A247:K520,6,0),"")</f>
        <v/>
      </c>
      <c r="AJ249" s="97" t="str">
        <f>IFERROR(VLOOKUP(AE249,[1]Cálculos_PRICE!$A$32:$K$240,11,0),"")</f>
        <v/>
      </c>
      <c r="AK249" s="97" t="str">
        <f>IFERROR(VLOOKUP(AE249,Cálculos_Aquisição_SAC_Fixa!A247:K520,11,0),"")</f>
        <v/>
      </c>
      <c r="AN249" s="132"/>
      <c r="AO249" s="132"/>
    </row>
    <row r="250" spans="1:41" ht="15.5" x14ac:dyDescent="0.35">
      <c r="A250" s="98" t="str">
        <f t="shared" si="63"/>
        <v/>
      </c>
      <c r="B250" s="99" t="str">
        <f t="shared" si="57"/>
        <v>-</v>
      </c>
      <c r="C250" s="100" t="str">
        <f t="shared" si="58"/>
        <v/>
      </c>
      <c r="D250" s="100" t="str">
        <f t="shared" si="59"/>
        <v/>
      </c>
      <c r="E250" s="100" t="str">
        <f t="shared" si="60"/>
        <v/>
      </c>
      <c r="F250" s="100" t="str">
        <f t="shared" si="53"/>
        <v/>
      </c>
      <c r="G250" s="100" t="str">
        <f t="shared" si="61"/>
        <v/>
      </c>
      <c r="H250" s="100" t="str">
        <f t="shared" ca="1" si="54"/>
        <v/>
      </c>
      <c r="I250" s="100" t="str">
        <f t="shared" si="55"/>
        <v/>
      </c>
      <c r="J250" s="100" t="str">
        <f t="shared" ca="1" si="56"/>
        <v/>
      </c>
      <c r="K250" s="101" t="str">
        <f t="shared" si="62"/>
        <v/>
      </c>
      <c r="O250" s="118">
        <f>IFERROR(F245*$O$39,0)</f>
        <v>0</v>
      </c>
      <c r="P250" s="119">
        <f t="shared" si="67"/>
        <v>0</v>
      </c>
      <c r="Q250" s="120">
        <v>365</v>
      </c>
      <c r="AA250" s="96" t="str">
        <f t="shared" si="64"/>
        <v/>
      </c>
      <c r="AB250" s="97"/>
      <c r="AC250" s="97" t="str">
        <f t="shared" ca="1" si="65"/>
        <v/>
      </c>
      <c r="AE250" s="96" t="str">
        <f t="shared" si="66"/>
        <v/>
      </c>
      <c r="AF250" s="97" t="str">
        <f>IFERROR(VLOOKUP(AE250,[1]Cálculos_PRICE!$A$32:$K$212,10,0),"")</f>
        <v/>
      </c>
      <c r="AG250" s="97" t="str">
        <f ca="1">IFERROR(VLOOKUP(AE250,Cálculos_Aquisição_SAC_Fixa!A248:K521,10,0),"")</f>
        <v/>
      </c>
      <c r="AH250" s="97" t="str">
        <f>IFERROR(VLOOKUP(AE250,[1]Cálculos_PRICE!$A$32:$K$212,6,0),"")</f>
        <v/>
      </c>
      <c r="AI250" s="97" t="str">
        <f>IFERROR(VLOOKUP(AE250,Cálculos_Aquisição_SAC_Fixa!A248:K521,6,0),"")</f>
        <v/>
      </c>
      <c r="AJ250" s="97" t="str">
        <f>IFERROR(VLOOKUP(AE250,[1]Cálculos_PRICE!$A$32:$K$240,11,0),"")</f>
        <v/>
      </c>
      <c r="AK250" s="97" t="str">
        <f>IFERROR(VLOOKUP(AE250,Cálculos_Aquisição_SAC_Fixa!A248:K521,11,0),"")</f>
        <v/>
      </c>
      <c r="AN250" s="132"/>
      <c r="AO250" s="132"/>
    </row>
    <row r="251" spans="1:41" ht="15.5" x14ac:dyDescent="0.35">
      <c r="A251" s="98" t="str">
        <f t="shared" si="63"/>
        <v/>
      </c>
      <c r="B251" s="99" t="str">
        <f t="shared" si="57"/>
        <v>-</v>
      </c>
      <c r="C251" s="100" t="str">
        <f t="shared" si="58"/>
        <v/>
      </c>
      <c r="D251" s="100" t="str">
        <f t="shared" si="59"/>
        <v/>
      </c>
      <c r="E251" s="100" t="str">
        <f t="shared" si="60"/>
        <v/>
      </c>
      <c r="F251" s="100" t="str">
        <f t="shared" si="53"/>
        <v/>
      </c>
      <c r="G251" s="100" t="str">
        <f t="shared" si="61"/>
        <v/>
      </c>
      <c r="H251" s="100" t="str">
        <f t="shared" ca="1" si="54"/>
        <v/>
      </c>
      <c r="I251" s="100" t="str">
        <f t="shared" si="55"/>
        <v/>
      </c>
      <c r="J251" s="100" t="str">
        <f t="shared" ca="1" si="56"/>
        <v/>
      </c>
      <c r="K251" s="101" t="str">
        <f t="shared" si="62"/>
        <v/>
      </c>
      <c r="O251" s="118">
        <f t="shared" ref="O251:O277" si="68">IFERROR(F246*$O$39,0)</f>
        <v>0</v>
      </c>
      <c r="P251" s="119">
        <f t="shared" si="67"/>
        <v>0</v>
      </c>
      <c r="Q251" s="120">
        <v>366</v>
      </c>
      <c r="AA251" s="96" t="str">
        <f t="shared" si="64"/>
        <v/>
      </c>
      <c r="AB251" s="97"/>
      <c r="AC251" s="97" t="str">
        <f t="shared" ca="1" si="65"/>
        <v/>
      </c>
      <c r="AE251" s="96" t="str">
        <f t="shared" si="66"/>
        <v/>
      </c>
      <c r="AF251" s="97" t="str">
        <f>IFERROR(VLOOKUP(AE251,[1]Cálculos_PRICE!$A$32:$K$212,10,0),"")</f>
        <v/>
      </c>
      <c r="AG251" s="97" t="str">
        <f ca="1">IFERROR(VLOOKUP(AE251,Cálculos_Aquisição_SAC_Fixa!A249:K522,10,0),"")</f>
        <v/>
      </c>
      <c r="AH251" s="97" t="str">
        <f>IFERROR(VLOOKUP(AE251,[1]Cálculos_PRICE!$A$32:$K$212,6,0),"")</f>
        <v/>
      </c>
      <c r="AI251" s="97" t="str">
        <f>IFERROR(VLOOKUP(AE251,Cálculos_Aquisição_SAC_Fixa!A249:K522,6,0),"")</f>
        <v/>
      </c>
      <c r="AJ251" s="97" t="str">
        <f>IFERROR(VLOOKUP(AE251,[1]Cálculos_PRICE!$A$32:$K$240,11,0),"")</f>
        <v/>
      </c>
      <c r="AK251" s="97" t="str">
        <f>IFERROR(VLOOKUP(AE251,Cálculos_Aquisição_SAC_Fixa!A249:K522,11,0),"")</f>
        <v/>
      </c>
      <c r="AN251" s="132"/>
      <c r="AO251" s="132"/>
    </row>
    <row r="252" spans="1:41" ht="15.5" x14ac:dyDescent="0.35">
      <c r="A252" s="98" t="str">
        <f t="shared" si="63"/>
        <v/>
      </c>
      <c r="B252" s="99" t="str">
        <f t="shared" si="57"/>
        <v>-</v>
      </c>
      <c r="C252" s="100" t="str">
        <f t="shared" si="58"/>
        <v/>
      </c>
      <c r="D252" s="100" t="str">
        <f t="shared" si="59"/>
        <v/>
      </c>
      <c r="E252" s="100" t="str">
        <f t="shared" si="60"/>
        <v/>
      </c>
      <c r="F252" s="100" t="str">
        <f t="shared" si="53"/>
        <v/>
      </c>
      <c r="G252" s="100" t="str">
        <f t="shared" si="61"/>
        <v/>
      </c>
      <c r="H252" s="100" t="str">
        <f t="shared" ca="1" si="54"/>
        <v/>
      </c>
      <c r="I252" s="100" t="str">
        <f t="shared" si="55"/>
        <v/>
      </c>
      <c r="J252" s="100" t="str">
        <f t="shared" ca="1" si="56"/>
        <v/>
      </c>
      <c r="K252" s="101" t="str">
        <f t="shared" si="62"/>
        <v/>
      </c>
      <c r="O252" s="118">
        <f t="shared" si="68"/>
        <v>0</v>
      </c>
      <c r="P252" s="119">
        <f t="shared" si="67"/>
        <v>0</v>
      </c>
      <c r="Q252" s="120">
        <v>367</v>
      </c>
      <c r="AA252" s="96" t="str">
        <f t="shared" si="64"/>
        <v/>
      </c>
      <c r="AB252" s="97"/>
      <c r="AC252" s="97" t="str">
        <f t="shared" ca="1" si="65"/>
        <v/>
      </c>
      <c r="AE252" s="96" t="str">
        <f t="shared" si="66"/>
        <v/>
      </c>
      <c r="AF252" s="97" t="str">
        <f>IFERROR(VLOOKUP(AE252,[1]Cálculos_PRICE!$A$32:$K$212,10,0),"")</f>
        <v/>
      </c>
      <c r="AG252" s="97" t="str">
        <f ca="1">IFERROR(VLOOKUP(AE252,Cálculos_Aquisição_SAC_Fixa!A250:K523,10,0),"")</f>
        <v/>
      </c>
      <c r="AH252" s="97" t="str">
        <f>IFERROR(VLOOKUP(AE252,[1]Cálculos_PRICE!$A$32:$K$212,6,0),"")</f>
        <v/>
      </c>
      <c r="AI252" s="97" t="str">
        <f>IFERROR(VLOOKUP(AE252,Cálculos_Aquisição_SAC_Fixa!A250:K523,6,0),"")</f>
        <v/>
      </c>
      <c r="AJ252" s="97" t="str">
        <f>IFERROR(VLOOKUP(AE252,[1]Cálculos_PRICE!$A$32:$K$240,11,0),"")</f>
        <v/>
      </c>
      <c r="AK252" s="97" t="str">
        <f>IFERROR(VLOOKUP(AE252,Cálculos_Aquisição_SAC_Fixa!A250:K523,11,0),"")</f>
        <v/>
      </c>
      <c r="AN252" s="132"/>
      <c r="AO252" s="132"/>
    </row>
    <row r="253" spans="1:41" ht="15.5" x14ac:dyDescent="0.35">
      <c r="A253" s="98" t="str">
        <f t="shared" si="63"/>
        <v/>
      </c>
      <c r="B253" s="99" t="str">
        <f t="shared" si="57"/>
        <v>-</v>
      </c>
      <c r="C253" s="100" t="str">
        <f t="shared" si="58"/>
        <v/>
      </c>
      <c r="D253" s="100" t="str">
        <f t="shared" si="59"/>
        <v/>
      </c>
      <c r="E253" s="100" t="str">
        <f t="shared" si="60"/>
        <v/>
      </c>
      <c r="F253" s="100" t="str">
        <f t="shared" si="53"/>
        <v/>
      </c>
      <c r="G253" s="100" t="str">
        <f t="shared" si="61"/>
        <v/>
      </c>
      <c r="H253" s="100" t="str">
        <f t="shared" ca="1" si="54"/>
        <v/>
      </c>
      <c r="I253" s="100" t="str">
        <f t="shared" si="55"/>
        <v/>
      </c>
      <c r="J253" s="100" t="str">
        <f t="shared" ca="1" si="56"/>
        <v/>
      </c>
      <c r="K253" s="101" t="str">
        <f t="shared" si="62"/>
        <v/>
      </c>
      <c r="O253" s="118">
        <f t="shared" si="68"/>
        <v>0</v>
      </c>
      <c r="P253" s="119">
        <f t="shared" si="67"/>
        <v>0</v>
      </c>
      <c r="Q253" s="120">
        <v>368</v>
      </c>
      <c r="AA253" s="96" t="str">
        <f t="shared" si="64"/>
        <v/>
      </c>
      <c r="AB253" s="97"/>
      <c r="AC253" s="97" t="str">
        <f t="shared" ca="1" si="65"/>
        <v/>
      </c>
      <c r="AE253" s="96" t="str">
        <f t="shared" si="66"/>
        <v/>
      </c>
      <c r="AF253" s="97" t="str">
        <f>IFERROR(VLOOKUP(AE253,[1]Cálculos_PRICE!$A$32:$K$212,10,0),"")</f>
        <v/>
      </c>
      <c r="AG253" s="97" t="str">
        <f ca="1">IFERROR(VLOOKUP(AE253,Cálculos_Aquisição_SAC_Fixa!A251:K524,10,0),"")</f>
        <v/>
      </c>
      <c r="AH253" s="97" t="str">
        <f>IFERROR(VLOOKUP(AE253,[1]Cálculos_PRICE!$A$32:$K$212,6,0),"")</f>
        <v/>
      </c>
      <c r="AI253" s="97" t="str">
        <f>IFERROR(VLOOKUP(AE253,Cálculos_Aquisição_SAC_Fixa!A251:K524,6,0),"")</f>
        <v/>
      </c>
      <c r="AJ253" s="97" t="str">
        <f>IFERROR(VLOOKUP(AE253,[1]Cálculos_PRICE!$A$32:$K$240,11,0),"")</f>
        <v/>
      </c>
      <c r="AK253" s="97" t="str">
        <f>IFERROR(VLOOKUP(AE253,Cálculos_Aquisição_SAC_Fixa!A251:K524,11,0),"")</f>
        <v/>
      </c>
      <c r="AN253" s="132"/>
      <c r="AO253" s="132"/>
    </row>
    <row r="254" spans="1:41" ht="15.5" x14ac:dyDescent="0.35">
      <c r="A254" s="98" t="str">
        <f t="shared" si="63"/>
        <v/>
      </c>
      <c r="B254" s="99" t="str">
        <f t="shared" si="57"/>
        <v>-</v>
      </c>
      <c r="C254" s="100" t="str">
        <f t="shared" si="58"/>
        <v/>
      </c>
      <c r="D254" s="100" t="str">
        <f t="shared" si="59"/>
        <v/>
      </c>
      <c r="E254" s="100" t="str">
        <f t="shared" si="60"/>
        <v/>
      </c>
      <c r="F254" s="100" t="str">
        <f t="shared" si="53"/>
        <v/>
      </c>
      <c r="G254" s="100" t="str">
        <f t="shared" si="61"/>
        <v/>
      </c>
      <c r="H254" s="100" t="str">
        <f t="shared" ca="1" si="54"/>
        <v/>
      </c>
      <c r="I254" s="100" t="str">
        <f t="shared" si="55"/>
        <v/>
      </c>
      <c r="J254" s="100" t="str">
        <f t="shared" ca="1" si="56"/>
        <v/>
      </c>
      <c r="K254" s="101" t="str">
        <f t="shared" si="62"/>
        <v/>
      </c>
      <c r="O254" s="118">
        <f t="shared" si="68"/>
        <v>0</v>
      </c>
      <c r="P254" s="119">
        <f t="shared" si="67"/>
        <v>0</v>
      </c>
      <c r="Q254" s="120">
        <v>369</v>
      </c>
      <c r="AA254" s="96" t="str">
        <f t="shared" si="64"/>
        <v/>
      </c>
      <c r="AB254" s="97"/>
      <c r="AC254" s="97" t="str">
        <f t="shared" ca="1" si="65"/>
        <v/>
      </c>
      <c r="AE254" s="96" t="str">
        <f t="shared" si="66"/>
        <v/>
      </c>
      <c r="AF254" s="97" t="str">
        <f>IFERROR(VLOOKUP(AE254,[1]Cálculos_PRICE!$A$32:$K$212,10,0),"")</f>
        <v/>
      </c>
      <c r="AG254" s="97" t="str">
        <f ca="1">IFERROR(VLOOKUP(AE254,Cálculos_Aquisição_SAC_Fixa!A252:K525,10,0),"")</f>
        <v/>
      </c>
      <c r="AH254" s="97" t="str">
        <f>IFERROR(VLOOKUP(AE254,[1]Cálculos_PRICE!$A$32:$K$212,6,0),"")</f>
        <v/>
      </c>
      <c r="AI254" s="97" t="str">
        <f>IFERROR(VLOOKUP(AE254,Cálculos_Aquisição_SAC_Fixa!A252:K525,6,0),"")</f>
        <v/>
      </c>
      <c r="AJ254" s="97" t="str">
        <f>IFERROR(VLOOKUP(AE254,[1]Cálculos_PRICE!$A$32:$K$240,11,0),"")</f>
        <v/>
      </c>
      <c r="AK254" s="97" t="str">
        <f>IFERROR(VLOOKUP(AE254,Cálculos_Aquisição_SAC_Fixa!A252:K525,11,0),"")</f>
        <v/>
      </c>
      <c r="AN254" s="132"/>
      <c r="AO254" s="132"/>
    </row>
    <row r="255" spans="1:41" ht="15.5" x14ac:dyDescent="0.35">
      <c r="A255" s="98" t="str">
        <f t="shared" si="63"/>
        <v/>
      </c>
      <c r="B255" s="99" t="str">
        <f t="shared" si="57"/>
        <v>-</v>
      </c>
      <c r="C255" s="100" t="str">
        <f t="shared" si="58"/>
        <v/>
      </c>
      <c r="D255" s="100" t="str">
        <f t="shared" si="59"/>
        <v/>
      </c>
      <c r="E255" s="100" t="str">
        <f t="shared" si="60"/>
        <v/>
      </c>
      <c r="F255" s="100" t="str">
        <f t="shared" si="53"/>
        <v/>
      </c>
      <c r="G255" s="100" t="str">
        <f t="shared" si="61"/>
        <v/>
      </c>
      <c r="H255" s="100" t="str">
        <f t="shared" ca="1" si="54"/>
        <v/>
      </c>
      <c r="I255" s="100" t="str">
        <f t="shared" si="55"/>
        <v/>
      </c>
      <c r="J255" s="100" t="str">
        <f t="shared" ca="1" si="56"/>
        <v/>
      </c>
      <c r="K255" s="101" t="str">
        <f t="shared" si="62"/>
        <v/>
      </c>
      <c r="O255" s="118">
        <f t="shared" si="68"/>
        <v>0</v>
      </c>
      <c r="P255" s="119">
        <f t="shared" si="67"/>
        <v>0</v>
      </c>
      <c r="Q255" s="120">
        <v>370</v>
      </c>
      <c r="W255" s="124"/>
      <c r="AA255" s="96" t="str">
        <f t="shared" si="64"/>
        <v/>
      </c>
      <c r="AB255" s="97"/>
      <c r="AC255" s="97" t="str">
        <f t="shared" ca="1" si="65"/>
        <v/>
      </c>
      <c r="AE255" s="96" t="str">
        <f t="shared" si="66"/>
        <v/>
      </c>
      <c r="AF255" s="97" t="str">
        <f>IFERROR(VLOOKUP(AE255,[1]Cálculos_PRICE!$A$32:$K$212,10,0),"")</f>
        <v/>
      </c>
      <c r="AG255" s="97" t="str">
        <f ca="1">IFERROR(VLOOKUP(AE255,Cálculos_Aquisição_SAC_Fixa!A253:K526,10,0),"")</f>
        <v/>
      </c>
      <c r="AH255" s="97" t="str">
        <f>IFERROR(VLOOKUP(AE255,[1]Cálculos_PRICE!$A$32:$K$212,6,0),"")</f>
        <v/>
      </c>
      <c r="AI255" s="97" t="str">
        <f>IFERROR(VLOOKUP(AE255,Cálculos_Aquisição_SAC_Fixa!A253:K526,6,0),"")</f>
        <v/>
      </c>
      <c r="AJ255" s="97" t="str">
        <f>IFERROR(VLOOKUP(AE255,[1]Cálculos_PRICE!$A$32:$K$240,11,0),"")</f>
        <v/>
      </c>
      <c r="AK255" s="97" t="str">
        <f>IFERROR(VLOOKUP(AE255,Cálculos_Aquisição_SAC_Fixa!A253:K526,11,0),"")</f>
        <v/>
      </c>
      <c r="AN255" s="132"/>
      <c r="AO255" s="132"/>
    </row>
    <row r="256" spans="1:41" ht="15.5" x14ac:dyDescent="0.35">
      <c r="A256" s="98" t="str">
        <f t="shared" si="63"/>
        <v/>
      </c>
      <c r="B256" s="99" t="str">
        <f t="shared" si="57"/>
        <v>-</v>
      </c>
      <c r="C256" s="100" t="str">
        <f t="shared" si="58"/>
        <v/>
      </c>
      <c r="D256" s="100" t="str">
        <f t="shared" si="59"/>
        <v/>
      </c>
      <c r="E256" s="100" t="str">
        <f t="shared" si="60"/>
        <v/>
      </c>
      <c r="F256" s="100" t="str">
        <f t="shared" si="53"/>
        <v/>
      </c>
      <c r="G256" s="100" t="str">
        <f t="shared" si="61"/>
        <v/>
      </c>
      <c r="H256" s="100" t="str">
        <f t="shared" ca="1" si="54"/>
        <v/>
      </c>
      <c r="I256" s="100" t="str">
        <f t="shared" si="55"/>
        <v/>
      </c>
      <c r="J256" s="100" t="str">
        <f t="shared" ca="1" si="56"/>
        <v/>
      </c>
      <c r="K256" s="101" t="str">
        <f t="shared" si="62"/>
        <v/>
      </c>
      <c r="O256" s="118">
        <f t="shared" si="68"/>
        <v>0</v>
      </c>
      <c r="P256" s="119">
        <f t="shared" si="67"/>
        <v>0</v>
      </c>
      <c r="Q256" s="120">
        <v>371</v>
      </c>
      <c r="V256" s="124"/>
      <c r="AA256" s="96" t="str">
        <f t="shared" si="64"/>
        <v/>
      </c>
      <c r="AB256" s="97"/>
      <c r="AC256" s="97" t="str">
        <f t="shared" ca="1" si="65"/>
        <v/>
      </c>
      <c r="AE256" s="96" t="str">
        <f t="shared" si="66"/>
        <v/>
      </c>
      <c r="AF256" s="97" t="str">
        <f>IFERROR(VLOOKUP(AE256,[1]Cálculos_PRICE!$A$32:$K$212,10,0),"")</f>
        <v/>
      </c>
      <c r="AG256" s="97" t="str">
        <f ca="1">IFERROR(VLOOKUP(AE256,Cálculos_Aquisição_SAC_Fixa!A254:K527,10,0),"")</f>
        <v/>
      </c>
      <c r="AH256" s="97" t="str">
        <f>IFERROR(VLOOKUP(AE256,[1]Cálculos_PRICE!$A$32:$K$212,6,0),"")</f>
        <v/>
      </c>
      <c r="AI256" s="97" t="str">
        <f>IFERROR(VLOOKUP(AE256,Cálculos_Aquisição_SAC_Fixa!A254:K527,6,0),"")</f>
        <v/>
      </c>
      <c r="AJ256" s="97" t="str">
        <f>IFERROR(VLOOKUP(AE256,[1]Cálculos_PRICE!$A$32:$K$240,11,0),"")</f>
        <v/>
      </c>
      <c r="AK256" s="97" t="str">
        <f>IFERROR(VLOOKUP(AE256,Cálculos_Aquisição_SAC_Fixa!A254:K527,11,0),"")</f>
        <v/>
      </c>
      <c r="AN256" s="132"/>
      <c r="AO256" s="132"/>
    </row>
    <row r="257" spans="1:41" ht="15.5" x14ac:dyDescent="0.35">
      <c r="A257" s="98" t="str">
        <f t="shared" si="63"/>
        <v/>
      </c>
      <c r="B257" s="99" t="str">
        <f t="shared" si="57"/>
        <v>-</v>
      </c>
      <c r="C257" s="100" t="str">
        <f t="shared" si="58"/>
        <v/>
      </c>
      <c r="D257" s="100" t="str">
        <f t="shared" si="59"/>
        <v/>
      </c>
      <c r="E257" s="100" t="str">
        <f t="shared" si="60"/>
        <v/>
      </c>
      <c r="F257" s="100" t="str">
        <f t="shared" si="53"/>
        <v/>
      </c>
      <c r="G257" s="100" t="str">
        <f t="shared" si="61"/>
        <v/>
      </c>
      <c r="H257" s="100" t="str">
        <f t="shared" ca="1" si="54"/>
        <v/>
      </c>
      <c r="I257" s="100" t="str">
        <f t="shared" si="55"/>
        <v/>
      </c>
      <c r="J257" s="100" t="str">
        <f t="shared" ca="1" si="56"/>
        <v/>
      </c>
      <c r="K257" s="101" t="str">
        <f t="shared" si="62"/>
        <v/>
      </c>
      <c r="O257" s="118">
        <f t="shared" si="68"/>
        <v>0</v>
      </c>
      <c r="P257" s="119">
        <f t="shared" si="67"/>
        <v>0</v>
      </c>
      <c r="Q257" s="120">
        <v>372</v>
      </c>
      <c r="T257" s="124"/>
      <c r="U257" s="124"/>
      <c r="AA257" s="96" t="str">
        <f t="shared" si="64"/>
        <v/>
      </c>
      <c r="AB257" s="97"/>
      <c r="AC257" s="97" t="str">
        <f t="shared" ca="1" si="65"/>
        <v/>
      </c>
      <c r="AE257" s="96" t="str">
        <f t="shared" si="66"/>
        <v/>
      </c>
      <c r="AF257" s="97" t="str">
        <f>IFERROR(VLOOKUP(AE257,[1]Cálculos_PRICE!$A$32:$K$212,10,0),"")</f>
        <v/>
      </c>
      <c r="AG257" s="97" t="str">
        <f ca="1">IFERROR(VLOOKUP(AE257,Cálculos_Aquisição_SAC_Fixa!A255:K528,10,0),"")</f>
        <v/>
      </c>
      <c r="AH257" s="97" t="str">
        <f>IFERROR(VLOOKUP(AE257,[1]Cálculos_PRICE!$A$32:$K$212,6,0),"")</f>
        <v/>
      </c>
      <c r="AI257" s="97" t="str">
        <f>IFERROR(VLOOKUP(AE257,Cálculos_Aquisição_SAC_Fixa!A255:K528,6,0),"")</f>
        <v/>
      </c>
      <c r="AJ257" s="97" t="str">
        <f>IFERROR(VLOOKUP(AE257,[1]Cálculos_PRICE!$A$32:$K$240,11,0),"")</f>
        <v/>
      </c>
      <c r="AK257" s="97" t="str">
        <f>IFERROR(VLOOKUP(AE257,Cálculos_Aquisição_SAC_Fixa!A255:K528,11,0),"")</f>
        <v/>
      </c>
      <c r="AN257" s="132"/>
      <c r="AO257" s="132"/>
    </row>
    <row r="258" spans="1:41" ht="15.5" x14ac:dyDescent="0.35">
      <c r="A258" s="98" t="str">
        <f t="shared" si="63"/>
        <v/>
      </c>
      <c r="B258" s="99" t="str">
        <f t="shared" si="57"/>
        <v>-</v>
      </c>
      <c r="C258" s="100" t="str">
        <f t="shared" si="58"/>
        <v/>
      </c>
      <c r="D258" s="100" t="str">
        <f t="shared" si="59"/>
        <v/>
      </c>
      <c r="E258" s="100" t="str">
        <f t="shared" si="60"/>
        <v/>
      </c>
      <c r="F258" s="100" t="str">
        <f t="shared" si="53"/>
        <v/>
      </c>
      <c r="G258" s="100" t="str">
        <f t="shared" si="61"/>
        <v/>
      </c>
      <c r="H258" s="100" t="str">
        <f t="shared" ca="1" si="54"/>
        <v/>
      </c>
      <c r="I258" s="100" t="str">
        <f t="shared" si="55"/>
        <v/>
      </c>
      <c r="J258" s="100" t="str">
        <f t="shared" ca="1" si="56"/>
        <v/>
      </c>
      <c r="K258" s="101" t="str">
        <f t="shared" si="62"/>
        <v/>
      </c>
      <c r="O258" s="118">
        <f t="shared" si="68"/>
        <v>0</v>
      </c>
      <c r="P258" s="119">
        <f t="shared" si="67"/>
        <v>0</v>
      </c>
      <c r="Q258" s="120">
        <v>373</v>
      </c>
      <c r="AA258" s="96" t="str">
        <f t="shared" si="64"/>
        <v/>
      </c>
      <c r="AB258" s="97"/>
      <c r="AC258" s="97" t="str">
        <f t="shared" ca="1" si="65"/>
        <v/>
      </c>
      <c r="AE258" s="96" t="str">
        <f t="shared" si="66"/>
        <v/>
      </c>
      <c r="AF258" s="97" t="str">
        <f>IFERROR(VLOOKUP(AE258,[1]Cálculos_PRICE!$A$32:$K$212,10,0),"")</f>
        <v/>
      </c>
      <c r="AG258" s="97" t="str">
        <f ca="1">IFERROR(VLOOKUP(AE258,Cálculos_Aquisição_SAC_Fixa!A256:K529,10,0),"")</f>
        <v/>
      </c>
      <c r="AH258" s="97" t="str">
        <f>IFERROR(VLOOKUP(AE258,[1]Cálculos_PRICE!$A$32:$K$212,6,0),"")</f>
        <v/>
      </c>
      <c r="AI258" s="97" t="str">
        <f>IFERROR(VLOOKUP(AE258,Cálculos_Aquisição_SAC_Fixa!A256:K529,6,0),"")</f>
        <v/>
      </c>
      <c r="AJ258" s="97" t="str">
        <f>IFERROR(VLOOKUP(AE258,[1]Cálculos_PRICE!$A$32:$K$240,11,0),"")</f>
        <v/>
      </c>
      <c r="AK258" s="97" t="str">
        <f>IFERROR(VLOOKUP(AE258,Cálculos_Aquisição_SAC_Fixa!A256:K529,11,0),"")</f>
        <v/>
      </c>
      <c r="AN258" s="132"/>
      <c r="AO258" s="132"/>
    </row>
    <row r="259" spans="1:41" ht="15.5" x14ac:dyDescent="0.35">
      <c r="A259" s="98" t="str">
        <f t="shared" si="63"/>
        <v/>
      </c>
      <c r="B259" s="99" t="str">
        <f t="shared" si="57"/>
        <v>-</v>
      </c>
      <c r="C259" s="100" t="str">
        <f t="shared" si="58"/>
        <v/>
      </c>
      <c r="D259" s="100" t="str">
        <f t="shared" si="59"/>
        <v/>
      </c>
      <c r="E259" s="100" t="str">
        <f t="shared" si="60"/>
        <v/>
      </c>
      <c r="F259" s="100" t="str">
        <f t="shared" si="53"/>
        <v/>
      </c>
      <c r="G259" s="100" t="str">
        <f t="shared" si="61"/>
        <v/>
      </c>
      <c r="H259" s="100" t="str">
        <f t="shared" ca="1" si="54"/>
        <v/>
      </c>
      <c r="I259" s="100" t="str">
        <f t="shared" si="55"/>
        <v/>
      </c>
      <c r="J259" s="100" t="str">
        <f t="shared" ca="1" si="56"/>
        <v/>
      </c>
      <c r="K259" s="101" t="str">
        <f t="shared" si="62"/>
        <v/>
      </c>
      <c r="O259" s="118">
        <f t="shared" si="68"/>
        <v>0</v>
      </c>
      <c r="P259" s="119">
        <f t="shared" si="67"/>
        <v>0</v>
      </c>
      <c r="Q259" s="120">
        <v>374</v>
      </c>
      <c r="AA259" s="96" t="str">
        <f t="shared" si="64"/>
        <v/>
      </c>
      <c r="AB259" s="97"/>
      <c r="AC259" s="97" t="str">
        <f t="shared" ca="1" si="65"/>
        <v/>
      </c>
      <c r="AE259" s="96" t="str">
        <f t="shared" si="66"/>
        <v/>
      </c>
      <c r="AF259" s="97" t="str">
        <f>IFERROR(VLOOKUP(AE259,[1]Cálculos_PRICE!$A$32:$K$212,10,0),"")</f>
        <v/>
      </c>
      <c r="AG259" s="97" t="str">
        <f ca="1">IFERROR(VLOOKUP(AE259,Cálculos_Aquisição_SAC_Fixa!A257:K530,10,0),"")</f>
        <v/>
      </c>
      <c r="AH259" s="97" t="str">
        <f>IFERROR(VLOOKUP(AE259,[1]Cálculos_PRICE!$A$32:$K$212,6,0),"")</f>
        <v/>
      </c>
      <c r="AI259" s="97" t="str">
        <f>IFERROR(VLOOKUP(AE259,Cálculos_Aquisição_SAC_Fixa!A257:K530,6,0),"")</f>
        <v/>
      </c>
      <c r="AJ259" s="97" t="str">
        <f>IFERROR(VLOOKUP(AE259,[1]Cálculos_PRICE!$A$32:$K$240,11,0),"")</f>
        <v/>
      </c>
      <c r="AK259" s="97" t="str">
        <f>IFERROR(VLOOKUP(AE259,Cálculos_Aquisição_SAC_Fixa!A257:K530,11,0),"")</f>
        <v/>
      </c>
      <c r="AN259" s="132"/>
      <c r="AO259" s="132"/>
    </row>
    <row r="260" spans="1:41" ht="15.5" x14ac:dyDescent="0.35">
      <c r="A260" s="98" t="str">
        <f t="shared" si="63"/>
        <v/>
      </c>
      <c r="B260" s="99" t="str">
        <f t="shared" si="57"/>
        <v>-</v>
      </c>
      <c r="C260" s="100" t="str">
        <f t="shared" si="58"/>
        <v/>
      </c>
      <c r="D260" s="100" t="str">
        <f t="shared" si="59"/>
        <v/>
      </c>
      <c r="E260" s="100" t="str">
        <f t="shared" si="60"/>
        <v/>
      </c>
      <c r="F260" s="100" t="str">
        <f t="shared" si="53"/>
        <v/>
      </c>
      <c r="G260" s="100" t="str">
        <f t="shared" si="61"/>
        <v/>
      </c>
      <c r="H260" s="100" t="str">
        <f t="shared" ca="1" si="54"/>
        <v/>
      </c>
      <c r="I260" s="100" t="str">
        <f t="shared" si="55"/>
        <v/>
      </c>
      <c r="J260" s="100" t="str">
        <f t="shared" ca="1" si="56"/>
        <v/>
      </c>
      <c r="K260" s="101" t="str">
        <f t="shared" si="62"/>
        <v/>
      </c>
      <c r="O260" s="118">
        <f t="shared" si="68"/>
        <v>0</v>
      </c>
      <c r="P260" s="119">
        <f t="shared" si="67"/>
        <v>0</v>
      </c>
      <c r="Q260" s="120">
        <v>375</v>
      </c>
      <c r="AA260" s="96" t="str">
        <f t="shared" si="64"/>
        <v/>
      </c>
      <c r="AB260" s="97"/>
      <c r="AC260" s="97" t="str">
        <f t="shared" ca="1" si="65"/>
        <v/>
      </c>
      <c r="AE260" s="96" t="str">
        <f t="shared" si="66"/>
        <v/>
      </c>
      <c r="AF260" s="97" t="str">
        <f>IFERROR(VLOOKUP(AE260,[1]Cálculos_PRICE!$A$32:$K$212,10,0),"")</f>
        <v/>
      </c>
      <c r="AG260" s="97" t="str">
        <f ca="1">IFERROR(VLOOKUP(AE260,Cálculos_Aquisição_SAC_Fixa!A258:K531,10,0),"")</f>
        <v/>
      </c>
      <c r="AH260" s="97" t="str">
        <f>IFERROR(VLOOKUP(AE260,[1]Cálculos_PRICE!$A$32:$K$212,6,0),"")</f>
        <v/>
      </c>
      <c r="AI260" s="97" t="str">
        <f>IFERROR(VLOOKUP(AE260,Cálculos_Aquisição_SAC_Fixa!A258:K531,6,0),"")</f>
        <v/>
      </c>
      <c r="AJ260" s="97" t="str">
        <f>IFERROR(VLOOKUP(AE260,[1]Cálculos_PRICE!$A$32:$K$240,11,0),"")</f>
        <v/>
      </c>
      <c r="AK260" s="97" t="str">
        <f>IFERROR(VLOOKUP(AE260,Cálculos_Aquisição_SAC_Fixa!A258:K531,11,0),"")</f>
        <v/>
      </c>
      <c r="AN260" s="132"/>
      <c r="AO260" s="132"/>
    </row>
    <row r="261" spans="1:41" ht="15.5" x14ac:dyDescent="0.35">
      <c r="A261" s="98" t="str">
        <f t="shared" si="63"/>
        <v/>
      </c>
      <c r="B261" s="99" t="str">
        <f t="shared" si="57"/>
        <v>-</v>
      </c>
      <c r="C261" s="100" t="str">
        <f t="shared" si="58"/>
        <v/>
      </c>
      <c r="D261" s="100" t="str">
        <f t="shared" si="59"/>
        <v/>
      </c>
      <c r="E261" s="100" t="str">
        <f t="shared" si="60"/>
        <v/>
      </c>
      <c r="F261" s="100" t="str">
        <f t="shared" si="53"/>
        <v/>
      </c>
      <c r="G261" s="100" t="str">
        <f t="shared" si="61"/>
        <v/>
      </c>
      <c r="H261" s="100" t="str">
        <f t="shared" ca="1" si="54"/>
        <v/>
      </c>
      <c r="I261" s="100" t="str">
        <f t="shared" si="55"/>
        <v/>
      </c>
      <c r="J261" s="100" t="str">
        <f t="shared" ca="1" si="56"/>
        <v/>
      </c>
      <c r="K261" s="101" t="str">
        <f t="shared" si="62"/>
        <v/>
      </c>
      <c r="O261" s="118">
        <f t="shared" si="68"/>
        <v>0</v>
      </c>
      <c r="P261" s="119">
        <f t="shared" si="67"/>
        <v>0</v>
      </c>
      <c r="Q261" s="120">
        <v>376</v>
      </c>
      <c r="AA261" s="96" t="str">
        <f t="shared" si="64"/>
        <v/>
      </c>
      <c r="AB261" s="97"/>
      <c r="AC261" s="97" t="str">
        <f t="shared" ca="1" si="65"/>
        <v/>
      </c>
      <c r="AE261" s="96" t="str">
        <f t="shared" si="66"/>
        <v/>
      </c>
      <c r="AF261" s="97" t="str">
        <f>IFERROR(VLOOKUP(AE261,[1]Cálculos_PRICE!$A$32:$K$212,10,0),"")</f>
        <v/>
      </c>
      <c r="AG261" s="97" t="str">
        <f ca="1">IFERROR(VLOOKUP(AE261,Cálculos_Aquisição_SAC_Fixa!A259:K532,10,0),"")</f>
        <v/>
      </c>
      <c r="AH261" s="97" t="str">
        <f>IFERROR(VLOOKUP(AE261,[1]Cálculos_PRICE!$A$32:$K$212,6,0),"")</f>
        <v/>
      </c>
      <c r="AI261" s="97" t="str">
        <f>IFERROR(VLOOKUP(AE261,Cálculos_Aquisição_SAC_Fixa!A259:K532,6,0),"")</f>
        <v/>
      </c>
      <c r="AJ261" s="97" t="str">
        <f>IFERROR(VLOOKUP(AE261,[1]Cálculos_PRICE!$A$32:$K$240,11,0),"")</f>
        <v/>
      </c>
      <c r="AK261" s="97" t="str">
        <f>IFERROR(VLOOKUP(AE261,Cálculos_Aquisição_SAC_Fixa!A259:K532,11,0),"")</f>
        <v/>
      </c>
      <c r="AN261" s="132"/>
      <c r="AO261" s="132"/>
    </row>
    <row r="262" spans="1:41" ht="15.5" x14ac:dyDescent="0.35">
      <c r="A262" s="98" t="str">
        <f t="shared" si="63"/>
        <v/>
      </c>
      <c r="B262" s="99" t="str">
        <f t="shared" si="57"/>
        <v>-</v>
      </c>
      <c r="C262" s="100" t="str">
        <f t="shared" si="58"/>
        <v/>
      </c>
      <c r="D262" s="100" t="str">
        <f t="shared" si="59"/>
        <v/>
      </c>
      <c r="E262" s="100" t="str">
        <f t="shared" si="60"/>
        <v/>
      </c>
      <c r="F262" s="100" t="str">
        <f t="shared" si="53"/>
        <v/>
      </c>
      <c r="G262" s="100" t="str">
        <f t="shared" si="61"/>
        <v/>
      </c>
      <c r="H262" s="100" t="str">
        <f t="shared" ca="1" si="54"/>
        <v/>
      </c>
      <c r="I262" s="100" t="str">
        <f t="shared" si="55"/>
        <v/>
      </c>
      <c r="J262" s="100" t="str">
        <f t="shared" ca="1" si="56"/>
        <v/>
      </c>
      <c r="K262" s="101" t="str">
        <f t="shared" si="62"/>
        <v/>
      </c>
      <c r="O262" s="118">
        <f t="shared" si="68"/>
        <v>0</v>
      </c>
      <c r="P262" s="119">
        <f t="shared" si="67"/>
        <v>0</v>
      </c>
      <c r="Q262" s="120">
        <v>377</v>
      </c>
      <c r="AA262" s="96" t="str">
        <f t="shared" si="64"/>
        <v/>
      </c>
      <c r="AB262" s="97"/>
      <c r="AC262" s="97" t="str">
        <f t="shared" ca="1" si="65"/>
        <v/>
      </c>
      <c r="AE262" s="96" t="str">
        <f t="shared" si="66"/>
        <v/>
      </c>
      <c r="AF262" s="97" t="str">
        <f>IFERROR(VLOOKUP(AE262,[1]Cálculos_PRICE!$A$32:$K$212,10,0),"")</f>
        <v/>
      </c>
      <c r="AG262" s="97" t="str">
        <f ca="1">IFERROR(VLOOKUP(AE262,Cálculos_Aquisição_SAC_Fixa!A260:K533,10,0),"")</f>
        <v/>
      </c>
      <c r="AH262" s="97" t="str">
        <f>IFERROR(VLOOKUP(AE262,[1]Cálculos_PRICE!$A$32:$K$212,6,0),"")</f>
        <v/>
      </c>
      <c r="AI262" s="97" t="str">
        <f>IFERROR(VLOOKUP(AE262,Cálculos_Aquisição_SAC_Fixa!A260:K533,6,0),"")</f>
        <v/>
      </c>
      <c r="AJ262" s="97" t="str">
        <f>IFERROR(VLOOKUP(AE262,[1]Cálculos_PRICE!$A$32:$K$240,11,0),"")</f>
        <v/>
      </c>
      <c r="AK262" s="97" t="str">
        <f>IFERROR(VLOOKUP(AE262,Cálculos_Aquisição_SAC_Fixa!A260:K533,11,0),"")</f>
        <v/>
      </c>
      <c r="AN262" s="132"/>
      <c r="AO262" s="132"/>
    </row>
    <row r="263" spans="1:41" ht="15.5" x14ac:dyDescent="0.35">
      <c r="A263" s="98" t="str">
        <f t="shared" si="63"/>
        <v/>
      </c>
      <c r="B263" s="99" t="str">
        <f t="shared" si="57"/>
        <v>-</v>
      </c>
      <c r="C263" s="100" t="str">
        <f t="shared" si="58"/>
        <v/>
      </c>
      <c r="D263" s="100" t="str">
        <f t="shared" si="59"/>
        <v/>
      </c>
      <c r="E263" s="100" t="str">
        <f t="shared" si="60"/>
        <v/>
      </c>
      <c r="F263" s="100" t="str">
        <f t="shared" si="53"/>
        <v/>
      </c>
      <c r="G263" s="100" t="str">
        <f t="shared" si="61"/>
        <v/>
      </c>
      <c r="H263" s="100" t="str">
        <f t="shared" ca="1" si="54"/>
        <v/>
      </c>
      <c r="I263" s="100" t="str">
        <f t="shared" si="55"/>
        <v/>
      </c>
      <c r="J263" s="100" t="str">
        <f t="shared" ca="1" si="56"/>
        <v/>
      </c>
      <c r="K263" s="101" t="str">
        <f t="shared" si="62"/>
        <v/>
      </c>
      <c r="O263" s="118">
        <f t="shared" si="68"/>
        <v>0</v>
      </c>
      <c r="P263" s="119">
        <f t="shared" si="67"/>
        <v>0</v>
      </c>
      <c r="Q263" s="120">
        <v>378</v>
      </c>
      <c r="AA263" s="96" t="str">
        <f t="shared" si="64"/>
        <v/>
      </c>
      <c r="AB263" s="97"/>
      <c r="AC263" s="97" t="str">
        <f t="shared" ca="1" si="65"/>
        <v/>
      </c>
      <c r="AE263" s="96" t="str">
        <f t="shared" si="66"/>
        <v/>
      </c>
      <c r="AF263" s="97" t="str">
        <f>IFERROR(VLOOKUP(AE263,[1]Cálculos_PRICE!$A$32:$K$212,10,0),"")</f>
        <v/>
      </c>
      <c r="AG263" s="97" t="str">
        <f ca="1">IFERROR(VLOOKUP(AE263,Cálculos_Aquisição_SAC_Fixa!A261:K534,10,0),"")</f>
        <v/>
      </c>
      <c r="AH263" s="97" t="str">
        <f>IFERROR(VLOOKUP(AE263,[1]Cálculos_PRICE!$A$32:$K$212,6,0),"")</f>
        <v/>
      </c>
      <c r="AI263" s="97" t="str">
        <f>IFERROR(VLOOKUP(AE263,Cálculos_Aquisição_SAC_Fixa!A261:K534,6,0),"")</f>
        <v/>
      </c>
      <c r="AJ263" s="97" t="str">
        <f>IFERROR(VLOOKUP(AE263,[1]Cálculos_PRICE!$A$32:$K$240,11,0),"")</f>
        <v/>
      </c>
      <c r="AK263" s="97" t="str">
        <f>IFERROR(VLOOKUP(AE263,Cálculos_Aquisição_SAC_Fixa!A261:K534,11,0),"")</f>
        <v/>
      </c>
      <c r="AN263" s="132"/>
      <c r="AO263" s="132"/>
    </row>
    <row r="264" spans="1:41" ht="15.5" x14ac:dyDescent="0.35">
      <c r="A264" s="98" t="str">
        <f t="shared" si="63"/>
        <v/>
      </c>
      <c r="B264" s="99" t="str">
        <f t="shared" si="57"/>
        <v>-</v>
      </c>
      <c r="C264" s="100" t="str">
        <f t="shared" si="58"/>
        <v/>
      </c>
      <c r="D264" s="100" t="str">
        <f t="shared" si="59"/>
        <v/>
      </c>
      <c r="E264" s="100" t="str">
        <f t="shared" si="60"/>
        <v/>
      </c>
      <c r="F264" s="100" t="str">
        <f t="shared" si="53"/>
        <v/>
      </c>
      <c r="G264" s="100" t="str">
        <f t="shared" si="61"/>
        <v/>
      </c>
      <c r="H264" s="100" t="str">
        <f t="shared" ca="1" si="54"/>
        <v/>
      </c>
      <c r="I264" s="100" t="str">
        <f t="shared" si="55"/>
        <v/>
      </c>
      <c r="J264" s="100" t="str">
        <f t="shared" ca="1" si="56"/>
        <v/>
      </c>
      <c r="K264" s="101" t="str">
        <f t="shared" si="62"/>
        <v/>
      </c>
      <c r="O264" s="118">
        <f t="shared" si="68"/>
        <v>0</v>
      </c>
      <c r="P264" s="119">
        <f t="shared" si="67"/>
        <v>0</v>
      </c>
      <c r="Q264" s="120">
        <v>379</v>
      </c>
      <c r="AA264" s="96" t="str">
        <f t="shared" si="64"/>
        <v/>
      </c>
      <c r="AB264" s="97"/>
      <c r="AC264" s="97" t="str">
        <f t="shared" ca="1" si="65"/>
        <v/>
      </c>
      <c r="AE264" s="96" t="str">
        <f t="shared" si="66"/>
        <v/>
      </c>
      <c r="AF264" s="97" t="str">
        <f>IFERROR(VLOOKUP(AE264,[1]Cálculos_PRICE!$A$32:$K$212,10,0),"")</f>
        <v/>
      </c>
      <c r="AG264" s="97" t="str">
        <f ca="1">IFERROR(VLOOKUP(AE264,Cálculos_Aquisição_SAC_Fixa!A262:K535,10,0),"")</f>
        <v/>
      </c>
      <c r="AH264" s="97" t="str">
        <f>IFERROR(VLOOKUP(AE264,[1]Cálculos_PRICE!$A$32:$K$212,6,0),"")</f>
        <v/>
      </c>
      <c r="AI264" s="97" t="str">
        <f>IFERROR(VLOOKUP(AE264,Cálculos_Aquisição_SAC_Fixa!A262:K535,6,0),"")</f>
        <v/>
      </c>
      <c r="AJ264" s="97" t="str">
        <f>IFERROR(VLOOKUP(AE264,[1]Cálculos_PRICE!$A$32:$K$240,11,0),"")</f>
        <v/>
      </c>
      <c r="AK264" s="97" t="str">
        <f>IFERROR(VLOOKUP(AE264,Cálculos_Aquisição_SAC_Fixa!A262:K535,11,0),"")</f>
        <v/>
      </c>
      <c r="AN264" s="132"/>
      <c r="AO264" s="132"/>
    </row>
    <row r="265" spans="1:41" ht="15.5" x14ac:dyDescent="0.35">
      <c r="A265" s="98" t="str">
        <f t="shared" si="63"/>
        <v/>
      </c>
      <c r="B265" s="99" t="str">
        <f t="shared" si="57"/>
        <v>-</v>
      </c>
      <c r="C265" s="100" t="str">
        <f t="shared" si="58"/>
        <v/>
      </c>
      <c r="D265" s="100" t="str">
        <f t="shared" si="59"/>
        <v/>
      </c>
      <c r="E265" s="100" t="str">
        <f t="shared" si="60"/>
        <v/>
      </c>
      <c r="F265" s="100" t="str">
        <f t="shared" si="53"/>
        <v/>
      </c>
      <c r="G265" s="100" t="str">
        <f t="shared" si="61"/>
        <v/>
      </c>
      <c r="H265" s="100" t="str">
        <f t="shared" ca="1" si="54"/>
        <v/>
      </c>
      <c r="I265" s="100" t="str">
        <f t="shared" si="55"/>
        <v/>
      </c>
      <c r="J265" s="100" t="str">
        <f t="shared" ca="1" si="56"/>
        <v/>
      </c>
      <c r="K265" s="101" t="str">
        <f t="shared" si="62"/>
        <v/>
      </c>
      <c r="O265" s="118">
        <f t="shared" si="68"/>
        <v>0</v>
      </c>
      <c r="P265" s="119">
        <f t="shared" si="67"/>
        <v>0</v>
      </c>
      <c r="Q265" s="120">
        <v>380</v>
      </c>
      <c r="AA265" s="96" t="str">
        <f t="shared" si="64"/>
        <v/>
      </c>
      <c r="AB265" s="97"/>
      <c r="AC265" s="97" t="str">
        <f t="shared" ca="1" si="65"/>
        <v/>
      </c>
      <c r="AE265" s="96" t="str">
        <f t="shared" si="66"/>
        <v/>
      </c>
      <c r="AF265" s="97" t="str">
        <f>IFERROR(VLOOKUP(AE265,[1]Cálculos_PRICE!$A$32:$K$212,10,0),"")</f>
        <v/>
      </c>
      <c r="AG265" s="97" t="str">
        <f ca="1">IFERROR(VLOOKUP(AE265,Cálculos_Aquisição_SAC_Fixa!A263:K536,10,0),"")</f>
        <v/>
      </c>
      <c r="AH265" s="97" t="str">
        <f>IFERROR(VLOOKUP(AE265,[1]Cálculos_PRICE!$A$32:$K$212,6,0),"")</f>
        <v/>
      </c>
      <c r="AI265" s="97" t="str">
        <f>IFERROR(VLOOKUP(AE265,Cálculos_Aquisição_SAC_Fixa!A263:K536,6,0),"")</f>
        <v/>
      </c>
      <c r="AJ265" s="97" t="str">
        <f>IFERROR(VLOOKUP(AE265,[1]Cálculos_PRICE!$A$32:$K$240,11,0),"")</f>
        <v/>
      </c>
      <c r="AK265" s="97" t="str">
        <f>IFERROR(VLOOKUP(AE265,Cálculos_Aquisição_SAC_Fixa!A263:K536,11,0),"")</f>
        <v/>
      </c>
      <c r="AN265" s="132"/>
      <c r="AO265" s="132"/>
    </row>
    <row r="266" spans="1:41" ht="15.5" x14ac:dyDescent="0.35">
      <c r="A266" s="98" t="str">
        <f t="shared" si="63"/>
        <v/>
      </c>
      <c r="B266" s="99" t="str">
        <f t="shared" si="57"/>
        <v>-</v>
      </c>
      <c r="C266" s="100" t="str">
        <f t="shared" si="58"/>
        <v/>
      </c>
      <c r="D266" s="100" t="str">
        <f t="shared" si="59"/>
        <v/>
      </c>
      <c r="E266" s="100" t="str">
        <f t="shared" si="60"/>
        <v/>
      </c>
      <c r="F266" s="100" t="str">
        <f t="shared" si="53"/>
        <v/>
      </c>
      <c r="G266" s="100" t="str">
        <f t="shared" si="61"/>
        <v/>
      </c>
      <c r="H266" s="100" t="str">
        <f t="shared" ca="1" si="54"/>
        <v/>
      </c>
      <c r="I266" s="100" t="str">
        <f t="shared" si="55"/>
        <v/>
      </c>
      <c r="J266" s="100" t="str">
        <f t="shared" ca="1" si="56"/>
        <v/>
      </c>
      <c r="K266" s="101" t="str">
        <f t="shared" si="62"/>
        <v/>
      </c>
      <c r="O266" s="118">
        <f t="shared" si="68"/>
        <v>0</v>
      </c>
      <c r="P266" s="119">
        <f t="shared" si="67"/>
        <v>0</v>
      </c>
      <c r="Q266" s="120">
        <v>381</v>
      </c>
      <c r="AA266" s="96" t="str">
        <f t="shared" si="64"/>
        <v/>
      </c>
      <c r="AB266" s="97"/>
      <c r="AC266" s="97" t="str">
        <f t="shared" ca="1" si="65"/>
        <v/>
      </c>
      <c r="AE266" s="96" t="str">
        <f t="shared" si="66"/>
        <v/>
      </c>
      <c r="AF266" s="97" t="str">
        <f>IFERROR(VLOOKUP(AE266,[1]Cálculos_PRICE!$A$32:$K$212,10,0),"")</f>
        <v/>
      </c>
      <c r="AG266" s="97" t="str">
        <f ca="1">IFERROR(VLOOKUP(AE266,Cálculos_Aquisição_SAC_Fixa!A264:K537,10,0),"")</f>
        <v/>
      </c>
      <c r="AH266" s="97" t="str">
        <f>IFERROR(VLOOKUP(AE266,[1]Cálculos_PRICE!$A$32:$K$212,6,0),"")</f>
        <v/>
      </c>
      <c r="AI266" s="97" t="str">
        <f>IFERROR(VLOOKUP(AE266,Cálculos_Aquisição_SAC_Fixa!A264:K537,6,0),"")</f>
        <v/>
      </c>
      <c r="AJ266" s="97" t="str">
        <f>IFERROR(VLOOKUP(AE266,[1]Cálculos_PRICE!$A$32:$K$240,11,0),"")</f>
        <v/>
      </c>
      <c r="AK266" s="97" t="str">
        <f>IFERROR(VLOOKUP(AE266,Cálculos_Aquisição_SAC_Fixa!A264:K537,11,0),"")</f>
        <v/>
      </c>
      <c r="AN266" s="132"/>
      <c r="AO266" s="132"/>
    </row>
    <row r="267" spans="1:41" ht="15.5" x14ac:dyDescent="0.35">
      <c r="A267" s="98" t="str">
        <f t="shared" si="63"/>
        <v/>
      </c>
      <c r="B267" s="99" t="str">
        <f t="shared" si="57"/>
        <v>-</v>
      </c>
      <c r="C267" s="100" t="str">
        <f t="shared" si="58"/>
        <v/>
      </c>
      <c r="D267" s="100" t="str">
        <f t="shared" si="59"/>
        <v/>
      </c>
      <c r="E267" s="100" t="str">
        <f t="shared" si="60"/>
        <v/>
      </c>
      <c r="F267" s="100" t="str">
        <f t="shared" si="53"/>
        <v/>
      </c>
      <c r="G267" s="100" t="str">
        <f t="shared" si="61"/>
        <v/>
      </c>
      <c r="H267" s="100" t="str">
        <f t="shared" ca="1" si="54"/>
        <v/>
      </c>
      <c r="I267" s="100" t="str">
        <f t="shared" si="55"/>
        <v/>
      </c>
      <c r="J267" s="100" t="str">
        <f t="shared" ca="1" si="56"/>
        <v/>
      </c>
      <c r="K267" s="101" t="str">
        <f t="shared" si="62"/>
        <v/>
      </c>
      <c r="O267" s="118">
        <f t="shared" si="68"/>
        <v>0</v>
      </c>
      <c r="P267" s="119">
        <f t="shared" si="67"/>
        <v>0</v>
      </c>
      <c r="Q267" s="120">
        <v>382</v>
      </c>
      <c r="AA267" s="96" t="str">
        <f t="shared" si="64"/>
        <v/>
      </c>
      <c r="AB267" s="97"/>
      <c r="AC267" s="97" t="str">
        <f t="shared" ca="1" si="65"/>
        <v/>
      </c>
      <c r="AE267" s="96" t="str">
        <f t="shared" si="66"/>
        <v/>
      </c>
      <c r="AF267" s="97" t="str">
        <f>IFERROR(VLOOKUP(AE267,[1]Cálculos_PRICE!$A$32:$K$212,10,0),"")</f>
        <v/>
      </c>
      <c r="AG267" s="97" t="str">
        <f ca="1">IFERROR(VLOOKUP(AE267,Cálculos_Aquisição_SAC_Fixa!A265:K538,10,0),"")</f>
        <v/>
      </c>
      <c r="AH267" s="97" t="str">
        <f>IFERROR(VLOOKUP(AE267,[1]Cálculos_PRICE!$A$32:$K$212,6,0),"")</f>
        <v/>
      </c>
      <c r="AI267" s="97" t="str">
        <f>IFERROR(VLOOKUP(AE267,Cálculos_Aquisição_SAC_Fixa!A265:K538,6,0),"")</f>
        <v/>
      </c>
      <c r="AJ267" s="97" t="str">
        <f>IFERROR(VLOOKUP(AE267,[1]Cálculos_PRICE!$A$32:$K$240,11,0),"")</f>
        <v/>
      </c>
      <c r="AK267" s="97" t="str">
        <f>IFERROR(VLOOKUP(AE267,Cálculos_Aquisição_SAC_Fixa!A265:K538,11,0),"")</f>
        <v/>
      </c>
      <c r="AN267" s="132"/>
      <c r="AO267" s="132"/>
    </row>
    <row r="268" spans="1:41" ht="15.5" x14ac:dyDescent="0.35">
      <c r="A268" s="98" t="str">
        <f t="shared" si="63"/>
        <v/>
      </c>
      <c r="B268" s="99" t="str">
        <f t="shared" si="57"/>
        <v>-</v>
      </c>
      <c r="C268" s="100" t="str">
        <f t="shared" si="58"/>
        <v/>
      </c>
      <c r="D268" s="100" t="str">
        <f t="shared" si="59"/>
        <v/>
      </c>
      <c r="E268" s="100" t="str">
        <f t="shared" si="60"/>
        <v/>
      </c>
      <c r="F268" s="100" t="str">
        <f t="shared" si="53"/>
        <v/>
      </c>
      <c r="G268" s="100" t="str">
        <f t="shared" si="61"/>
        <v/>
      </c>
      <c r="H268" s="100" t="str">
        <f t="shared" ca="1" si="54"/>
        <v/>
      </c>
      <c r="I268" s="100" t="str">
        <f t="shared" si="55"/>
        <v/>
      </c>
      <c r="J268" s="100" t="str">
        <f t="shared" ca="1" si="56"/>
        <v/>
      </c>
      <c r="K268" s="101" t="str">
        <f t="shared" si="62"/>
        <v/>
      </c>
      <c r="O268" s="118">
        <f t="shared" si="68"/>
        <v>0</v>
      </c>
      <c r="P268" s="119">
        <f t="shared" si="67"/>
        <v>0</v>
      </c>
      <c r="Q268" s="120">
        <v>383</v>
      </c>
      <c r="AA268" s="96" t="str">
        <f t="shared" si="64"/>
        <v/>
      </c>
      <c r="AB268" s="97"/>
      <c r="AC268" s="97" t="str">
        <f t="shared" ca="1" si="65"/>
        <v/>
      </c>
      <c r="AE268" s="96" t="str">
        <f t="shared" si="66"/>
        <v/>
      </c>
      <c r="AF268" s="97" t="str">
        <f>IFERROR(VLOOKUP(AE268,[1]Cálculos_PRICE!$A$32:$K$212,10,0),"")</f>
        <v/>
      </c>
      <c r="AG268" s="97" t="str">
        <f ca="1">IFERROR(VLOOKUP(AE268,Cálculos_Aquisição_SAC_Fixa!A266:K539,10,0),"")</f>
        <v/>
      </c>
      <c r="AH268" s="97" t="str">
        <f>IFERROR(VLOOKUP(AE268,[1]Cálculos_PRICE!$A$32:$K$212,6,0),"")</f>
        <v/>
      </c>
      <c r="AI268" s="97" t="str">
        <f>IFERROR(VLOOKUP(AE268,Cálculos_Aquisição_SAC_Fixa!A266:K539,6,0),"")</f>
        <v/>
      </c>
      <c r="AJ268" s="97" t="str">
        <f>IFERROR(VLOOKUP(AE268,[1]Cálculos_PRICE!$A$32:$K$240,11,0),"")</f>
        <v/>
      </c>
      <c r="AK268" s="97" t="str">
        <f>IFERROR(VLOOKUP(AE268,Cálculos_Aquisição_SAC_Fixa!A266:K539,11,0),"")</f>
        <v/>
      </c>
      <c r="AN268" s="132"/>
      <c r="AO268" s="132"/>
    </row>
    <row r="269" spans="1:41" ht="15.5" x14ac:dyDescent="0.35">
      <c r="A269" s="98" t="str">
        <f t="shared" si="63"/>
        <v/>
      </c>
      <c r="B269" s="99" t="str">
        <f t="shared" si="57"/>
        <v>-</v>
      </c>
      <c r="C269" s="100" t="str">
        <f t="shared" si="58"/>
        <v/>
      </c>
      <c r="D269" s="100" t="str">
        <f t="shared" si="59"/>
        <v/>
      </c>
      <c r="E269" s="100" t="str">
        <f t="shared" si="60"/>
        <v/>
      </c>
      <c r="F269" s="100" t="str">
        <f t="shared" si="53"/>
        <v/>
      </c>
      <c r="G269" s="100" t="str">
        <f t="shared" si="61"/>
        <v/>
      </c>
      <c r="H269" s="100" t="str">
        <f t="shared" ca="1" si="54"/>
        <v/>
      </c>
      <c r="I269" s="100" t="str">
        <f t="shared" si="55"/>
        <v/>
      </c>
      <c r="J269" s="100" t="str">
        <f t="shared" ca="1" si="56"/>
        <v/>
      </c>
      <c r="K269" s="101" t="str">
        <f t="shared" si="62"/>
        <v/>
      </c>
      <c r="O269" s="118">
        <f t="shared" si="68"/>
        <v>0</v>
      </c>
      <c r="P269" s="119">
        <f t="shared" si="67"/>
        <v>0</v>
      </c>
      <c r="Q269" s="120">
        <v>384</v>
      </c>
      <c r="AA269" s="96" t="str">
        <f t="shared" si="64"/>
        <v/>
      </c>
      <c r="AB269" s="97"/>
      <c r="AC269" s="97" t="str">
        <f t="shared" ca="1" si="65"/>
        <v/>
      </c>
      <c r="AE269" s="96" t="str">
        <f t="shared" si="66"/>
        <v/>
      </c>
      <c r="AF269" s="97" t="str">
        <f>IFERROR(VLOOKUP(AE269,[1]Cálculos_PRICE!$A$32:$K$212,10,0),"")</f>
        <v/>
      </c>
      <c r="AG269" s="97" t="str">
        <f ca="1">IFERROR(VLOOKUP(AE269,Cálculos_Aquisição_SAC_Fixa!A267:K540,10,0),"")</f>
        <v/>
      </c>
      <c r="AH269" s="97" t="str">
        <f>IFERROR(VLOOKUP(AE269,[1]Cálculos_PRICE!$A$32:$K$212,6,0),"")</f>
        <v/>
      </c>
      <c r="AI269" s="97" t="str">
        <f>IFERROR(VLOOKUP(AE269,Cálculos_Aquisição_SAC_Fixa!A267:K540,6,0),"")</f>
        <v/>
      </c>
      <c r="AJ269" s="97" t="str">
        <f>IFERROR(VLOOKUP(AE269,[1]Cálculos_PRICE!$A$32:$K$240,11,0),"")</f>
        <v/>
      </c>
      <c r="AK269" s="97" t="str">
        <f>IFERROR(VLOOKUP(AE269,Cálculos_Aquisição_SAC_Fixa!A267:K540,11,0),"")</f>
        <v/>
      </c>
      <c r="AN269" s="132"/>
      <c r="AO269" s="132"/>
    </row>
    <row r="270" spans="1:41" ht="15.5" x14ac:dyDescent="0.35">
      <c r="A270" s="98" t="str">
        <f t="shared" si="63"/>
        <v/>
      </c>
      <c r="B270" s="99" t="str">
        <f t="shared" si="57"/>
        <v>-</v>
      </c>
      <c r="C270" s="100" t="str">
        <f t="shared" si="58"/>
        <v/>
      </c>
      <c r="D270" s="100" t="str">
        <f t="shared" si="59"/>
        <v/>
      </c>
      <c r="E270" s="100" t="str">
        <f t="shared" si="60"/>
        <v/>
      </c>
      <c r="F270" s="100" t="str">
        <f t="shared" si="53"/>
        <v/>
      </c>
      <c r="G270" s="100" t="str">
        <f t="shared" si="61"/>
        <v/>
      </c>
      <c r="H270" s="100" t="str">
        <f t="shared" ca="1" si="54"/>
        <v/>
      </c>
      <c r="I270" s="100" t="str">
        <f t="shared" si="55"/>
        <v/>
      </c>
      <c r="J270" s="100" t="str">
        <f t="shared" ca="1" si="56"/>
        <v/>
      </c>
      <c r="K270" s="101" t="str">
        <f t="shared" si="62"/>
        <v/>
      </c>
      <c r="O270" s="118">
        <f t="shared" si="68"/>
        <v>0</v>
      </c>
      <c r="P270" s="119">
        <f t="shared" si="67"/>
        <v>0</v>
      </c>
      <c r="Q270" s="120">
        <v>385</v>
      </c>
      <c r="AA270" s="96" t="str">
        <f t="shared" si="64"/>
        <v/>
      </c>
      <c r="AB270" s="97"/>
      <c r="AC270" s="97" t="str">
        <f t="shared" ca="1" si="65"/>
        <v/>
      </c>
      <c r="AE270" s="96" t="str">
        <f t="shared" si="66"/>
        <v/>
      </c>
      <c r="AF270" s="97" t="str">
        <f>IFERROR(VLOOKUP(AE270,[1]Cálculos_PRICE!$A$32:$K$212,10,0),"")</f>
        <v/>
      </c>
      <c r="AG270" s="97" t="str">
        <f ca="1">IFERROR(VLOOKUP(AE270,Cálculos_Aquisição_SAC_Fixa!A268:K541,10,0),"")</f>
        <v/>
      </c>
      <c r="AH270" s="97" t="str">
        <f>IFERROR(VLOOKUP(AE270,[1]Cálculos_PRICE!$A$32:$K$212,6,0),"")</f>
        <v/>
      </c>
      <c r="AI270" s="97" t="str">
        <f>IFERROR(VLOOKUP(AE270,Cálculos_Aquisição_SAC_Fixa!A268:K541,6,0),"")</f>
        <v/>
      </c>
      <c r="AJ270" s="97" t="str">
        <f>IFERROR(VLOOKUP(AE270,[1]Cálculos_PRICE!$A$32:$K$240,11,0),"")</f>
        <v/>
      </c>
      <c r="AK270" s="97" t="str">
        <f>IFERROR(VLOOKUP(AE270,Cálculos_Aquisição_SAC_Fixa!A268:K541,11,0),"")</f>
        <v/>
      </c>
      <c r="AN270" s="132"/>
      <c r="AO270" s="132"/>
    </row>
    <row r="271" spans="1:41" ht="15.5" x14ac:dyDescent="0.35">
      <c r="A271" s="98" t="str">
        <f t="shared" si="63"/>
        <v/>
      </c>
      <c r="B271" s="99" t="str">
        <f t="shared" si="57"/>
        <v>-</v>
      </c>
      <c r="C271" s="100" t="str">
        <f t="shared" si="58"/>
        <v/>
      </c>
      <c r="D271" s="100" t="str">
        <f t="shared" si="59"/>
        <v/>
      </c>
      <c r="E271" s="100" t="str">
        <f t="shared" si="60"/>
        <v/>
      </c>
      <c r="F271" s="100" t="str">
        <f t="shared" si="53"/>
        <v/>
      </c>
      <c r="G271" s="100" t="str">
        <f t="shared" si="61"/>
        <v/>
      </c>
      <c r="H271" s="100" t="str">
        <f t="shared" ca="1" si="54"/>
        <v/>
      </c>
      <c r="I271" s="100" t="str">
        <f t="shared" si="55"/>
        <v/>
      </c>
      <c r="J271" s="100" t="str">
        <f t="shared" ca="1" si="56"/>
        <v/>
      </c>
      <c r="K271" s="101" t="str">
        <f t="shared" si="62"/>
        <v/>
      </c>
      <c r="O271" s="118">
        <f t="shared" si="68"/>
        <v>0</v>
      </c>
      <c r="P271" s="119">
        <f t="shared" si="67"/>
        <v>0</v>
      </c>
      <c r="Q271" s="120">
        <v>386</v>
      </c>
      <c r="AA271" s="96" t="str">
        <f t="shared" si="64"/>
        <v/>
      </c>
      <c r="AB271" s="97"/>
      <c r="AC271" s="97" t="str">
        <f t="shared" ca="1" si="65"/>
        <v/>
      </c>
      <c r="AE271" s="96" t="str">
        <f t="shared" si="66"/>
        <v/>
      </c>
      <c r="AF271" s="97" t="str">
        <f>IFERROR(VLOOKUP(AE271,[1]Cálculos_PRICE!$A$32:$K$212,10,0),"")</f>
        <v/>
      </c>
      <c r="AG271" s="97" t="str">
        <f ca="1">IFERROR(VLOOKUP(AE271,Cálculos_Aquisição_SAC_Fixa!A269:K542,10,0),"")</f>
        <v/>
      </c>
      <c r="AH271" s="97" t="str">
        <f>IFERROR(VLOOKUP(AE271,[1]Cálculos_PRICE!$A$32:$K$212,6,0),"")</f>
        <v/>
      </c>
      <c r="AI271" s="97" t="str">
        <f>IFERROR(VLOOKUP(AE271,Cálculos_Aquisição_SAC_Fixa!A269:K542,6,0),"")</f>
        <v/>
      </c>
      <c r="AJ271" s="97" t="str">
        <f>IFERROR(VLOOKUP(AE271,[1]Cálculos_PRICE!$A$32:$K$240,11,0),"")</f>
        <v/>
      </c>
      <c r="AK271" s="97" t="str">
        <f>IFERROR(VLOOKUP(AE271,Cálculos_Aquisição_SAC_Fixa!A269:K542,11,0),"")</f>
        <v/>
      </c>
      <c r="AN271" s="132"/>
      <c r="AO271" s="132"/>
    </row>
    <row r="272" spans="1:41" ht="15.5" x14ac:dyDescent="0.35">
      <c r="A272" s="98" t="str">
        <f t="shared" si="63"/>
        <v/>
      </c>
      <c r="B272" s="99" t="str">
        <f t="shared" si="57"/>
        <v>-</v>
      </c>
      <c r="C272" s="100" t="str">
        <f t="shared" si="58"/>
        <v/>
      </c>
      <c r="D272" s="100" t="str">
        <f t="shared" si="59"/>
        <v/>
      </c>
      <c r="E272" s="100" t="str">
        <f t="shared" si="60"/>
        <v/>
      </c>
      <c r="F272" s="100" t="str">
        <f t="shared" si="53"/>
        <v/>
      </c>
      <c r="G272" s="100" t="str">
        <f t="shared" si="61"/>
        <v/>
      </c>
      <c r="H272" s="100" t="str">
        <f t="shared" ca="1" si="54"/>
        <v/>
      </c>
      <c r="I272" s="100" t="str">
        <f t="shared" si="55"/>
        <v/>
      </c>
      <c r="J272" s="100" t="str">
        <f t="shared" ca="1" si="56"/>
        <v/>
      </c>
      <c r="K272" s="101" t="str">
        <f t="shared" si="62"/>
        <v/>
      </c>
      <c r="O272" s="118">
        <f t="shared" si="68"/>
        <v>0</v>
      </c>
      <c r="P272" s="119">
        <f t="shared" si="67"/>
        <v>0</v>
      </c>
      <c r="Q272" s="120">
        <v>387</v>
      </c>
      <c r="AA272" s="96" t="str">
        <f t="shared" si="64"/>
        <v/>
      </c>
      <c r="AB272" s="97"/>
      <c r="AC272" s="97" t="str">
        <f t="shared" ca="1" si="65"/>
        <v/>
      </c>
      <c r="AE272" s="96" t="str">
        <f t="shared" si="66"/>
        <v/>
      </c>
      <c r="AF272" s="97" t="str">
        <f>IFERROR(VLOOKUP(AE272,[1]Cálculos_PRICE!$A$32:$K$212,10,0),"")</f>
        <v/>
      </c>
      <c r="AG272" s="97" t="str">
        <f ca="1">IFERROR(VLOOKUP(AE272,Cálculos_Aquisição_SAC_Fixa!A270:K543,10,0),"")</f>
        <v/>
      </c>
      <c r="AH272" s="97" t="str">
        <f>IFERROR(VLOOKUP(AE272,[1]Cálculos_PRICE!$A$32:$K$212,6,0),"")</f>
        <v/>
      </c>
      <c r="AI272" s="97" t="str">
        <f>IFERROR(VLOOKUP(AE272,Cálculos_Aquisição_SAC_Fixa!A270:K543,6,0),"")</f>
        <v/>
      </c>
      <c r="AJ272" s="97" t="str">
        <f>IFERROR(VLOOKUP(AE272,[1]Cálculos_PRICE!$A$32:$K$240,11,0),"")</f>
        <v/>
      </c>
      <c r="AK272" s="97" t="str">
        <f>IFERROR(VLOOKUP(AE272,Cálculos_Aquisição_SAC_Fixa!A270:K543,11,0),"")</f>
        <v/>
      </c>
      <c r="AN272" s="132"/>
      <c r="AO272" s="132"/>
    </row>
    <row r="273" spans="1:41" ht="15.5" x14ac:dyDescent="0.35">
      <c r="A273" s="98" t="str">
        <f t="shared" si="63"/>
        <v/>
      </c>
      <c r="B273" s="99" t="str">
        <f t="shared" si="57"/>
        <v>-</v>
      </c>
      <c r="C273" s="100" t="str">
        <f t="shared" si="58"/>
        <v/>
      </c>
      <c r="D273" s="100" t="str">
        <f t="shared" si="59"/>
        <v/>
      </c>
      <c r="E273" s="100" t="str">
        <f t="shared" si="60"/>
        <v/>
      </c>
      <c r="F273" s="100" t="str">
        <f t="shared" si="53"/>
        <v/>
      </c>
      <c r="G273" s="100" t="str">
        <f t="shared" si="61"/>
        <v/>
      </c>
      <c r="H273" s="100" t="str">
        <f t="shared" ca="1" si="54"/>
        <v/>
      </c>
      <c r="I273" s="100" t="str">
        <f t="shared" si="55"/>
        <v/>
      </c>
      <c r="J273" s="100" t="str">
        <f t="shared" ca="1" si="56"/>
        <v/>
      </c>
      <c r="K273" s="101" t="str">
        <f t="shared" si="62"/>
        <v/>
      </c>
      <c r="O273" s="118">
        <f t="shared" si="68"/>
        <v>0</v>
      </c>
      <c r="P273" s="119">
        <f t="shared" si="67"/>
        <v>0</v>
      </c>
      <c r="Q273" s="120">
        <v>388</v>
      </c>
      <c r="AA273" s="96" t="str">
        <f t="shared" si="64"/>
        <v/>
      </c>
      <c r="AB273" s="97"/>
      <c r="AC273" s="97" t="str">
        <f t="shared" ca="1" si="65"/>
        <v/>
      </c>
      <c r="AE273" s="96" t="str">
        <f t="shared" si="66"/>
        <v/>
      </c>
      <c r="AF273" s="97" t="str">
        <f>IFERROR(VLOOKUP(AE273,[1]Cálculos_PRICE!$A$32:$K$212,10,0),"")</f>
        <v/>
      </c>
      <c r="AG273" s="97" t="str">
        <f ca="1">IFERROR(VLOOKUP(AE273,Cálculos_Aquisição_SAC_Fixa!A271:K544,10,0),"")</f>
        <v/>
      </c>
      <c r="AH273" s="97" t="str">
        <f>IFERROR(VLOOKUP(AE273,[1]Cálculos_PRICE!$A$32:$K$212,6,0),"")</f>
        <v/>
      </c>
      <c r="AI273" s="97" t="str">
        <f>IFERROR(VLOOKUP(AE273,Cálculos_Aquisição_SAC_Fixa!A271:K544,6,0),"")</f>
        <v/>
      </c>
      <c r="AJ273" s="97" t="str">
        <f>IFERROR(VLOOKUP(AE273,[1]Cálculos_PRICE!$A$32:$K$240,11,0),"")</f>
        <v/>
      </c>
      <c r="AK273" s="97" t="str">
        <f>IFERROR(VLOOKUP(AE273,Cálculos_Aquisição_SAC_Fixa!A271:K544,11,0),"")</f>
        <v/>
      </c>
      <c r="AN273" s="132"/>
      <c r="AO273" s="132"/>
    </row>
    <row r="274" spans="1:41" ht="15.5" x14ac:dyDescent="0.35">
      <c r="A274" s="98" t="str">
        <f t="shared" si="63"/>
        <v/>
      </c>
      <c r="B274" s="99" t="str">
        <f t="shared" si="57"/>
        <v>-</v>
      </c>
      <c r="C274" s="100" t="str">
        <f t="shared" si="58"/>
        <v/>
      </c>
      <c r="D274" s="100" t="str">
        <f t="shared" si="59"/>
        <v/>
      </c>
      <c r="E274" s="100" t="str">
        <f t="shared" si="60"/>
        <v/>
      </c>
      <c r="F274" s="100" t="str">
        <f t="shared" si="53"/>
        <v/>
      </c>
      <c r="G274" s="100" t="str">
        <f t="shared" si="61"/>
        <v/>
      </c>
      <c r="H274" s="100" t="str">
        <f t="shared" ca="1" si="54"/>
        <v/>
      </c>
      <c r="I274" s="100" t="str">
        <f t="shared" si="55"/>
        <v/>
      </c>
      <c r="J274" s="100" t="str">
        <f t="shared" ca="1" si="56"/>
        <v/>
      </c>
      <c r="K274" s="101" t="str">
        <f t="shared" si="62"/>
        <v/>
      </c>
      <c r="O274" s="118">
        <f t="shared" si="68"/>
        <v>0</v>
      </c>
      <c r="P274" s="119">
        <f t="shared" si="67"/>
        <v>0</v>
      </c>
      <c r="Q274" s="120">
        <v>389</v>
      </c>
      <c r="AA274" s="96" t="str">
        <f t="shared" si="64"/>
        <v/>
      </c>
      <c r="AB274" s="97"/>
      <c r="AC274" s="97" t="str">
        <f t="shared" ca="1" si="65"/>
        <v/>
      </c>
      <c r="AE274" s="96" t="str">
        <f t="shared" si="66"/>
        <v/>
      </c>
      <c r="AF274" s="97" t="str">
        <f>IFERROR(VLOOKUP(AE274,[1]Cálculos_PRICE!$A$32:$K$212,10,0),"")</f>
        <v/>
      </c>
      <c r="AG274" s="97" t="str">
        <f ca="1">IFERROR(VLOOKUP(AE274,Cálculos_Aquisição_SAC_Fixa!A272:K545,10,0),"")</f>
        <v/>
      </c>
      <c r="AH274" s="97" t="str">
        <f>IFERROR(VLOOKUP(AE274,[1]Cálculos_PRICE!$A$32:$K$212,6,0),"")</f>
        <v/>
      </c>
      <c r="AI274" s="97" t="str">
        <f>IFERROR(VLOOKUP(AE274,Cálculos_Aquisição_SAC_Fixa!A272:K545,6,0),"")</f>
        <v/>
      </c>
      <c r="AJ274" s="97" t="str">
        <f>IFERROR(VLOOKUP(AE274,[1]Cálculos_PRICE!$A$32:$K$240,11,0),"")</f>
        <v/>
      </c>
      <c r="AK274" s="97" t="str">
        <f>IFERROR(VLOOKUP(AE274,Cálculos_Aquisição_SAC_Fixa!A272:K545,11,0),"")</f>
        <v/>
      </c>
      <c r="AN274" s="132"/>
      <c r="AO274" s="132"/>
    </row>
    <row r="275" spans="1:41" ht="15.5" x14ac:dyDescent="0.35">
      <c r="A275" s="98" t="str">
        <f t="shared" si="63"/>
        <v/>
      </c>
      <c r="B275" s="99" t="str">
        <f t="shared" si="57"/>
        <v>-</v>
      </c>
      <c r="C275" s="100" t="str">
        <f t="shared" si="58"/>
        <v/>
      </c>
      <c r="D275" s="100" t="str">
        <f t="shared" si="59"/>
        <v/>
      </c>
      <c r="E275" s="100" t="str">
        <f t="shared" si="60"/>
        <v/>
      </c>
      <c r="F275" s="100" t="str">
        <f t="shared" si="53"/>
        <v/>
      </c>
      <c r="G275" s="100" t="str">
        <f t="shared" si="61"/>
        <v/>
      </c>
      <c r="H275" s="100" t="str">
        <f t="shared" ca="1" si="54"/>
        <v/>
      </c>
      <c r="I275" s="100" t="str">
        <f t="shared" si="55"/>
        <v/>
      </c>
      <c r="J275" s="100" t="str">
        <f t="shared" ca="1" si="56"/>
        <v/>
      </c>
      <c r="K275" s="101" t="str">
        <f t="shared" si="62"/>
        <v/>
      </c>
      <c r="O275" s="118">
        <f t="shared" si="68"/>
        <v>0</v>
      </c>
      <c r="P275" s="119">
        <f t="shared" si="67"/>
        <v>0</v>
      </c>
      <c r="Q275" s="120">
        <v>390</v>
      </c>
      <c r="AA275" s="96" t="str">
        <f t="shared" si="64"/>
        <v/>
      </c>
      <c r="AB275" s="97"/>
      <c r="AC275" s="97" t="str">
        <f t="shared" ca="1" si="65"/>
        <v/>
      </c>
      <c r="AE275" s="96" t="str">
        <f t="shared" si="66"/>
        <v/>
      </c>
      <c r="AF275" s="97" t="str">
        <f>IFERROR(VLOOKUP(AE275,[1]Cálculos_PRICE!$A$32:$K$212,10,0),"")</f>
        <v/>
      </c>
      <c r="AG275" s="97" t="str">
        <f ca="1">IFERROR(VLOOKUP(AE275,Cálculos_Aquisição_SAC_Fixa!A273:K546,10,0),"")</f>
        <v/>
      </c>
      <c r="AH275" s="97" t="str">
        <f>IFERROR(VLOOKUP(AE275,[1]Cálculos_PRICE!$A$32:$K$212,6,0),"")</f>
        <v/>
      </c>
      <c r="AI275" s="97" t="str">
        <f>IFERROR(VLOOKUP(AE275,Cálculos_Aquisição_SAC_Fixa!A273:K546,6,0),"")</f>
        <v/>
      </c>
      <c r="AJ275" s="97" t="str">
        <f>IFERROR(VLOOKUP(AE275,[1]Cálculos_PRICE!$A$32:$K$240,11,0),"")</f>
        <v/>
      </c>
      <c r="AK275" s="97" t="str">
        <f>IFERROR(VLOOKUP(AE275,Cálculos_Aquisição_SAC_Fixa!A273:K546,11,0),"")</f>
        <v/>
      </c>
      <c r="AN275" s="132"/>
      <c r="AO275" s="132"/>
    </row>
    <row r="276" spans="1:41" ht="15.5" x14ac:dyDescent="0.35">
      <c r="A276" s="98" t="str">
        <f t="shared" si="63"/>
        <v/>
      </c>
      <c r="B276" s="99" t="str">
        <f t="shared" si="57"/>
        <v>-</v>
      </c>
      <c r="C276" s="100" t="str">
        <f t="shared" si="58"/>
        <v/>
      </c>
      <c r="D276" s="100" t="str">
        <f t="shared" si="59"/>
        <v/>
      </c>
      <c r="E276" s="100" t="str">
        <f t="shared" si="60"/>
        <v/>
      </c>
      <c r="F276" s="100" t="str">
        <f t="shared" si="53"/>
        <v/>
      </c>
      <c r="G276" s="100" t="str">
        <f t="shared" si="61"/>
        <v/>
      </c>
      <c r="H276" s="100" t="str">
        <f t="shared" ca="1" si="54"/>
        <v/>
      </c>
      <c r="I276" s="100" t="str">
        <f t="shared" si="55"/>
        <v/>
      </c>
      <c r="J276" s="100" t="str">
        <f t="shared" ca="1" si="56"/>
        <v/>
      </c>
      <c r="K276" s="101" t="str">
        <f t="shared" si="62"/>
        <v/>
      </c>
      <c r="O276" s="118">
        <f t="shared" si="68"/>
        <v>0</v>
      </c>
      <c r="P276" s="119">
        <f t="shared" si="67"/>
        <v>0</v>
      </c>
      <c r="Q276" s="120">
        <v>391</v>
      </c>
      <c r="AA276" s="96" t="str">
        <f t="shared" si="64"/>
        <v/>
      </c>
      <c r="AB276" s="97"/>
      <c r="AC276" s="97" t="str">
        <f t="shared" ca="1" si="65"/>
        <v/>
      </c>
      <c r="AE276" s="96" t="str">
        <f t="shared" si="66"/>
        <v/>
      </c>
      <c r="AF276" s="97" t="str">
        <f>IFERROR(VLOOKUP(AE276,[1]Cálculos_PRICE!$A$32:$K$212,10,0),"")</f>
        <v/>
      </c>
      <c r="AG276" s="97" t="str">
        <f ca="1">IFERROR(VLOOKUP(AE276,Cálculos_Aquisição_SAC_Fixa!A274:K547,10,0),"")</f>
        <v/>
      </c>
      <c r="AH276" s="97" t="str">
        <f>IFERROR(VLOOKUP(AE276,[1]Cálculos_PRICE!$A$32:$K$212,6,0),"")</f>
        <v/>
      </c>
      <c r="AI276" s="97" t="str">
        <f>IFERROR(VLOOKUP(AE276,Cálculos_Aquisição_SAC_Fixa!A274:K547,6,0),"")</f>
        <v/>
      </c>
      <c r="AJ276" s="97" t="str">
        <f>IFERROR(VLOOKUP(AE276,[1]Cálculos_PRICE!$A$32:$K$240,11,0),"")</f>
        <v/>
      </c>
      <c r="AK276" s="97" t="str">
        <f>IFERROR(VLOOKUP(AE276,Cálculos_Aquisição_SAC_Fixa!A274:K547,11,0),"")</f>
        <v/>
      </c>
      <c r="AN276" s="132"/>
      <c r="AO276" s="132"/>
    </row>
    <row r="277" spans="1:41" ht="15.5" x14ac:dyDescent="0.35">
      <c r="A277" s="98" t="str">
        <f t="shared" si="63"/>
        <v/>
      </c>
      <c r="B277" s="99" t="str">
        <f t="shared" si="57"/>
        <v>-</v>
      </c>
      <c r="C277" s="100" t="str">
        <f t="shared" si="58"/>
        <v/>
      </c>
      <c r="D277" s="100" t="str">
        <f t="shared" si="59"/>
        <v/>
      </c>
      <c r="E277" s="100" t="str">
        <f t="shared" si="60"/>
        <v/>
      </c>
      <c r="F277" s="100" t="str">
        <f t="shared" si="53"/>
        <v/>
      </c>
      <c r="G277" s="100" t="str">
        <f t="shared" si="61"/>
        <v/>
      </c>
      <c r="H277" s="100" t="str">
        <f t="shared" ca="1" si="54"/>
        <v/>
      </c>
      <c r="I277" s="100" t="str">
        <f t="shared" si="55"/>
        <v/>
      </c>
      <c r="J277" s="100" t="str">
        <f t="shared" ca="1" si="56"/>
        <v/>
      </c>
      <c r="K277" s="101" t="str">
        <f t="shared" si="62"/>
        <v/>
      </c>
      <c r="O277" s="118">
        <f t="shared" si="68"/>
        <v>0</v>
      </c>
      <c r="P277" s="119">
        <f t="shared" si="67"/>
        <v>0</v>
      </c>
      <c r="Q277" s="120">
        <v>392</v>
      </c>
      <c r="AA277" s="96" t="str">
        <f t="shared" si="64"/>
        <v/>
      </c>
      <c r="AB277" s="97"/>
      <c r="AC277" s="97" t="str">
        <f t="shared" ca="1" si="65"/>
        <v/>
      </c>
      <c r="AE277" s="96" t="str">
        <f t="shared" si="66"/>
        <v/>
      </c>
      <c r="AF277" s="97" t="str">
        <f>IFERROR(VLOOKUP(AE277,[1]Cálculos_PRICE!$A$32:$K$212,10,0),"")</f>
        <v/>
      </c>
      <c r="AG277" s="97" t="str">
        <f ca="1">IFERROR(VLOOKUP(AE277,Cálculos_Aquisição_SAC_Fixa!A275:K548,10,0),"")</f>
        <v/>
      </c>
      <c r="AH277" s="97" t="str">
        <f>IFERROR(VLOOKUP(AE277,[1]Cálculos_PRICE!$A$32:$K$212,6,0),"")</f>
        <v/>
      </c>
      <c r="AI277" s="97" t="str">
        <f>IFERROR(VLOOKUP(AE277,Cálculos_Aquisição_SAC_Fixa!A275:K548,6,0),"")</f>
        <v/>
      </c>
      <c r="AJ277" s="97" t="str">
        <f>IFERROR(VLOOKUP(AE277,[1]Cálculos_PRICE!$A$32:$K$240,11,0),"")</f>
        <v/>
      </c>
      <c r="AK277" s="97" t="str">
        <f>IFERROR(VLOOKUP(AE277,Cálculos_Aquisição_SAC_Fixa!A275:K548,11,0),"")</f>
        <v/>
      </c>
      <c r="AN277" s="132"/>
      <c r="AO277" s="132"/>
    </row>
    <row r="278" spans="1:41" ht="16" thickBot="1" x14ac:dyDescent="0.4">
      <c r="A278" s="284" t="s">
        <v>97</v>
      </c>
      <c r="B278" s="285"/>
      <c r="C278" s="286"/>
      <c r="D278" s="125">
        <f>SUM(D38:D245)</f>
        <v>145932.20000000007</v>
      </c>
      <c r="E278" s="126" t="s">
        <v>98</v>
      </c>
      <c r="F278" s="125">
        <f>ROUNDUP(SUM(F38:F245),0)</f>
        <v>125000</v>
      </c>
      <c r="G278" s="125">
        <f>SUM(G38:G245)</f>
        <v>270932.1999999999</v>
      </c>
      <c r="H278" s="125">
        <f ca="1">SUM(H38:H245)</f>
        <v>2601.875000000015</v>
      </c>
      <c r="I278" s="125">
        <f>SUM(I38:I245)</f>
        <v>2160.0000000000005</v>
      </c>
      <c r="J278" s="125">
        <f ca="1">SUM(J38:J245)</f>
        <v>275694.07500000007</v>
      </c>
      <c r="K278" s="127" t="s">
        <v>98</v>
      </c>
      <c r="AA278" s="96" t="str">
        <f t="shared" si="64"/>
        <v/>
      </c>
      <c r="AB278" s="97"/>
      <c r="AC278" s="97" t="str">
        <f t="shared" ca="1" si="65"/>
        <v/>
      </c>
      <c r="AE278" s="96" t="str">
        <f t="shared" si="66"/>
        <v/>
      </c>
      <c r="AF278" s="97" t="str">
        <f>IFERROR(VLOOKUP(AE278,[1]Cálculos_PRICE!$A$32:$K$212,10,0),"")</f>
        <v/>
      </c>
      <c r="AG278" s="97" t="str">
        <f ca="1">IFERROR(VLOOKUP(AE278,Cálculos_Aquisição_SAC_Fixa!A276:K549,10,0),"")</f>
        <v/>
      </c>
      <c r="AH278" s="97" t="str">
        <f>IFERROR(VLOOKUP(AE278,[1]Cálculos_PRICE!$A$32:$K$212,6,0),"")</f>
        <v/>
      </c>
      <c r="AI278" s="97" t="str">
        <f>IFERROR(VLOOKUP(AE278,Cálculos_Aquisição_SAC_Fixa!A276:K549,6,0),"")</f>
        <v/>
      </c>
      <c r="AJ278" s="97" t="str">
        <f>IFERROR(VLOOKUP(AE278,[1]Cálculos_PRICE!$A$32:$K$240,11,0),"")</f>
        <v/>
      </c>
      <c r="AK278" s="97" t="str">
        <f>IFERROR(VLOOKUP(AE278,Cálculos_Aquisição_SAC_Fixa!A276:K549,11,0),"")</f>
        <v/>
      </c>
      <c r="AN278" s="132"/>
      <c r="AO278" s="132"/>
    </row>
    <row r="279" spans="1:41" ht="15.5" x14ac:dyDescent="0.35">
      <c r="AN279" s="132"/>
      <c r="AO279" s="132"/>
    </row>
    <row r="280" spans="1:41" ht="15.5" x14ac:dyDescent="0.35">
      <c r="AN280" s="132"/>
      <c r="AO280" s="132"/>
    </row>
    <row r="281" spans="1:41" ht="15.5" x14ac:dyDescent="0.35">
      <c r="AN281" s="132"/>
      <c r="AO281" s="132"/>
    </row>
    <row r="282" spans="1:41" ht="15.5" x14ac:dyDescent="0.35">
      <c r="AN282" s="132"/>
      <c r="AO282" s="132"/>
    </row>
    <row r="283" spans="1:41" ht="16" thickBot="1" x14ac:dyDescent="0.4">
      <c r="B283" s="130"/>
      <c r="C283" s="130"/>
      <c r="D283" s="130"/>
      <c r="E283" s="130"/>
      <c r="H283" s="130"/>
      <c r="I283" s="130"/>
      <c r="J283" s="130"/>
      <c r="K283" s="130"/>
      <c r="AN283" s="132"/>
      <c r="AO283" s="132"/>
    </row>
    <row r="284" spans="1:41" ht="15.5" x14ac:dyDescent="0.35">
      <c r="B284" s="266" t="s">
        <v>99</v>
      </c>
      <c r="C284" s="266"/>
      <c r="D284" s="266"/>
      <c r="E284" s="266"/>
      <c r="H284" s="266" t="str">
        <f>C9</f>
        <v xml:space="preserve">&lt; Insira dados do cleinte mais velho&gt; </v>
      </c>
      <c r="I284" s="266"/>
      <c r="J284" s="266"/>
      <c r="K284" s="266"/>
      <c r="AN284" s="132"/>
      <c r="AO284" s="132"/>
    </row>
    <row r="285" spans="1:41" ht="15.5" x14ac:dyDescent="0.35">
      <c r="AN285" s="132"/>
      <c r="AO285" s="132"/>
    </row>
    <row r="286" spans="1:41" ht="15.5" x14ac:dyDescent="0.35">
      <c r="AN286" s="132"/>
      <c r="AO286" s="132"/>
    </row>
    <row r="287" spans="1:41" ht="15.5" x14ac:dyDescent="0.35">
      <c r="AN287" s="132"/>
      <c r="AO287" s="132"/>
    </row>
    <row r="288" spans="1:41" ht="15.5" x14ac:dyDescent="0.35">
      <c r="AN288" s="132"/>
      <c r="AO288" s="132"/>
    </row>
    <row r="289" spans="2:41" ht="16" thickBot="1" x14ac:dyDescent="0.4">
      <c r="B289" s="10"/>
      <c r="C289" s="10"/>
      <c r="H289" s="130"/>
      <c r="I289" s="130"/>
      <c r="J289" s="130"/>
      <c r="K289" s="130"/>
      <c r="AN289" s="132"/>
      <c r="AO289" s="132"/>
    </row>
    <row r="290" spans="2:41" ht="15.5" x14ac:dyDescent="0.35">
      <c r="B290" s="10"/>
      <c r="C290" s="10"/>
      <c r="H290" s="266"/>
      <c r="I290" s="266"/>
      <c r="J290" s="266"/>
      <c r="K290" s="266"/>
      <c r="AN290" s="132"/>
      <c r="AO290" s="132"/>
    </row>
    <row r="291" spans="2:41" ht="15.5" x14ac:dyDescent="0.35">
      <c r="AN291" s="132"/>
      <c r="AO291" s="132"/>
    </row>
    <row r="292" spans="2:41" ht="15.5" x14ac:dyDescent="0.35">
      <c r="AN292" s="132"/>
      <c r="AO292" s="132"/>
    </row>
    <row r="293" spans="2:41" ht="15.75" customHeight="1" x14ac:dyDescent="0.35">
      <c r="B293" s="131"/>
      <c r="C293" s="131"/>
      <c r="D293" s="131"/>
      <c r="E293" s="131"/>
      <c r="F293" s="131"/>
      <c r="G293" s="131"/>
      <c r="H293" s="131"/>
      <c r="I293" s="131"/>
      <c r="J293" s="131"/>
      <c r="AN293" s="132"/>
      <c r="AO293" s="132"/>
    </row>
    <row r="294" spans="2:41" ht="15.75" customHeight="1" x14ac:dyDescent="0.35">
      <c r="B294" s="131"/>
      <c r="C294" s="131"/>
      <c r="D294" s="131"/>
      <c r="E294" s="131"/>
      <c r="F294" s="131"/>
      <c r="G294" s="131"/>
      <c r="H294" s="131"/>
      <c r="I294" s="131"/>
      <c r="J294" s="131"/>
      <c r="AN294" s="132"/>
      <c r="AO294" s="132"/>
    </row>
    <row r="295" spans="2:41" ht="15.5" x14ac:dyDescent="0.35">
      <c r="B295" s="264" t="s">
        <v>100</v>
      </c>
      <c r="C295" s="264"/>
      <c r="D295" s="264"/>
      <c r="E295" s="264"/>
      <c r="F295" s="264"/>
      <c r="G295" s="264"/>
      <c r="H295" s="264"/>
      <c r="I295" s="264"/>
      <c r="J295" s="264"/>
      <c r="K295" s="10" t="s">
        <v>105</v>
      </c>
      <c r="AN295" s="132"/>
      <c r="AO295" s="132"/>
    </row>
    <row r="296" spans="2:41" ht="15.5" x14ac:dyDescent="0.35">
      <c r="B296" s="264" t="s">
        <v>101</v>
      </c>
      <c r="C296" s="264"/>
      <c r="D296" s="264"/>
      <c r="E296" s="264"/>
      <c r="F296" s="264"/>
      <c r="G296" s="264"/>
      <c r="H296" s="264"/>
      <c r="I296" s="264"/>
      <c r="J296" s="264"/>
      <c r="AN296" s="132"/>
      <c r="AO296" s="132"/>
    </row>
    <row r="297" spans="2:41" ht="15.5" x14ac:dyDescent="0.35">
      <c r="B297" s="264" t="s">
        <v>102</v>
      </c>
      <c r="C297" s="264"/>
      <c r="D297" s="264"/>
      <c r="E297" s="264"/>
      <c r="F297" s="264"/>
      <c r="G297" s="264"/>
      <c r="H297" s="264"/>
      <c r="I297" s="264"/>
      <c r="J297" s="264"/>
      <c r="AN297" s="132"/>
      <c r="AO297" s="132"/>
    </row>
    <row r="298" spans="2:41" ht="15.5" x14ac:dyDescent="0.35">
      <c r="AN298" s="132"/>
      <c r="AO298" s="132"/>
    </row>
    <row r="299" spans="2:41" ht="15.5" x14ac:dyDescent="0.35">
      <c r="AN299" s="132"/>
      <c r="AO299" s="132"/>
    </row>
    <row r="300" spans="2:41" ht="15.5" x14ac:dyDescent="0.35">
      <c r="AN300" s="132"/>
      <c r="AO300" s="132"/>
    </row>
    <row r="301" spans="2:41" ht="15.5" x14ac:dyDescent="0.35">
      <c r="AN301" s="132"/>
      <c r="AO301" s="132"/>
    </row>
    <row r="302" spans="2:41" ht="15.5" x14ac:dyDescent="0.35">
      <c r="AN302" s="132"/>
      <c r="AO302" s="132"/>
    </row>
    <row r="303" spans="2:41" ht="15.5" x14ac:dyDescent="0.35">
      <c r="AN303" s="132"/>
      <c r="AO303" s="132"/>
    </row>
    <row r="304" spans="2:41" ht="15.5" x14ac:dyDescent="0.35">
      <c r="AN304" s="132"/>
      <c r="AO304" s="132"/>
    </row>
    <row r="305" spans="40:41" ht="15.5" x14ac:dyDescent="0.35">
      <c r="AN305" s="132"/>
      <c r="AO305" s="132"/>
    </row>
    <row r="306" spans="40:41" ht="15.5" x14ac:dyDescent="0.35">
      <c r="AN306" s="132"/>
      <c r="AO306" s="132"/>
    </row>
    <row r="307" spans="40:41" ht="15.5" x14ac:dyDescent="0.35">
      <c r="AN307" s="132"/>
      <c r="AO307" s="132"/>
    </row>
    <row r="308" spans="40:41" ht="15.5" x14ac:dyDescent="0.35">
      <c r="AN308" s="132"/>
      <c r="AO308" s="132"/>
    </row>
    <row r="309" spans="40:41" ht="15.5" x14ac:dyDescent="0.35">
      <c r="AN309" s="132"/>
      <c r="AO309" s="132"/>
    </row>
    <row r="310" spans="40:41" ht="15.5" x14ac:dyDescent="0.35">
      <c r="AN310" s="132"/>
      <c r="AO310" s="132"/>
    </row>
    <row r="311" spans="40:41" ht="15.5" x14ac:dyDescent="0.35">
      <c r="AN311" s="132"/>
      <c r="AO311" s="132"/>
    </row>
    <row r="312" spans="40:41" ht="15.5" x14ac:dyDescent="0.35">
      <c r="AN312" s="132"/>
      <c r="AO312" s="132"/>
    </row>
    <row r="313" spans="40:41" ht="15.5" x14ac:dyDescent="0.35">
      <c r="AN313" s="132"/>
      <c r="AO313" s="132"/>
    </row>
    <row r="314" spans="40:41" ht="15.5" x14ac:dyDescent="0.35">
      <c r="AN314" s="132"/>
      <c r="AO314" s="132"/>
    </row>
    <row r="315" spans="40:41" ht="15.5" x14ac:dyDescent="0.35">
      <c r="AN315" s="132"/>
      <c r="AO315" s="132"/>
    </row>
    <row r="316" spans="40:41" ht="15.5" x14ac:dyDescent="0.35">
      <c r="AN316" s="132"/>
      <c r="AO316" s="132"/>
    </row>
    <row r="317" spans="40:41" ht="15.5" x14ac:dyDescent="0.35">
      <c r="AN317" s="132"/>
      <c r="AO317" s="132"/>
    </row>
    <row r="318" spans="40:41" ht="15.5" x14ac:dyDescent="0.35">
      <c r="AN318" s="132"/>
      <c r="AO318" s="132"/>
    </row>
    <row r="319" spans="40:41" ht="15.5" x14ac:dyDescent="0.35">
      <c r="AN319" s="132"/>
      <c r="AO319" s="132"/>
    </row>
    <row r="320" spans="40:41" ht="15.5" x14ac:dyDescent="0.35">
      <c r="AN320" s="132"/>
      <c r="AO320" s="132"/>
    </row>
    <row r="321" spans="40:41" ht="15.5" x14ac:dyDescent="0.35">
      <c r="AN321" s="132"/>
      <c r="AO321" s="132"/>
    </row>
    <row r="322" spans="40:41" ht="15.5" x14ac:dyDescent="0.35">
      <c r="AN322" s="132"/>
      <c r="AO322" s="132"/>
    </row>
    <row r="323" spans="40:41" ht="15.5" x14ac:dyDescent="0.35">
      <c r="AN323" s="132"/>
      <c r="AO323" s="132"/>
    </row>
    <row r="324" spans="40:41" ht="15.5" x14ac:dyDescent="0.35">
      <c r="AN324" s="132"/>
      <c r="AO324" s="132"/>
    </row>
    <row r="325" spans="40:41" ht="15.5" x14ac:dyDescent="0.35">
      <c r="AN325" s="132"/>
      <c r="AO325" s="132"/>
    </row>
    <row r="326" spans="40:41" ht="15.5" x14ac:dyDescent="0.35">
      <c r="AN326" s="132"/>
      <c r="AO326" s="132"/>
    </row>
    <row r="327" spans="40:41" ht="15.5" x14ac:dyDescent="0.35">
      <c r="AN327" s="132"/>
      <c r="AO327" s="132"/>
    </row>
    <row r="328" spans="40:41" ht="15.5" x14ac:dyDescent="0.35">
      <c r="AN328" s="132"/>
      <c r="AO328" s="132"/>
    </row>
    <row r="329" spans="40:41" ht="15.5" x14ac:dyDescent="0.35">
      <c r="AN329" s="132"/>
      <c r="AO329" s="132"/>
    </row>
    <row r="330" spans="40:41" ht="15.5" x14ac:dyDescent="0.35">
      <c r="AN330" s="132"/>
      <c r="AO330" s="132"/>
    </row>
    <row r="331" spans="40:41" ht="15.5" x14ac:dyDescent="0.35">
      <c r="AN331" s="132"/>
      <c r="AO331" s="132"/>
    </row>
    <row r="332" spans="40:41" ht="15.5" x14ac:dyDescent="0.35">
      <c r="AN332" s="132"/>
      <c r="AO332" s="132"/>
    </row>
    <row r="333" spans="40:41" ht="15.5" x14ac:dyDescent="0.35">
      <c r="AN333" s="132"/>
      <c r="AO333" s="132"/>
    </row>
    <row r="334" spans="40:41" ht="15.5" x14ac:dyDescent="0.35">
      <c r="AN334" s="132"/>
      <c r="AO334" s="132"/>
    </row>
    <row r="335" spans="40:41" ht="15.5" x14ac:dyDescent="0.35">
      <c r="AN335" s="132"/>
      <c r="AO335" s="132"/>
    </row>
    <row r="336" spans="40:41" ht="15.5" x14ac:dyDescent="0.35">
      <c r="AN336" s="132"/>
      <c r="AO336" s="132"/>
    </row>
    <row r="337" spans="40:41" ht="15.5" x14ac:dyDescent="0.35">
      <c r="AN337" s="132"/>
      <c r="AO337" s="132"/>
    </row>
    <row r="338" spans="40:41" ht="15.5" x14ac:dyDescent="0.35">
      <c r="AN338" s="132"/>
      <c r="AO338" s="132"/>
    </row>
    <row r="339" spans="40:41" ht="15.5" x14ac:dyDescent="0.35">
      <c r="AN339" s="132"/>
      <c r="AO339" s="132"/>
    </row>
    <row r="340" spans="40:41" ht="15.5" x14ac:dyDescent="0.35">
      <c r="AN340" s="132"/>
      <c r="AO340" s="132"/>
    </row>
    <row r="341" spans="40:41" ht="15.5" x14ac:dyDescent="0.35">
      <c r="AN341" s="132"/>
      <c r="AO341" s="132"/>
    </row>
    <row r="342" spans="40:41" ht="15.5" x14ac:dyDescent="0.35">
      <c r="AN342" s="132"/>
      <c r="AO342" s="132"/>
    </row>
    <row r="343" spans="40:41" ht="15.5" x14ac:dyDescent="0.35">
      <c r="AN343" s="132"/>
      <c r="AO343" s="132"/>
    </row>
    <row r="344" spans="40:41" ht="15.5" x14ac:dyDescent="0.35">
      <c r="AN344" s="132"/>
      <c r="AO344" s="132"/>
    </row>
    <row r="345" spans="40:41" ht="15.5" x14ac:dyDescent="0.35">
      <c r="AN345" s="132"/>
      <c r="AO345" s="132"/>
    </row>
    <row r="346" spans="40:41" ht="15.5" x14ac:dyDescent="0.35">
      <c r="AN346" s="132"/>
      <c r="AO346" s="132"/>
    </row>
    <row r="347" spans="40:41" ht="15.5" x14ac:dyDescent="0.35">
      <c r="AN347" s="132"/>
      <c r="AO347" s="132"/>
    </row>
    <row r="348" spans="40:41" ht="15.5" x14ac:dyDescent="0.35">
      <c r="AN348" s="132"/>
      <c r="AO348" s="132"/>
    </row>
    <row r="349" spans="40:41" ht="15.5" x14ac:dyDescent="0.35">
      <c r="AN349" s="132"/>
      <c r="AO349" s="132"/>
    </row>
    <row r="350" spans="40:41" ht="15.5" x14ac:dyDescent="0.35">
      <c r="AN350" s="132"/>
      <c r="AO350" s="132"/>
    </row>
    <row r="351" spans="40:41" ht="15.5" x14ac:dyDescent="0.35">
      <c r="AN351" s="132"/>
      <c r="AO351" s="132"/>
    </row>
    <row r="352" spans="40:41" ht="15.5" x14ac:dyDescent="0.35">
      <c r="AN352" s="132"/>
      <c r="AO352" s="132"/>
    </row>
    <row r="353" spans="40:41" ht="15.5" x14ac:dyDescent="0.35">
      <c r="AN353" s="132"/>
      <c r="AO353" s="132"/>
    </row>
    <row r="354" spans="40:41" ht="15.5" x14ac:dyDescent="0.35">
      <c r="AN354" s="132"/>
      <c r="AO354" s="132"/>
    </row>
    <row r="355" spans="40:41" ht="15.5" x14ac:dyDescent="0.35">
      <c r="AN355" s="132"/>
      <c r="AO355" s="132"/>
    </row>
    <row r="356" spans="40:41" ht="15.5" x14ac:dyDescent="0.35">
      <c r="AN356" s="132"/>
      <c r="AO356" s="132"/>
    </row>
    <row r="357" spans="40:41" ht="15.5" x14ac:dyDescent="0.35">
      <c r="AN357" s="132"/>
      <c r="AO357" s="132"/>
    </row>
    <row r="358" spans="40:41" ht="15.5" x14ac:dyDescent="0.35">
      <c r="AN358" s="132"/>
      <c r="AO358" s="132"/>
    </row>
    <row r="359" spans="40:41" ht="15.5" x14ac:dyDescent="0.35">
      <c r="AN359" s="132"/>
      <c r="AO359" s="132"/>
    </row>
    <row r="360" spans="40:41" ht="15.5" x14ac:dyDescent="0.35">
      <c r="AN360" s="132"/>
      <c r="AO360" s="132"/>
    </row>
    <row r="361" spans="40:41" ht="15.5" x14ac:dyDescent="0.35">
      <c r="AN361" s="132"/>
      <c r="AO361" s="132"/>
    </row>
    <row r="362" spans="40:41" ht="15.5" x14ac:dyDescent="0.35">
      <c r="AN362" s="132"/>
      <c r="AO362" s="132"/>
    </row>
    <row r="363" spans="40:41" ht="15.5" x14ac:dyDescent="0.35">
      <c r="AN363" s="132"/>
      <c r="AO363" s="132"/>
    </row>
    <row r="364" spans="40:41" ht="15.5" x14ac:dyDescent="0.35">
      <c r="AN364" s="132"/>
      <c r="AO364" s="132"/>
    </row>
    <row r="365" spans="40:41" ht="15.5" x14ac:dyDescent="0.35">
      <c r="AN365" s="132"/>
      <c r="AO365" s="132"/>
    </row>
    <row r="366" spans="40:41" ht="15.5" x14ac:dyDescent="0.35">
      <c r="AN366" s="132"/>
      <c r="AO366" s="132"/>
    </row>
    <row r="367" spans="40:41" ht="15.5" x14ac:dyDescent="0.35">
      <c r="AN367" s="132"/>
      <c r="AO367" s="132"/>
    </row>
    <row r="368" spans="40:41" ht="15.5" x14ac:dyDescent="0.35">
      <c r="AN368" s="132"/>
      <c r="AO368" s="132"/>
    </row>
    <row r="369" spans="40:41" ht="15.5" x14ac:dyDescent="0.35">
      <c r="AN369" s="132"/>
      <c r="AO369" s="132"/>
    </row>
    <row r="370" spans="40:41" ht="15.5" x14ac:dyDescent="0.35">
      <c r="AN370" s="132"/>
      <c r="AO370" s="132"/>
    </row>
    <row r="371" spans="40:41" ht="15.5" x14ac:dyDescent="0.35">
      <c r="AN371" s="132"/>
      <c r="AO371" s="132"/>
    </row>
    <row r="372" spans="40:41" ht="15.5" x14ac:dyDescent="0.35">
      <c r="AN372" s="132"/>
      <c r="AO372" s="132"/>
    </row>
    <row r="373" spans="40:41" ht="15.5" x14ac:dyDescent="0.35">
      <c r="AN373" s="132"/>
      <c r="AO373" s="132"/>
    </row>
    <row r="374" spans="40:41" ht="15.5" x14ac:dyDescent="0.35">
      <c r="AN374" s="132"/>
      <c r="AO374" s="132"/>
    </row>
    <row r="375" spans="40:41" ht="15.5" x14ac:dyDescent="0.35">
      <c r="AN375" s="132"/>
      <c r="AO375" s="132"/>
    </row>
    <row r="376" spans="40:41" ht="15.5" x14ac:dyDescent="0.35">
      <c r="AN376" s="132"/>
      <c r="AO376" s="132"/>
    </row>
    <row r="377" spans="40:41" ht="15.5" x14ac:dyDescent="0.35">
      <c r="AN377" s="132"/>
      <c r="AO377" s="132"/>
    </row>
    <row r="378" spans="40:41" ht="15.5" x14ac:dyDescent="0.35">
      <c r="AN378" s="132"/>
      <c r="AO378" s="132"/>
    </row>
    <row r="379" spans="40:41" ht="15.5" x14ac:dyDescent="0.35">
      <c r="AN379" s="132"/>
      <c r="AO379" s="132"/>
    </row>
    <row r="380" spans="40:41" ht="15.5" x14ac:dyDescent="0.35">
      <c r="AN380" s="132"/>
      <c r="AO380" s="132"/>
    </row>
    <row r="381" spans="40:41" ht="15.5" x14ac:dyDescent="0.35">
      <c r="AN381" s="132"/>
      <c r="AO381" s="132"/>
    </row>
    <row r="382" spans="40:41" ht="15.5" x14ac:dyDescent="0.35">
      <c r="AN382" s="132"/>
      <c r="AO382" s="132"/>
    </row>
    <row r="383" spans="40:41" ht="15.5" x14ac:dyDescent="0.35">
      <c r="AN383" s="132"/>
      <c r="AO383" s="132"/>
    </row>
    <row r="384" spans="40:41" ht="15.5" x14ac:dyDescent="0.35">
      <c r="AN384" s="132"/>
      <c r="AO384" s="132"/>
    </row>
    <row r="385" spans="40:41" ht="15.5" x14ac:dyDescent="0.35">
      <c r="AN385" s="132"/>
      <c r="AO385" s="132"/>
    </row>
    <row r="386" spans="40:41" ht="15.5" x14ac:dyDescent="0.35">
      <c r="AN386" s="132"/>
      <c r="AO386" s="132"/>
    </row>
    <row r="387" spans="40:41" ht="15.5" x14ac:dyDescent="0.35">
      <c r="AN387" s="132"/>
      <c r="AO387" s="132"/>
    </row>
    <row r="388" spans="40:41" ht="15.5" x14ac:dyDescent="0.35">
      <c r="AN388" s="132"/>
      <c r="AO388" s="132"/>
    </row>
    <row r="389" spans="40:41" ht="15.5" x14ac:dyDescent="0.35">
      <c r="AN389" s="132"/>
      <c r="AO389" s="132"/>
    </row>
    <row r="390" spans="40:41" ht="15.5" x14ac:dyDescent="0.35">
      <c r="AN390" s="132"/>
      <c r="AO390" s="132"/>
    </row>
    <row r="391" spans="40:41" ht="15.5" x14ac:dyDescent="0.35">
      <c r="AN391" s="132"/>
      <c r="AO391" s="132"/>
    </row>
    <row r="392" spans="40:41" ht="15.5" x14ac:dyDescent="0.35">
      <c r="AN392" s="132"/>
      <c r="AO392" s="132"/>
    </row>
    <row r="393" spans="40:41" ht="15.5" x14ac:dyDescent="0.35">
      <c r="AN393" s="132"/>
      <c r="AO393" s="132"/>
    </row>
    <row r="394" spans="40:41" ht="15.5" x14ac:dyDescent="0.35">
      <c r="AN394" s="132"/>
      <c r="AO394" s="132"/>
    </row>
    <row r="395" spans="40:41" ht="15.5" x14ac:dyDescent="0.35">
      <c r="AN395" s="132"/>
      <c r="AO395" s="132"/>
    </row>
    <row r="396" spans="40:41" ht="15.5" x14ac:dyDescent="0.35">
      <c r="AN396" s="132"/>
      <c r="AO396" s="132"/>
    </row>
    <row r="397" spans="40:41" ht="15.5" x14ac:dyDescent="0.35">
      <c r="AN397" s="132"/>
      <c r="AO397" s="132"/>
    </row>
    <row r="398" spans="40:41" ht="15.5" x14ac:dyDescent="0.35">
      <c r="AN398" s="132"/>
      <c r="AO398" s="132"/>
    </row>
    <row r="399" spans="40:41" ht="15.5" x14ac:dyDescent="0.35">
      <c r="AN399" s="132"/>
      <c r="AO399" s="132"/>
    </row>
    <row r="400" spans="40:41" ht="15.5" x14ac:dyDescent="0.35">
      <c r="AN400" s="132"/>
      <c r="AO400" s="132"/>
    </row>
    <row r="401" spans="40:40" ht="15.5" x14ac:dyDescent="0.35">
      <c r="AN401" s="132"/>
    </row>
    <row r="402" spans="40:40" ht="15.5" x14ac:dyDescent="0.35">
      <c r="AN402" s="132"/>
    </row>
    <row r="403" spans="40:40" ht="15.5" x14ac:dyDescent="0.35">
      <c r="AN403" s="132"/>
    </row>
    <row r="404" spans="40:40" ht="15.5" x14ac:dyDescent="0.35">
      <c r="AN404" s="132"/>
    </row>
    <row r="405" spans="40:40" ht="15.5" x14ac:dyDescent="0.35">
      <c r="AN405" s="132"/>
    </row>
    <row r="406" spans="40:40" ht="15.5" x14ac:dyDescent="0.35">
      <c r="AN406" s="132"/>
    </row>
    <row r="407" spans="40:40" ht="15.5" x14ac:dyDescent="0.35">
      <c r="AN407" s="132"/>
    </row>
    <row r="408" spans="40:40" ht="15.5" x14ac:dyDescent="0.35">
      <c r="AN408" s="132"/>
    </row>
    <row r="409" spans="40:40" ht="15.5" x14ac:dyDescent="0.35">
      <c r="AN409" s="132"/>
    </row>
    <row r="410" spans="40:40" ht="15.5" x14ac:dyDescent="0.35">
      <c r="AN410" s="132"/>
    </row>
    <row r="411" spans="40:40" ht="15.5" x14ac:dyDescent="0.35">
      <c r="AN411" s="132"/>
    </row>
    <row r="412" spans="40:40" ht="15.5" x14ac:dyDescent="0.35">
      <c r="AN412" s="132"/>
    </row>
    <row r="413" spans="40:40" ht="15.5" x14ac:dyDescent="0.35">
      <c r="AN413" s="132"/>
    </row>
    <row r="414" spans="40:40" ht="15.5" x14ac:dyDescent="0.35">
      <c r="AN414" s="132"/>
    </row>
    <row r="415" spans="40:40" ht="15.5" x14ac:dyDescent="0.35">
      <c r="AN415" s="132"/>
    </row>
    <row r="416" spans="40:40" ht="15.5" x14ac:dyDescent="0.35">
      <c r="AN416" s="132"/>
    </row>
    <row r="417" spans="40:40" ht="15.5" x14ac:dyDescent="0.35">
      <c r="AN417" s="132"/>
    </row>
    <row r="418" spans="40:40" ht="15.5" x14ac:dyDescent="0.35">
      <c r="AN418" s="132"/>
    </row>
    <row r="419" spans="40:40" ht="15.5" x14ac:dyDescent="0.35">
      <c r="AN419" s="132"/>
    </row>
    <row r="420" spans="40:40" ht="15.5" x14ac:dyDescent="0.35">
      <c r="AN420" s="132"/>
    </row>
    <row r="421" spans="40:40" ht="15.5" x14ac:dyDescent="0.35">
      <c r="AN421" s="132"/>
    </row>
    <row r="422" spans="40:40" ht="15.5" x14ac:dyDescent="0.35">
      <c r="AN422" s="132"/>
    </row>
    <row r="423" spans="40:40" ht="15.5" x14ac:dyDescent="0.35">
      <c r="AN423" s="132"/>
    </row>
    <row r="424" spans="40:40" ht="15.5" x14ac:dyDescent="0.35">
      <c r="AN424" s="132"/>
    </row>
    <row r="425" spans="40:40" ht="15.5" x14ac:dyDescent="0.35">
      <c r="AN425" s="132"/>
    </row>
    <row r="426" spans="40:40" ht="15.5" x14ac:dyDescent="0.35">
      <c r="AN426" s="132"/>
    </row>
    <row r="427" spans="40:40" ht="15.5" x14ac:dyDescent="0.35">
      <c r="AN427" s="132"/>
    </row>
    <row r="428" spans="40:40" ht="15.5" x14ac:dyDescent="0.35">
      <c r="AN428" s="132"/>
    </row>
    <row r="429" spans="40:40" ht="15.5" x14ac:dyDescent="0.35">
      <c r="AN429" s="132"/>
    </row>
    <row r="430" spans="40:40" ht="15.5" x14ac:dyDescent="0.35">
      <c r="AN430" s="132"/>
    </row>
    <row r="431" spans="40:40" ht="15.5" x14ac:dyDescent="0.35">
      <c r="AN431" s="132"/>
    </row>
    <row r="432" spans="40:40" ht="15.5" x14ac:dyDescent="0.35">
      <c r="AN432" s="132"/>
    </row>
    <row r="433" spans="40:40" ht="15.5" x14ac:dyDescent="0.35">
      <c r="AN433" s="132"/>
    </row>
    <row r="434" spans="40:40" ht="15.5" x14ac:dyDescent="0.35">
      <c r="AN434" s="132"/>
    </row>
    <row r="435" spans="40:40" ht="15.5" x14ac:dyDescent="0.35">
      <c r="AN435" s="132"/>
    </row>
    <row r="436" spans="40:40" ht="15.5" x14ac:dyDescent="0.35">
      <c r="AN436" s="132"/>
    </row>
    <row r="437" spans="40:40" ht="15.5" x14ac:dyDescent="0.35">
      <c r="AN437" s="132"/>
    </row>
    <row r="438" spans="40:40" ht="15.5" x14ac:dyDescent="0.35">
      <c r="AN438" s="132"/>
    </row>
    <row r="439" spans="40:40" ht="15.5" x14ac:dyDescent="0.35">
      <c r="AN439" s="132"/>
    </row>
    <row r="440" spans="40:40" ht="15.5" x14ac:dyDescent="0.35">
      <c r="AN440" s="132"/>
    </row>
    <row r="441" spans="40:40" ht="15.5" x14ac:dyDescent="0.35">
      <c r="AN441" s="132"/>
    </row>
    <row r="442" spans="40:40" ht="15.5" x14ac:dyDescent="0.35">
      <c r="AN442" s="132"/>
    </row>
    <row r="443" spans="40:40" ht="15.5" x14ac:dyDescent="0.35">
      <c r="AN443" s="132"/>
    </row>
    <row r="444" spans="40:40" ht="15.5" x14ac:dyDescent="0.35">
      <c r="AN444" s="132"/>
    </row>
    <row r="445" spans="40:40" ht="15.5" x14ac:dyDescent="0.35">
      <c r="AN445" s="132"/>
    </row>
    <row r="446" spans="40:40" ht="15.5" x14ac:dyDescent="0.35">
      <c r="AN446" s="132"/>
    </row>
    <row r="447" spans="40:40" ht="15.5" x14ac:dyDescent="0.35">
      <c r="AN447" s="132"/>
    </row>
    <row r="448" spans="40:40" ht="15.5" x14ac:dyDescent="0.35">
      <c r="AN448" s="132"/>
    </row>
    <row r="449" spans="40:40" ht="15.5" x14ac:dyDescent="0.35">
      <c r="AN449" s="132"/>
    </row>
    <row r="450" spans="40:40" ht="15.5" x14ac:dyDescent="0.35">
      <c r="AN450" s="132"/>
    </row>
    <row r="451" spans="40:40" ht="15.5" x14ac:dyDescent="0.35">
      <c r="AN451" s="132"/>
    </row>
    <row r="452" spans="40:40" ht="15.5" x14ac:dyDescent="0.35">
      <c r="AN452" s="132"/>
    </row>
    <row r="453" spans="40:40" ht="15.5" x14ac:dyDescent="0.35">
      <c r="AN453" s="132"/>
    </row>
    <row r="454" spans="40:40" ht="15.5" x14ac:dyDescent="0.35">
      <c r="AN454" s="132"/>
    </row>
    <row r="455" spans="40:40" ht="15.5" x14ac:dyDescent="0.35">
      <c r="AN455" s="132"/>
    </row>
    <row r="456" spans="40:40" ht="15.5" x14ac:dyDescent="0.35">
      <c r="AN456" s="132"/>
    </row>
    <row r="457" spans="40:40" ht="15.5" x14ac:dyDescent="0.35">
      <c r="AN457" s="132"/>
    </row>
    <row r="458" spans="40:40" ht="15.5" x14ac:dyDescent="0.35">
      <c r="AN458" s="132"/>
    </row>
    <row r="459" spans="40:40" ht="15.5" x14ac:dyDescent="0.35">
      <c r="AN459" s="132"/>
    </row>
    <row r="460" spans="40:40" ht="15.5" x14ac:dyDescent="0.35">
      <c r="AN460" s="132"/>
    </row>
    <row r="461" spans="40:40" ht="15.5" x14ac:dyDescent="0.35">
      <c r="AN461" s="132"/>
    </row>
    <row r="462" spans="40:40" ht="15.5" x14ac:dyDescent="0.35">
      <c r="AN462" s="132"/>
    </row>
    <row r="463" spans="40:40" ht="15.5" x14ac:dyDescent="0.35">
      <c r="AN463" s="132"/>
    </row>
    <row r="464" spans="40:40" ht="15.5" x14ac:dyDescent="0.35">
      <c r="AN464" s="132"/>
    </row>
    <row r="465" spans="40:40" ht="15.5" x14ac:dyDescent="0.35">
      <c r="AN465" s="132"/>
    </row>
    <row r="466" spans="40:40" ht="15.5" x14ac:dyDescent="0.35">
      <c r="AN466" s="132"/>
    </row>
    <row r="467" spans="40:40" ht="15.5" x14ac:dyDescent="0.35">
      <c r="AN467" s="132"/>
    </row>
    <row r="468" spans="40:40" ht="15.5" x14ac:dyDescent="0.35">
      <c r="AN468" s="132"/>
    </row>
    <row r="469" spans="40:40" ht="15.5" x14ac:dyDescent="0.35">
      <c r="AN469" s="132"/>
    </row>
    <row r="470" spans="40:40" ht="15.5" x14ac:dyDescent="0.35">
      <c r="AN470" s="132"/>
    </row>
    <row r="471" spans="40:40" ht="15.5" x14ac:dyDescent="0.35">
      <c r="AN471" s="132"/>
    </row>
    <row r="472" spans="40:40" ht="15.5" x14ac:dyDescent="0.35">
      <c r="AN472" s="132"/>
    </row>
    <row r="473" spans="40:40" ht="15.5" x14ac:dyDescent="0.35">
      <c r="AN473" s="132"/>
    </row>
    <row r="474" spans="40:40" ht="15.5" x14ac:dyDescent="0.35">
      <c r="AN474" s="132"/>
    </row>
    <row r="475" spans="40:40" ht="15.5" x14ac:dyDescent="0.35">
      <c r="AN475" s="132"/>
    </row>
    <row r="476" spans="40:40" ht="15.5" x14ac:dyDescent="0.35">
      <c r="AN476" s="132"/>
    </row>
    <row r="477" spans="40:40" ht="15.5" x14ac:dyDescent="0.35">
      <c r="AN477" s="132"/>
    </row>
    <row r="478" spans="40:40" ht="15.5" x14ac:dyDescent="0.35">
      <c r="AN478" s="132"/>
    </row>
    <row r="479" spans="40:40" ht="15.5" x14ac:dyDescent="0.35">
      <c r="AN479" s="132"/>
    </row>
    <row r="480" spans="40:40" ht="15.5" x14ac:dyDescent="0.35">
      <c r="AN480" s="132"/>
    </row>
    <row r="481" spans="40:40" ht="15.5" x14ac:dyDescent="0.35">
      <c r="AN481" s="132"/>
    </row>
    <row r="482" spans="40:40" ht="15.5" x14ac:dyDescent="0.35">
      <c r="AN482" s="132"/>
    </row>
    <row r="483" spans="40:40" ht="15.5" x14ac:dyDescent="0.35">
      <c r="AN483" s="132"/>
    </row>
    <row r="484" spans="40:40" ht="15.5" x14ac:dyDescent="0.35">
      <c r="AN484" s="132"/>
    </row>
    <row r="485" spans="40:40" ht="15.5" x14ac:dyDescent="0.35">
      <c r="AN485" s="132"/>
    </row>
    <row r="486" spans="40:40" ht="15.5" x14ac:dyDescent="0.35">
      <c r="AN486" s="132"/>
    </row>
    <row r="487" spans="40:40" ht="15.5" x14ac:dyDescent="0.35">
      <c r="AN487" s="132"/>
    </row>
    <row r="488" spans="40:40" ht="15.5" x14ac:dyDescent="0.35">
      <c r="AN488" s="132"/>
    </row>
    <row r="489" spans="40:40" ht="15.5" x14ac:dyDescent="0.35">
      <c r="AN489" s="132"/>
    </row>
    <row r="490" spans="40:40" ht="15.5" x14ac:dyDescent="0.35">
      <c r="AN490" s="132"/>
    </row>
    <row r="491" spans="40:40" ht="15.5" x14ac:dyDescent="0.35">
      <c r="AN491" s="132"/>
    </row>
    <row r="492" spans="40:40" ht="15.5" x14ac:dyDescent="0.35">
      <c r="AN492" s="132"/>
    </row>
    <row r="493" spans="40:40" ht="15.5" x14ac:dyDescent="0.35">
      <c r="AN493" s="132"/>
    </row>
    <row r="494" spans="40:40" ht="15.5" x14ac:dyDescent="0.35">
      <c r="AN494" s="132"/>
    </row>
    <row r="495" spans="40:40" ht="15.5" x14ac:dyDescent="0.35">
      <c r="AN495" s="132"/>
    </row>
    <row r="496" spans="40:40" ht="15.5" x14ac:dyDescent="0.35">
      <c r="AN496" s="132"/>
    </row>
    <row r="497" spans="40:40" ht="15.5" x14ac:dyDescent="0.35">
      <c r="AN497" s="132"/>
    </row>
    <row r="498" spans="40:40" ht="15.5" x14ac:dyDescent="0.35">
      <c r="AN498" s="132"/>
    </row>
    <row r="499" spans="40:40" ht="15.5" x14ac:dyDescent="0.35">
      <c r="AN499" s="132"/>
    </row>
    <row r="500" spans="40:40" ht="15.5" x14ac:dyDescent="0.35">
      <c r="AN500" s="132"/>
    </row>
    <row r="501" spans="40:40" ht="15.5" x14ac:dyDescent="0.35">
      <c r="AN501" s="132"/>
    </row>
    <row r="502" spans="40:40" ht="15.5" x14ac:dyDescent="0.35">
      <c r="AN502" s="132"/>
    </row>
    <row r="503" spans="40:40" ht="15.5" x14ac:dyDescent="0.35">
      <c r="AN503" s="132"/>
    </row>
    <row r="504" spans="40:40" ht="15.5" x14ac:dyDescent="0.35">
      <c r="AN504" s="132"/>
    </row>
    <row r="505" spans="40:40" ht="15.5" x14ac:dyDescent="0.35">
      <c r="AN505" s="132"/>
    </row>
    <row r="506" spans="40:40" ht="15.5" x14ac:dyDescent="0.35">
      <c r="AN506" s="132"/>
    </row>
    <row r="507" spans="40:40" ht="15.5" x14ac:dyDescent="0.35">
      <c r="AN507" s="132"/>
    </row>
    <row r="508" spans="40:40" ht="15.5" x14ac:dyDescent="0.35">
      <c r="AN508" s="132"/>
    </row>
    <row r="509" spans="40:40" ht="15.5" x14ac:dyDescent="0.35">
      <c r="AN509" s="132"/>
    </row>
    <row r="510" spans="40:40" ht="15.5" x14ac:dyDescent="0.35">
      <c r="AN510" s="132"/>
    </row>
    <row r="511" spans="40:40" ht="15.5" x14ac:dyDescent="0.35">
      <c r="AN511" s="132"/>
    </row>
    <row r="512" spans="40:40" ht="15.5" x14ac:dyDescent="0.35">
      <c r="AN512" s="132"/>
    </row>
    <row r="513" spans="40:40" ht="15.5" x14ac:dyDescent="0.35">
      <c r="AN513" s="132"/>
    </row>
    <row r="514" spans="40:40" ht="15.5" x14ac:dyDescent="0.35">
      <c r="AN514" s="132"/>
    </row>
    <row r="515" spans="40:40" ht="15.5" x14ac:dyDescent="0.35">
      <c r="AN515" s="132"/>
    </row>
    <row r="516" spans="40:40" ht="15.5" x14ac:dyDescent="0.35">
      <c r="AN516" s="132"/>
    </row>
    <row r="517" spans="40:40" ht="15.5" x14ac:dyDescent="0.35">
      <c r="AN517" s="132"/>
    </row>
    <row r="518" spans="40:40" ht="15.5" x14ac:dyDescent="0.35">
      <c r="AN518" s="132"/>
    </row>
    <row r="519" spans="40:40" ht="15.5" x14ac:dyDescent="0.35">
      <c r="AN519" s="132"/>
    </row>
    <row r="520" spans="40:40" ht="15.5" x14ac:dyDescent="0.35">
      <c r="AN520" s="132"/>
    </row>
    <row r="521" spans="40:40" ht="15.5" x14ac:dyDescent="0.35">
      <c r="AN521" s="132"/>
    </row>
    <row r="522" spans="40:40" ht="15.5" x14ac:dyDescent="0.35">
      <c r="AN522" s="132"/>
    </row>
    <row r="523" spans="40:40" ht="15.5" x14ac:dyDescent="0.35">
      <c r="AN523" s="132"/>
    </row>
    <row r="524" spans="40:40" ht="15.5" x14ac:dyDescent="0.35">
      <c r="AN524" s="132"/>
    </row>
    <row r="525" spans="40:40" ht="15.5" x14ac:dyDescent="0.35">
      <c r="AN525" s="132"/>
    </row>
    <row r="526" spans="40:40" ht="15.5" x14ac:dyDescent="0.35">
      <c r="AN526" s="132"/>
    </row>
    <row r="527" spans="40:40" ht="15.5" x14ac:dyDescent="0.35">
      <c r="AN527" s="132"/>
    </row>
    <row r="528" spans="40:40" ht="15.5" x14ac:dyDescent="0.35">
      <c r="AN528" s="132"/>
    </row>
    <row r="529" spans="40:40" ht="15.5" x14ac:dyDescent="0.35">
      <c r="AN529" s="132"/>
    </row>
    <row r="530" spans="40:40" ht="15.5" x14ac:dyDescent="0.35">
      <c r="AN530" s="132"/>
    </row>
    <row r="531" spans="40:40" ht="15.5" x14ac:dyDescent="0.35">
      <c r="AN531" s="132"/>
    </row>
    <row r="532" spans="40:40" ht="15.5" x14ac:dyDescent="0.35">
      <c r="AN532" s="132"/>
    </row>
    <row r="533" spans="40:40" ht="15.5" x14ac:dyDescent="0.35">
      <c r="AN533" s="132"/>
    </row>
    <row r="534" spans="40:40" ht="15.5" x14ac:dyDescent="0.35">
      <c r="AN534" s="132"/>
    </row>
    <row r="535" spans="40:40" ht="15.5" x14ac:dyDescent="0.35">
      <c r="AN535" s="132"/>
    </row>
    <row r="536" spans="40:40" ht="15.5" x14ac:dyDescent="0.35">
      <c r="AN536" s="132"/>
    </row>
    <row r="537" spans="40:40" ht="15.5" x14ac:dyDescent="0.35">
      <c r="AN537" s="132"/>
    </row>
    <row r="538" spans="40:40" ht="15.5" x14ac:dyDescent="0.35">
      <c r="AN538" s="132"/>
    </row>
    <row r="539" spans="40:40" ht="15.5" x14ac:dyDescent="0.35">
      <c r="AN539" s="132"/>
    </row>
    <row r="540" spans="40:40" ht="15.5" x14ac:dyDescent="0.35">
      <c r="AN540" s="132"/>
    </row>
    <row r="541" spans="40:40" ht="15.5" x14ac:dyDescent="0.35">
      <c r="AN541" s="132"/>
    </row>
    <row r="542" spans="40:40" ht="15.5" x14ac:dyDescent="0.35">
      <c r="AN542" s="132"/>
    </row>
    <row r="543" spans="40:40" ht="15.5" x14ac:dyDescent="0.35">
      <c r="AN543" s="132"/>
    </row>
    <row r="544" spans="40:40" ht="15.5" x14ac:dyDescent="0.35">
      <c r="AN544" s="132"/>
    </row>
    <row r="545" spans="40:40" ht="15.5" x14ac:dyDescent="0.35">
      <c r="AN545" s="132"/>
    </row>
    <row r="546" spans="40:40" ht="15.5" x14ac:dyDescent="0.35">
      <c r="AN546" s="132"/>
    </row>
    <row r="547" spans="40:40" ht="15.5" x14ac:dyDescent="0.35">
      <c r="AN547" s="132"/>
    </row>
    <row r="548" spans="40:40" ht="15.5" x14ac:dyDescent="0.35">
      <c r="AN548" s="132"/>
    </row>
    <row r="549" spans="40:40" ht="15.5" x14ac:dyDescent="0.35">
      <c r="AN549" s="132"/>
    </row>
    <row r="550" spans="40:40" ht="15.5" x14ac:dyDescent="0.35">
      <c r="AN550" s="132"/>
    </row>
    <row r="551" spans="40:40" ht="15.5" x14ac:dyDescent="0.35">
      <c r="AN551" s="132"/>
    </row>
    <row r="552" spans="40:40" ht="15.5" x14ac:dyDescent="0.35">
      <c r="AN552" s="132"/>
    </row>
    <row r="553" spans="40:40" ht="15.5" x14ac:dyDescent="0.35">
      <c r="AN553" s="132"/>
    </row>
    <row r="554" spans="40:40" ht="15.5" x14ac:dyDescent="0.35">
      <c r="AN554" s="132"/>
    </row>
    <row r="555" spans="40:40" ht="15.5" x14ac:dyDescent="0.35">
      <c r="AN555" s="132"/>
    </row>
    <row r="556" spans="40:40" ht="15.5" x14ac:dyDescent="0.35">
      <c r="AN556" s="132"/>
    </row>
    <row r="557" spans="40:40" ht="15.5" x14ac:dyDescent="0.35">
      <c r="AN557" s="132"/>
    </row>
    <row r="558" spans="40:40" ht="15.5" x14ac:dyDescent="0.35">
      <c r="AN558" s="132"/>
    </row>
    <row r="559" spans="40:40" ht="15.5" x14ac:dyDescent="0.35">
      <c r="AN559" s="132"/>
    </row>
    <row r="560" spans="40:40" ht="15.5" x14ac:dyDescent="0.35">
      <c r="AN560" s="132"/>
    </row>
    <row r="561" spans="40:40" ht="15.5" x14ac:dyDescent="0.35">
      <c r="AN561" s="132"/>
    </row>
    <row r="562" spans="40:40" ht="15.5" x14ac:dyDescent="0.35">
      <c r="AN562" s="132"/>
    </row>
    <row r="563" spans="40:40" ht="15.5" x14ac:dyDescent="0.35">
      <c r="AN563" s="132"/>
    </row>
    <row r="564" spans="40:40" ht="15.5" x14ac:dyDescent="0.35">
      <c r="AN564" s="132"/>
    </row>
    <row r="565" spans="40:40" ht="15.5" x14ac:dyDescent="0.35">
      <c r="AN565" s="132"/>
    </row>
    <row r="566" spans="40:40" ht="15.5" x14ac:dyDescent="0.35">
      <c r="AN566" s="132"/>
    </row>
    <row r="567" spans="40:40" ht="15.5" x14ac:dyDescent="0.35">
      <c r="AN567" s="132"/>
    </row>
    <row r="568" spans="40:40" ht="15.5" x14ac:dyDescent="0.35">
      <c r="AN568" s="132"/>
    </row>
    <row r="569" spans="40:40" ht="15.5" x14ac:dyDescent="0.35">
      <c r="AN569" s="132"/>
    </row>
    <row r="570" spans="40:40" ht="15.5" x14ac:dyDescent="0.35">
      <c r="AN570" s="132"/>
    </row>
    <row r="571" spans="40:40" ht="15.5" x14ac:dyDescent="0.35">
      <c r="AN571" s="132"/>
    </row>
    <row r="572" spans="40:40" ht="15.5" x14ac:dyDescent="0.35">
      <c r="AN572" s="132"/>
    </row>
    <row r="573" spans="40:40" ht="15.5" x14ac:dyDescent="0.35">
      <c r="AN573" s="132"/>
    </row>
    <row r="574" spans="40:40" ht="15.5" x14ac:dyDescent="0.35">
      <c r="AN574" s="132"/>
    </row>
    <row r="575" spans="40:40" ht="15.5" x14ac:dyDescent="0.35">
      <c r="AN575" s="132"/>
    </row>
    <row r="576" spans="40:40" ht="15.5" x14ac:dyDescent="0.35">
      <c r="AN576" s="132"/>
    </row>
    <row r="577" spans="40:40" ht="15.5" x14ac:dyDescent="0.35">
      <c r="AN577" s="132"/>
    </row>
    <row r="578" spans="40:40" ht="15.5" x14ac:dyDescent="0.35">
      <c r="AN578" s="132"/>
    </row>
    <row r="579" spans="40:40" ht="15.5" x14ac:dyDescent="0.35">
      <c r="AN579" s="132"/>
    </row>
    <row r="580" spans="40:40" ht="15.5" x14ac:dyDescent="0.35">
      <c r="AN580" s="132"/>
    </row>
  </sheetData>
  <mergeCells count="31">
    <mergeCell ref="B297:J297"/>
    <mergeCell ref="A278:C278"/>
    <mergeCell ref="B284:E284"/>
    <mergeCell ref="H284:K284"/>
    <mergeCell ref="H290:K290"/>
    <mergeCell ref="B295:J295"/>
    <mergeCell ref="B296:J296"/>
    <mergeCell ref="T36:W36"/>
    <mergeCell ref="C20:H20"/>
    <mergeCell ref="C21:H21"/>
    <mergeCell ref="C22:H22"/>
    <mergeCell ref="C23:H23"/>
    <mergeCell ref="C24:H24"/>
    <mergeCell ref="C26:H26"/>
    <mergeCell ref="C27:H27"/>
    <mergeCell ref="C28:H28"/>
    <mergeCell ref="C29:H29"/>
    <mergeCell ref="C30:H30"/>
    <mergeCell ref="N36:Q36"/>
    <mergeCell ref="C19:H19"/>
    <mergeCell ref="H2:J2"/>
    <mergeCell ref="C3:F3"/>
    <mergeCell ref="H3:J3"/>
    <mergeCell ref="C6:D6"/>
    <mergeCell ref="F6:G6"/>
    <mergeCell ref="C9:F9"/>
    <mergeCell ref="C14:H14"/>
    <mergeCell ref="C15:H15"/>
    <mergeCell ref="C16:H16"/>
    <mergeCell ref="C17:H17"/>
    <mergeCell ref="C18:H18"/>
  </mergeCells>
  <dataValidations disablePrompts="1" count="7">
    <dataValidation type="list" allowBlank="1" showInputMessage="1" showErrorMessage="1" sqref="C3:F3" xr:uid="{FBDEA10E-21D0-495E-9A95-ABA4EFF16A56}">
      <formula1>"Financiamento Imobiliário - FI, Terreno Com Construção Concluída - TCC"</formula1>
    </dataValidation>
    <dataValidation type="list" allowBlank="1" showInputMessage="1" showErrorMessage="1" sqref="H3" xr:uid="{F39B0656-FCFF-42E8-8D03-C62C667765C3}">
      <formula1>"Apartamento, Casa, Sala Comercial, Loja Comercial,"</formula1>
    </dataValidation>
    <dataValidation type="list" allowBlank="1" showInputMessage="1" showErrorMessage="1" sqref="S59 S68" xr:uid="{6C57CF70-F194-4C6B-BAB3-19669B7A57EC}">
      <formula1>"CGI, FCTO-AQUIS"</formula1>
    </dataValidation>
    <dataValidation type="list" allowBlank="1" showInputMessage="1" showErrorMessage="1" sqref="S60:S66 S69:S75" xr:uid="{B0FE6DCD-0491-46DE-8239-804C5E0530E6}">
      <formula1>"1 - RESIDENCIAL - CASA,2 - RESIDENCIAL - APARTAMENTO,3 - COMERCIAL - LOJA,4 - COMERCIAL - SALA COMERCIAL,5 - MISTO - COMERCIAL / RESIDENCIAL,6 - IMOVEL VERANEIO,7 - TERRENO + CONSTRUÇÃO CONCLUÍDA"</formula1>
    </dataValidation>
    <dataValidation type="whole" operator="greaterThanOrEqual" allowBlank="1" showInputMessage="1" showErrorMessage="1" errorTitle="Valor não Permitido" error="** Valor mínimo de Crédito não Permitido **_x000a__x000a_Favor checar política da instituição" promptTitle="Valor Mínimo de Crédito Bruto" prompt="Valor Mínimo de Crédito Bruto é de R$ 50mil" sqref="C6:D6" xr:uid="{243E9F40-F2DA-49D5-BD43-4BF64610ADED}">
      <formula1>50000</formula1>
    </dataValidation>
    <dataValidation type="whole" operator="greaterThanOrEqual" allowBlank="1" showInputMessage="1" showErrorMessage="1" errorTitle="Valor não Permitido" error="** Valor Mínimo do imóvel oferecido em garantia fora da Política ** _x000a__x000a_Favor checar Política da Instituição Financeira_x000a__x000a_" promptTitle="Valor Mínimo de Imóvel" prompt="Valor mínimo de Imóvel R$ 250mil" sqref="F6:G6" xr:uid="{224C3B6E-9224-4AC9-8D03-526FDCC9B9BF}">
      <formula1>250000</formula1>
    </dataValidation>
    <dataValidation type="whole" allowBlank="1" showInputMessage="1" showErrorMessage="1" errorTitle="Prazo não Permitido" error="** Prazo da operação fora da Politica ** _x000a__x000a_Favor checar Política da Instituição Financeira_x000a_" promptTitle="Prazo Mínimo e Prazo Máximo" prompt="Prazo mínimo permitido 36 meses e prazo máximo de 240 meses para operações sistema de amortização SAC apenas de Financimento de Aquisição" sqref="I6" xr:uid="{41C6C02C-54D4-42AF-AB40-DD89AA397BFC}">
      <formula1>36</formula1>
      <formula2>240</formula2>
    </dataValidation>
  </dataValidations>
  <pageMargins left="0.23622047244094491" right="0.23622047244094491" top="0.74803149606299213" bottom="0.74803149606299213" header="0.31496062992125984" footer="0.31496062992125984"/>
  <pageSetup paperSize="9" scale="38" fitToWidth="0" fitToHeight="0" orientation="portrait" horizontalDpi="4294967295" verticalDpi="4294967295" r:id="rId1"/>
  <headerFooter>
    <oddHeader>&amp;C&amp;G</oddHeader>
    <oddFooter>&amp;L&amp;D - &amp;T&amp;Cdaycovalimovel.com.br&amp;R&amp;P -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20</vt:i4>
      </vt:variant>
    </vt:vector>
  </HeadingPairs>
  <TitlesOfParts>
    <vt:vector size="26" baseType="lpstr">
      <vt:lpstr>Cálculos_CGI - SAC FIXA</vt:lpstr>
      <vt:lpstr>Cálculos_CGI e Fin</vt:lpstr>
      <vt:lpstr>Planilha2</vt:lpstr>
      <vt:lpstr>Planilha1</vt:lpstr>
      <vt:lpstr>CAPA</vt:lpstr>
      <vt:lpstr>Cálculos_Aquisição_SAC_Fixa</vt:lpstr>
      <vt:lpstr>CGI</vt:lpstr>
      <vt:lpstr>DFI</vt:lpstr>
      <vt:lpstr>FIN</vt:lpstr>
      <vt:lpstr>FIN_TCC</vt:lpstr>
      <vt:lpstr>LTV</vt:lpstr>
      <vt:lpstr>MIP</vt:lpstr>
      <vt:lpstr>obs</vt:lpstr>
      <vt:lpstr>PRAZO</vt:lpstr>
      <vt:lpstr>PRICE_POS</vt:lpstr>
      <vt:lpstr>PRICE_PRE</vt:lpstr>
      <vt:lpstr>PRODUTO</vt:lpstr>
      <vt:lpstr>SAC_POS</vt:lpstr>
      <vt:lpstr>SAC_PRE</vt:lpstr>
      <vt:lpstr>SISTEMA_AMORTIZAÇÃO</vt:lpstr>
      <vt:lpstr>TAXA</vt:lpstr>
      <vt:lpstr>TCC</vt:lpstr>
      <vt:lpstr>TIPO_IMÓVEL</vt:lpstr>
      <vt:lpstr>'Cálculos_CGI e Fin'!Titulos_de_impressao</vt:lpstr>
      <vt:lpstr>VALOR_CREDITO_BRUTO</vt:lpstr>
      <vt:lpstr>VALOR_ESTIMADO_IMÓVEL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Simulação Excel Sistema SAC e PRICE FIXA</dc:title>
  <dc:creator>CGI - Fabio Ferreira Lima R: 3970</dc:creator>
  <cp:keywords>CGI e Financiamento Imobiliário</cp:keywords>
  <cp:lastModifiedBy>Fontinhas Consultoria</cp:lastModifiedBy>
  <cp:lastPrinted>2025-12-04T20:06:25Z</cp:lastPrinted>
  <dcterms:created xsi:type="dcterms:W3CDTF">2020-05-22T17:21:58Z</dcterms:created>
  <dcterms:modified xsi:type="dcterms:W3CDTF">2026-02-05T20:46:01Z</dcterms:modified>
  <cp:category>Simulador</cp:category>
</cp:coreProperties>
</file>